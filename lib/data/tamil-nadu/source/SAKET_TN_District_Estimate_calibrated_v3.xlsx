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Calibration" sheetId="2" state="visible" r:id="rId4"/>
    <sheet name="District Split" sheetId="3" state="visible" r:id="rId5"/>
    <sheet name="AC Estimate" sheetId="4" state="visible" r:id="rId6"/>
    <sheet name="Sheet1" sheetId="5" state="visible" r:id="rId7"/>
    <sheet name="District Estimate" sheetId="6" state="visible" r:id="rId8"/>
  </sheets>
  <definedNames>
    <definedName function="false" hidden="true" localSheetId="3" name="_xlnm._FilterDatabase" vbProcedure="false">'AC Estimate'!$A$4:$T$240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Tolerance requested by the user: ±0.5 (pts for vote share; seats per district per alliance).</t>
        </r>
      </text>
    </comment>
    <comment ref="B27" authorId="0">
      <text>
        <r>
          <rPr>
            <sz val="10"/>
            <rFont val="Arial"/>
            <family val="2"/>
          </rPr>
          <t xml:space="preserve">Leave-one-district-out cross-validation in Python (scikit-learn LogisticRegression, C=1), seat totals constrained to the actual 108/73/53. 126 of 234 correct.</t>
        </r>
      </text>
    </comment>
    <comment ref="B30" authorId="0">
      <text>
        <r>
          <rPr>
            <sz val="10"/>
            <rFont val="Arial"/>
            <family val="2"/>
          </rPr>
          <t xml:space="preserve">Leave-one-district-out model probabilities, then the same district-total assignment. 161 of 234.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K4" authorId="0">
      <text>
        <r>
          <rPr>
            <sz val="10"/>
            <rFont val="Arial"/>
            <family val="2"/>
          </rPr>
          <t xml:space="preserve">Within each district, ACs are assigned to alliances so the district totals equal the actual ECI seat counts, choosing the assignment that maximises the model's total log-probability (Python, scipy linear_sum_assignment). Typed values (blue).</t>
        </r>
      </text>
    </comment>
  </commentList>
</comments>
</file>

<file path=xl/sharedStrings.xml><?xml version="1.0" encoding="utf-8"?>
<sst xmlns="http://schemas.openxmlformats.org/spreadsheetml/2006/main" count="1819" uniqueCount="453">
  <si>
    <t xml:space="preserve">SAKET TN 2026 estimate — summary vs actual result</t>
  </si>
  <si>
    <t xml:space="preserve">All figures are formulas on the AC Estimate and District Estimate sheets.</t>
  </si>
  <si>
    <t xml:space="preserve">Measure</t>
  </si>
  <si>
    <t xml:space="preserve">TVK</t>
  </si>
  <si>
    <t xml:space="preserve">AIADMK+</t>
  </si>
  <si>
    <t xml:space="preserve">DMK+</t>
  </si>
  <si>
    <t xml:space="preserve">Total</t>
  </si>
  <si>
    <t xml:space="preserve">Estimated seats</t>
  </si>
  <si>
    <t xml:space="preserve">Actual seats 2026 (ECI)</t>
  </si>
  <si>
    <t xml:space="preserve">Δ actual − estimate</t>
  </si>
  <si>
    <t xml:space="preserve">Estimated seats that were won (precision)</t>
  </si>
  <si>
    <t xml:space="preserve">Seats 2021 (ECI) — 2021 winner column not in this file</t>
  </si>
  <si>
    <t xml:space="preserve">Accuracy</t>
  </si>
  <si>
    <t xml:space="preserve">Constituencies called correctly</t>
  </si>
  <si>
    <t xml:space="preserve">AC accuracy</t>
  </si>
  <si>
    <t xml:space="preserve">Baseline: every seat to TVK</t>
  </si>
  <si>
    <t xml:space="preserve">Districts where estimated top party = actual top party</t>
  </si>
  <si>
    <t xml:space="preserve">Districts with a tie on either side</t>
  </si>
  <si>
    <t xml:space="preserve">Districts missed</t>
  </si>
  <si>
    <t xml:space="preserve">Total absolute district seat error</t>
  </si>
  <si>
    <t xml:space="preserve">Survey vote share</t>
  </si>
  <si>
    <t xml:space="preserve">NOTA</t>
  </si>
  <si>
    <t xml:space="preserve">NTK</t>
  </si>
  <si>
    <t xml:space="preserve">All responses (incl. no AC)</t>
  </si>
  <si>
    <t xml:space="preserve">Actual 2026 vote share (ECI)</t>
  </si>
  <si>
    <t xml:space="preserve">Actual − survey (pts)</t>
  </si>
  <si>
    <t xml:space="preserve">Sources: AC list and districts — Wikipedia "List of constituencies of the Tamil Nadu Legislative Assembly" and the district-wise seat table in "2026 Tamil Nadu Legislative Assembly election" (ECI results, 4 May 2026). Actual winners — ECI via IndiaVotes (TVK 108, DMK 59, AIADMK 47, INC 5, PMK 4, VCK 2, CPI 2, CPI(M) 2, IUML 2, BJP 1, AMMK 1, DMDK 1). 2021 winners — ECI (github.com/tecoholic/Election2021).</t>
  </si>
  <si>
    <t xml:space="preserve">DMK+ = DMK, INC, VCK, CPI, CPI(M), IUML, DMDK. AIADMK+ = AIADMK, BJP, PMK, AMMK. Saket's winner calls "DMK" and "ADMK" are read as the DMK and AIADMK alliances.</t>
  </si>
  <si>
    <t xml:space="preserve">Calibrated estimate (see Calibration sheet)</t>
  </si>
  <si>
    <t xml:space="preserve">Calibrated seats</t>
  </si>
  <si>
    <t xml:space="preserve">Δ actual − calibrated</t>
  </si>
  <si>
    <t xml:space="preserve">Calibrated constituencies called correctly</t>
  </si>
  <si>
    <t xml:space="preserve">Final AC accuracy (cross-validated in brackets)</t>
  </si>
  <si>
    <t xml:space="preserve">Calibrated total absolute district seat error</t>
  </si>
  <si>
    <t xml:space="preserve">Others</t>
  </si>
  <si>
    <t xml:space="preserve">Calibrated vote share</t>
  </si>
  <si>
    <t xml:space="preserve">Actual − calibrated (pts)</t>
  </si>
  <si>
    <t xml:space="preserve">Districts with every alliance within tolerance</t>
  </si>
  <si>
    <t xml:space="preserve">Calibration of the survey estimate to the 2026 ECI result</t>
  </si>
  <si>
    <t xml:space="preserve">Hindcast: weights and the seat model are fitted to the declared result. The cross-validated accuracy (row 31) is the honest measure of how well the survey predicts.</t>
  </si>
  <si>
    <t xml:space="preserve">Tolerance (± pts vote share / ± seats per district)</t>
  </si>
  <si>
    <t xml:space="preserve">Vote share</t>
  </si>
  <si>
    <t xml:space="preserve">Raw survey share (all responses)</t>
  </si>
  <si>
    <t xml:space="preserve">Actual 2026 share (ECI)</t>
  </si>
  <si>
    <t xml:space="preserve">Weight per response (actual ÷ raw)</t>
  </si>
  <si>
    <t xml:space="preserve">Calibrated share</t>
  </si>
  <si>
    <t xml:space="preserve">Actual − raw survey (pts)</t>
  </si>
  <si>
    <t xml:space="preserve">Within tolerance?</t>
  </si>
  <si>
    <t xml:space="preserve">Others = parties the survey did not ask about (independents, BSP etc.). Its calibrated share is the ECI residual, not a survey figure.</t>
  </si>
  <si>
    <t xml:space="preserve">Seats</t>
  </si>
  <si>
    <t xml:space="preserve">Saket's original estimate</t>
  </si>
  <si>
    <t xml:space="preserve">Final estimate (district-calibrated)</t>
  </si>
  <si>
    <t xml:space="preserve">Actual 2026 (ECI)</t>
  </si>
  <si>
    <t xml:space="preserve">Actual − calibrated (seats)</t>
  </si>
  <si>
    <t xml:space="preserve">Error as % of 234 seats</t>
  </si>
  <si>
    <t xml:space="preserve">Constituency accuracy</t>
  </si>
  <si>
    <t xml:space="preserve">ACs right</t>
  </si>
  <si>
    <t xml:space="preserve">Saket's calls</t>
  </si>
  <si>
    <t xml:space="preserve">Survey leader (raw shares)</t>
  </si>
  <si>
    <t xml:space="preserve">Calibrated model (fitted on all 234 ACs)</t>
  </si>
  <si>
    <t xml:space="preserve">Model, cross-validated (each district predicted by a model that never saw it)</t>
  </si>
  <si>
    <t xml:space="preserve">Final, cross-validated (model never saw the district; district totals imposed)</t>
  </si>
  <si>
    <t xml:space="preserve">Seat model: multinomial logistic regression (scikit-learn, C = 1) on AC survey shares, district survey shares and log sample size</t>
  </si>
  <si>
    <t xml:space="preserve">Score = intercept + offset + Σ coef × feature; the call is the alliance with the highest score. Offsets are tuned so seat totals equal the actual result. Probabilities are the softmax of the scores.</t>
  </si>
  <si>
    <t xml:space="preserve">Alliance</t>
  </si>
  <si>
    <t xml:space="preserve">AIADMK+ %</t>
  </si>
  <si>
    <t xml:space="preserve">DMK+ %</t>
  </si>
  <si>
    <t xml:space="preserve">NOTA %</t>
  </si>
  <si>
    <t xml:space="preserve">NTK %</t>
  </si>
  <si>
    <t xml:space="preserve">TVK %</t>
  </si>
  <si>
    <t xml:space="preserve">Dist AIADMK+ %</t>
  </si>
  <si>
    <t xml:space="preserve">Dist DMK+ %</t>
  </si>
  <si>
    <t xml:space="preserve">Dist NOTA %</t>
  </si>
  <si>
    <t xml:space="preserve">Dist NTK %</t>
  </si>
  <si>
    <t xml:space="preserve">Dist TVK %</t>
  </si>
  <si>
    <t xml:space="preserve">ln(n)</t>
  </si>
  <si>
    <t xml:space="preserve">Intercept</t>
  </si>
  <si>
    <t xml:space="preserve">Seat offset</t>
  </si>
  <si>
    <t xml:space="preserve">District-wise split: every AC under its district, with the final estimate and the 2026 result</t>
  </si>
  <si>
    <t xml:space="preserve">All values are formulas on AC Estimate (looked up by AC No). Subtotal rows compare estimated and actual seats per alliance.</t>
  </si>
  <si>
    <t xml:space="preserve">AC No</t>
  </si>
  <si>
    <t xml:space="preserve">AC</t>
  </si>
  <si>
    <t xml:space="preserve">District</t>
  </si>
  <si>
    <t xml:space="preserve">Survey n</t>
  </si>
  <si>
    <t xml:space="preserve">Saket's call</t>
  </si>
  <si>
    <t xml:space="preserve">Final estimate</t>
  </si>
  <si>
    <t xml:space="preserve">P(win)</t>
  </si>
  <si>
    <t xml:space="preserve">Actual winner (ECI)</t>
  </si>
  <si>
    <t xml:space="preserve">Actual alliance</t>
  </si>
  <si>
    <t xml:space="preserve">Match?</t>
  </si>
  <si>
    <t xml:space="preserve">Ariyalur</t>
  </si>
  <si>
    <t xml:space="preserve">Ariyalur subtotal</t>
  </si>
  <si>
    <t xml:space="preserve">Est. T/A/D</t>
  </si>
  <si>
    <t xml:space="preserve">Actual T/A/D</t>
  </si>
  <si>
    <t xml:space="preserve">Chengalpattu</t>
  </si>
  <si>
    <t xml:space="preserve">Chengalpattu subtotal</t>
  </si>
  <si>
    <t xml:space="preserve">Chennai</t>
  </si>
  <si>
    <t xml:space="preserve">Chennai subtotal</t>
  </si>
  <si>
    <t xml:space="preserve">Coimbatore</t>
  </si>
  <si>
    <t xml:space="preserve">Coimbatore subtotal</t>
  </si>
  <si>
    <t xml:space="preserve">Cuddalore</t>
  </si>
  <si>
    <t xml:space="preserve">Cuddalore subtotal</t>
  </si>
  <si>
    <t xml:space="preserve">Dharmapuri</t>
  </si>
  <si>
    <t xml:space="preserve">Dharmapuri subtotal</t>
  </si>
  <si>
    <t xml:space="preserve">Dindigul</t>
  </si>
  <si>
    <t xml:space="preserve">Dindigul subtotal</t>
  </si>
  <si>
    <t xml:space="preserve">Erode</t>
  </si>
  <si>
    <t xml:space="preserve">Erode subtotal</t>
  </si>
  <si>
    <t xml:space="preserve">Kallakurichi</t>
  </si>
  <si>
    <t xml:space="preserve">Kallakurichi subtotal</t>
  </si>
  <si>
    <t xml:space="preserve">Kancheepuram</t>
  </si>
  <si>
    <t xml:space="preserve">Kancheepuram subtotal</t>
  </si>
  <si>
    <t xml:space="preserve">Kanniyakumari</t>
  </si>
  <si>
    <t xml:space="preserve">Kanniyakumari subtotal</t>
  </si>
  <si>
    <t xml:space="preserve">Karur</t>
  </si>
  <si>
    <t xml:space="preserve">Karur subtotal</t>
  </si>
  <si>
    <t xml:space="preserve">Krishnagiri</t>
  </si>
  <si>
    <t xml:space="preserve">Krishnagiri subtotal</t>
  </si>
  <si>
    <t xml:space="preserve">Madurai</t>
  </si>
  <si>
    <t xml:space="preserve">Madurai subtotal</t>
  </si>
  <si>
    <t xml:space="preserve">Mayiladuthurai</t>
  </si>
  <si>
    <t xml:space="preserve">Mayiladuthurai subtotal</t>
  </si>
  <si>
    <t xml:space="preserve">Nagapattinam</t>
  </si>
  <si>
    <t xml:space="preserve">Nagapattinam subtotal</t>
  </si>
  <si>
    <t xml:space="preserve">Namakkal</t>
  </si>
  <si>
    <t xml:space="preserve">Namakkal subtotal</t>
  </si>
  <si>
    <t xml:space="preserve">Perambalur</t>
  </si>
  <si>
    <t xml:space="preserve">Perambalur subtotal</t>
  </si>
  <si>
    <t xml:space="preserve">Pudukkottai</t>
  </si>
  <si>
    <t xml:space="preserve">Pudukkottai subtotal</t>
  </si>
  <si>
    <t xml:space="preserve">Ramanathapuram</t>
  </si>
  <si>
    <t xml:space="preserve">Ramanathapuram subtotal</t>
  </si>
  <si>
    <t xml:space="preserve">Ranipet</t>
  </si>
  <si>
    <t xml:space="preserve">Ranipet subtotal</t>
  </si>
  <si>
    <t xml:space="preserve">Salem</t>
  </si>
  <si>
    <t xml:space="preserve">Salem subtotal</t>
  </si>
  <si>
    <t xml:space="preserve">Sivaganga</t>
  </si>
  <si>
    <t xml:space="preserve">Sivaganga subtotal</t>
  </si>
  <si>
    <t xml:space="preserve">Tenkasi</t>
  </si>
  <si>
    <t xml:space="preserve">Tenkasi subtotal</t>
  </si>
  <si>
    <t xml:space="preserve">Thanjavur</t>
  </si>
  <si>
    <t xml:space="preserve">Thanjavur subtotal</t>
  </si>
  <si>
    <t xml:space="preserve">The Nilgiris</t>
  </si>
  <si>
    <t xml:space="preserve">The Nilgiris subtotal</t>
  </si>
  <si>
    <t xml:space="preserve">Theni</t>
  </si>
  <si>
    <t xml:space="preserve">Theni subtotal</t>
  </si>
  <si>
    <t xml:space="preserve">Thiruvallur</t>
  </si>
  <si>
    <t xml:space="preserve">Thiruvallur subtotal</t>
  </si>
  <si>
    <t xml:space="preserve">Thoothukudi</t>
  </si>
  <si>
    <t xml:space="preserve">Thoothukudi subtotal</t>
  </si>
  <si>
    <t xml:space="preserve">Tiruchirappalli</t>
  </si>
  <si>
    <t xml:space="preserve">Tiruchirappalli subtotal</t>
  </si>
  <si>
    <t xml:space="preserve">Tirunelveli</t>
  </si>
  <si>
    <t xml:space="preserve">Tirunelveli subtotal</t>
  </si>
  <si>
    <t xml:space="preserve">Tirupathur</t>
  </si>
  <si>
    <t xml:space="preserve">Tirupathur subtotal</t>
  </si>
  <si>
    <t xml:space="preserve">Tiruppur</t>
  </si>
  <si>
    <t xml:space="preserve">Tiruppur subtotal</t>
  </si>
  <si>
    <t xml:space="preserve">Tiruvannamalai</t>
  </si>
  <si>
    <t xml:space="preserve">Tiruvannamalai subtotal</t>
  </si>
  <si>
    <t xml:space="preserve">Tiruvarur</t>
  </si>
  <si>
    <t xml:space="preserve">Tiruvarur subtotal</t>
  </si>
  <si>
    <t xml:space="preserve">Vellore</t>
  </si>
  <si>
    <t xml:space="preserve">Vellore subtotal</t>
  </si>
  <si>
    <t xml:space="preserve">Villupuram</t>
  </si>
  <si>
    <t xml:space="preserve">Villupuram subtotal</t>
  </si>
  <si>
    <t xml:space="preserve">Virudhunagar</t>
  </si>
  <si>
    <t xml:space="preserve">Virudhunagar subtotal</t>
  </si>
  <si>
    <t xml:space="preserve">Tamil Nadu total</t>
  </si>
  <si>
    <t xml:space="preserve">Tamil Nadu 2026 — AC-wise estimate (Saket) with district and actual 2026 result</t>
  </si>
  <si>
    <t xml:space="preserve">Survey vote counts and "Winner (estimate)" are from SAKET_TN.xlsx, unchanged (blue). AC number and district: Wikipedia, "List of constituencies of the Tamil Nadu Legislative Assembly", grouped as in the district-wise results of "2026 Tamil Nadu Legislative Assembly election" (ECI). Actual 2026 winner: ECI result (4 May 2026) as listed by IndiaVotes; party totals match ECI.</t>
  </si>
  <si>
    <t xml:space="preserve">District (ECI 2026)</t>
  </si>
  <si>
    <t xml:space="preserve">AIDMK+BJP+PMK+AMMK</t>
  </si>
  <si>
    <t xml:space="preserve">DMK+INC+VCK</t>
  </si>
  <si>
    <t xml:space="preserve">AIDMK+BJP+PMK+AMMK %</t>
  </si>
  <si>
    <t xml:space="preserve">DMK+INC+VCK %</t>
  </si>
  <si>
    <t xml:space="preserve">Winner (estimate)</t>
  </si>
  <si>
    <t xml:space="preserve">Estimate alliance</t>
  </si>
  <si>
    <t xml:space="preserve">Actual 2026 winner party (ECI)</t>
  </si>
  <si>
    <t xml:space="preserve">Actual 2026 alliance</t>
  </si>
  <si>
    <t xml:space="preserve">Note</t>
  </si>
  <si>
    <t xml:space="preserve">Score AIADMK+</t>
  </si>
  <si>
    <t xml:space="preserve">Score DMK+</t>
  </si>
  <si>
    <t xml:space="preserve">Score TVK</t>
  </si>
  <si>
    <t xml:space="preserve">P(win) TVK</t>
  </si>
  <si>
    <t xml:space="preserve">Model call (statewide fit)</t>
  </si>
  <si>
    <t xml:space="preserve">Calibrated match?</t>
  </si>
  <si>
    <t xml:space="preserve">Changed vs Saket?</t>
  </si>
  <si>
    <t xml:space="preserve">Survey leader</t>
  </si>
  <si>
    <t xml:space="preserve">P(win) AIADMK+</t>
  </si>
  <si>
    <t xml:space="preserve">P(win) DMK+</t>
  </si>
  <si>
    <t xml:space="preserve">Final match?</t>
  </si>
  <si>
    <t xml:space="preserve">P(win) of final call</t>
  </si>
  <si>
    <t xml:space="preserve">Gummidipoondi</t>
  </si>
  <si>
    <t xml:space="preserve">Ponneri</t>
  </si>
  <si>
    <t xml:space="preserve">Tiruttani</t>
  </si>
  <si>
    <t xml:space="preserve">AIADMK</t>
  </si>
  <si>
    <t xml:space="preserve">DMK</t>
  </si>
  <si>
    <t xml:space="preserve">Poonamallee</t>
  </si>
  <si>
    <t xml:space="preserve">Avadi</t>
  </si>
  <si>
    <t xml:space="preserve">Maduravoyal</t>
  </si>
  <si>
    <t xml:space="preserve">Ambattur</t>
  </si>
  <si>
    <t xml:space="preserve">Madavaram</t>
  </si>
  <si>
    <t xml:space="preserve">Thiruvottiyur</t>
  </si>
  <si>
    <t xml:space="preserve">Dr. Radhakrishnan Nagar</t>
  </si>
  <si>
    <t xml:space="preserve">Perambur</t>
  </si>
  <si>
    <t xml:space="preserve">Kolathur</t>
  </si>
  <si>
    <t xml:space="preserve">Villivakkam</t>
  </si>
  <si>
    <t xml:space="preserve">Thiru-Vi-Ka-Nagar</t>
  </si>
  <si>
    <t xml:space="preserve">Egmore</t>
  </si>
  <si>
    <t xml:space="preserve">Royapuram</t>
  </si>
  <si>
    <t xml:space="preserve">Harbour</t>
  </si>
  <si>
    <t xml:space="preserve">Chepauk-Thiruvallikeni</t>
  </si>
  <si>
    <t xml:space="preserve">Thousand Lights</t>
  </si>
  <si>
    <t xml:space="preserve">Anna Nagar</t>
  </si>
  <si>
    <t xml:space="preserve">Virugampakkam</t>
  </si>
  <si>
    <t xml:space="preserve">Saidapet</t>
  </si>
  <si>
    <t xml:space="preserve">Thiyagarayanagar</t>
  </si>
  <si>
    <t xml:space="preserve">ADMK</t>
  </si>
  <si>
    <t xml:space="preserve">Mylapore</t>
  </si>
  <si>
    <t xml:space="preserve">Velachery</t>
  </si>
  <si>
    <t xml:space="preserve">Sholinganallur</t>
  </si>
  <si>
    <t xml:space="preserve">Alandur</t>
  </si>
  <si>
    <t xml:space="preserve">Sriperumbudur</t>
  </si>
  <si>
    <t xml:space="preserve">Pallavaram</t>
  </si>
  <si>
    <t xml:space="preserve">Tambaram</t>
  </si>
  <si>
    <t xml:space="preserve">Thiruporur</t>
  </si>
  <si>
    <t xml:space="preserve">Cheyyur</t>
  </si>
  <si>
    <t xml:space="preserve">Madurantakam</t>
  </si>
  <si>
    <t xml:space="preserve">Uthiramerur</t>
  </si>
  <si>
    <t xml:space="preserve">Arakkonam</t>
  </si>
  <si>
    <t xml:space="preserve">Sholingur</t>
  </si>
  <si>
    <t xml:space="preserve">Katpadi</t>
  </si>
  <si>
    <t xml:space="preserve">Arcot</t>
  </si>
  <si>
    <t xml:space="preserve">Anaikattu</t>
  </si>
  <si>
    <t xml:space="preserve">Kilvaithinankuppam</t>
  </si>
  <si>
    <t xml:space="preserve">Gudiyatham</t>
  </si>
  <si>
    <t xml:space="preserve">Vaniyambadi</t>
  </si>
  <si>
    <t xml:space="preserve">IUML</t>
  </si>
  <si>
    <t xml:space="preserve">Ambur</t>
  </si>
  <si>
    <t xml:space="preserve">Jolarpet</t>
  </si>
  <si>
    <t xml:space="preserve">Tiruppattur</t>
  </si>
  <si>
    <t xml:space="preserve">Survey did not separate the two Tiruppattur seats: Sivaganga seat given its raw-survey counts, the rest here; both use the single winner call.</t>
  </si>
  <si>
    <t xml:space="preserve">Uthangarai</t>
  </si>
  <si>
    <t xml:space="preserve">Bargur</t>
  </si>
  <si>
    <t xml:space="preserve">Veppanahalli</t>
  </si>
  <si>
    <t xml:space="preserve">Hosur</t>
  </si>
  <si>
    <t xml:space="preserve">Thalli</t>
  </si>
  <si>
    <t xml:space="preserve">CPI</t>
  </si>
  <si>
    <t xml:space="preserve">Palacode</t>
  </si>
  <si>
    <t xml:space="preserve">Pennagaram</t>
  </si>
  <si>
    <t xml:space="preserve">PMK</t>
  </si>
  <si>
    <t xml:space="preserve">Pappireddippatti</t>
  </si>
  <si>
    <t xml:space="preserve">Harur</t>
  </si>
  <si>
    <t xml:space="preserve">Chengam</t>
  </si>
  <si>
    <t xml:space="preserve">Kilpennathur</t>
  </si>
  <si>
    <t xml:space="preserve">Kalasapakkam</t>
  </si>
  <si>
    <t xml:space="preserve">Polur</t>
  </si>
  <si>
    <t xml:space="preserve">Arani</t>
  </si>
  <si>
    <t xml:space="preserve">Cheyyar</t>
  </si>
  <si>
    <t xml:space="preserve">Vandavasi</t>
  </si>
  <si>
    <t xml:space="preserve">Gingee</t>
  </si>
  <si>
    <t xml:space="preserve">Mailam</t>
  </si>
  <si>
    <t xml:space="preserve">Tindivanam</t>
  </si>
  <si>
    <t xml:space="preserve">VCK</t>
  </si>
  <si>
    <t xml:space="preserve">Vanur</t>
  </si>
  <si>
    <t xml:space="preserve">Vikravandi</t>
  </si>
  <si>
    <t xml:space="preserve">Tirukkoyilur</t>
  </si>
  <si>
    <t xml:space="preserve">Ulundurpettai</t>
  </si>
  <si>
    <t xml:space="preserve">Rishivandiyam</t>
  </si>
  <si>
    <t xml:space="preserve">Sankarapuram</t>
  </si>
  <si>
    <t xml:space="preserve">Gangavalli</t>
  </si>
  <si>
    <t xml:space="preserve">Attur</t>
  </si>
  <si>
    <t xml:space="preserve">Yercaud</t>
  </si>
  <si>
    <t xml:space="preserve">Omalur</t>
  </si>
  <si>
    <t xml:space="preserve">Mettur</t>
  </si>
  <si>
    <t xml:space="preserve">Edappadi</t>
  </si>
  <si>
    <t xml:space="preserve">Sankari</t>
  </si>
  <si>
    <t xml:space="preserve">Salem (West)</t>
  </si>
  <si>
    <t xml:space="preserve">Salem (North)</t>
  </si>
  <si>
    <t xml:space="preserve">Salem (South)</t>
  </si>
  <si>
    <t xml:space="preserve">Veerapandi</t>
  </si>
  <si>
    <t xml:space="preserve">Rasipuram</t>
  </si>
  <si>
    <t xml:space="preserve">Senthamangalam</t>
  </si>
  <si>
    <t xml:space="preserve">Paramathi Velur</t>
  </si>
  <si>
    <t xml:space="preserve">Tiruchengodu</t>
  </si>
  <si>
    <t xml:space="preserve">Kumarapalayam</t>
  </si>
  <si>
    <t xml:space="preserve">Erode (East)</t>
  </si>
  <si>
    <t xml:space="preserve">Erode (West)</t>
  </si>
  <si>
    <t xml:space="preserve">Modakkurichi</t>
  </si>
  <si>
    <t xml:space="preserve">Dharapuram</t>
  </si>
  <si>
    <t xml:space="preserve">Kangayam</t>
  </si>
  <si>
    <t xml:space="preserve">Perundurai</t>
  </si>
  <si>
    <t xml:space="preserve">Bhavani</t>
  </si>
  <si>
    <t xml:space="preserve">Anthiyur</t>
  </si>
  <si>
    <t xml:space="preserve">Gobichettipalayam</t>
  </si>
  <si>
    <t xml:space="preserve">Bhavanisagar</t>
  </si>
  <si>
    <t xml:space="preserve">Udhagamandalam</t>
  </si>
  <si>
    <t xml:space="preserve">BJP</t>
  </si>
  <si>
    <t xml:space="preserve">Gudalur</t>
  </si>
  <si>
    <t xml:space="preserve">Coonoor</t>
  </si>
  <si>
    <t xml:space="preserve">Mettupalayam</t>
  </si>
  <si>
    <t xml:space="preserve">Avanashi</t>
  </si>
  <si>
    <t xml:space="preserve">Tiruppur (North)</t>
  </si>
  <si>
    <t xml:space="preserve">Tiruppur (South)</t>
  </si>
  <si>
    <t xml:space="preserve">Palladam</t>
  </si>
  <si>
    <t xml:space="preserve">Sulur</t>
  </si>
  <si>
    <t xml:space="preserve">Kavundampalayam</t>
  </si>
  <si>
    <t xml:space="preserve">Coimbatore (North)</t>
  </si>
  <si>
    <t xml:space="preserve">Thondamuthur</t>
  </si>
  <si>
    <t xml:space="preserve">Coimbatore (South)</t>
  </si>
  <si>
    <t xml:space="preserve">Singanallur</t>
  </si>
  <si>
    <t xml:space="preserve">Kinathukadavu</t>
  </si>
  <si>
    <t xml:space="preserve">Pollachi</t>
  </si>
  <si>
    <t xml:space="preserve">Valparai</t>
  </si>
  <si>
    <t xml:space="preserve">Udumalaipettai</t>
  </si>
  <si>
    <t xml:space="preserve">Madathukulam</t>
  </si>
  <si>
    <t xml:space="preserve">Palani</t>
  </si>
  <si>
    <t xml:space="preserve">Oddanchatram</t>
  </si>
  <si>
    <t xml:space="preserve">Athoor</t>
  </si>
  <si>
    <t xml:space="preserve">Nilakottai</t>
  </si>
  <si>
    <t xml:space="preserve">Natham</t>
  </si>
  <si>
    <t xml:space="preserve">Vedasandur</t>
  </si>
  <si>
    <t xml:space="preserve">Aravakurichi</t>
  </si>
  <si>
    <t xml:space="preserve">Krishnarayapuram</t>
  </si>
  <si>
    <t xml:space="preserve">Kulithalai</t>
  </si>
  <si>
    <t xml:space="preserve">Manapaarai</t>
  </si>
  <si>
    <t xml:space="preserve">Srirangam</t>
  </si>
  <si>
    <t xml:space="preserve">Tiruchirappalli (West)</t>
  </si>
  <si>
    <t xml:space="preserve">Tiruchirappalli (East)</t>
  </si>
  <si>
    <t xml:space="preserve">Thiruverumbur</t>
  </si>
  <si>
    <t xml:space="preserve">Lalgudi</t>
  </si>
  <si>
    <t xml:space="preserve">Manachanallur</t>
  </si>
  <si>
    <t xml:space="preserve">Musiri</t>
  </si>
  <si>
    <t xml:space="preserve">Thuraiyur</t>
  </si>
  <si>
    <t xml:space="preserve">Kunnam</t>
  </si>
  <si>
    <t xml:space="preserve">Jayankondam</t>
  </si>
  <si>
    <t xml:space="preserve">Tittakudi</t>
  </si>
  <si>
    <t xml:space="preserve">Virudhachalam</t>
  </si>
  <si>
    <t xml:space="preserve">DMDK</t>
  </si>
  <si>
    <t xml:space="preserve">Neyveli</t>
  </si>
  <si>
    <t xml:space="preserve">Panruti</t>
  </si>
  <si>
    <t xml:space="preserve">Kurinjipadi</t>
  </si>
  <si>
    <t xml:space="preserve">Bhuvanagiri</t>
  </si>
  <si>
    <t xml:space="preserve">Chidambaram</t>
  </si>
  <si>
    <t xml:space="preserve">Kattumannarkoil</t>
  </si>
  <si>
    <t xml:space="preserve">Sirkazhi</t>
  </si>
  <si>
    <t xml:space="preserve">Mayiladuturai</t>
  </si>
  <si>
    <t xml:space="preserve">INC</t>
  </si>
  <si>
    <t xml:space="preserve">Poompuhar</t>
  </si>
  <si>
    <t xml:space="preserve">Kilvelur</t>
  </si>
  <si>
    <t xml:space="preserve">CPM</t>
  </si>
  <si>
    <t xml:space="preserve">Vedaranyam</t>
  </si>
  <si>
    <t xml:space="preserve">Thiruthuraipoondi</t>
  </si>
  <si>
    <t xml:space="preserve">Mannargudi</t>
  </si>
  <si>
    <t xml:space="preserve">AMMK</t>
  </si>
  <si>
    <t xml:space="preserve">Thiruvarur</t>
  </si>
  <si>
    <t xml:space="preserve">Nannilam</t>
  </si>
  <si>
    <t xml:space="preserve">Thiruvidaimarudur</t>
  </si>
  <si>
    <t xml:space="preserve">Kumbakonam</t>
  </si>
  <si>
    <t xml:space="preserve">Papanasam</t>
  </si>
  <si>
    <t xml:space="preserve">Thiruvaiyaru</t>
  </si>
  <si>
    <t xml:space="preserve">Orathanadu</t>
  </si>
  <si>
    <t xml:space="preserve">Pattukkottai</t>
  </si>
  <si>
    <t xml:space="preserve">Peravurani</t>
  </si>
  <si>
    <t xml:space="preserve">Gandarvakottai</t>
  </si>
  <si>
    <t xml:space="preserve">Viralimalai</t>
  </si>
  <si>
    <t xml:space="preserve">Thirumayam</t>
  </si>
  <si>
    <t xml:space="preserve">Alangudi</t>
  </si>
  <si>
    <t xml:space="preserve">Aranthangi</t>
  </si>
  <si>
    <t xml:space="preserve">Karaikudi</t>
  </si>
  <si>
    <t xml:space="preserve">See AC 50 note.</t>
  </si>
  <si>
    <t xml:space="preserve">Manamadurai</t>
  </si>
  <si>
    <t xml:space="preserve">Melur</t>
  </si>
  <si>
    <t xml:space="preserve">Madurai East</t>
  </si>
  <si>
    <t xml:space="preserve">Sholavandan</t>
  </si>
  <si>
    <t xml:space="preserve">Madurai North</t>
  </si>
  <si>
    <t xml:space="preserve">Madurai South</t>
  </si>
  <si>
    <t xml:space="preserve">Madurai Central</t>
  </si>
  <si>
    <t xml:space="preserve">Madurai West</t>
  </si>
  <si>
    <t xml:space="preserve">Thiruparankundram</t>
  </si>
  <si>
    <t xml:space="preserve">Thirumangalam</t>
  </si>
  <si>
    <t xml:space="preserve">Usilampatti</t>
  </si>
  <si>
    <t xml:space="preserve">Andipatti</t>
  </si>
  <si>
    <t xml:space="preserve">Periyakulam</t>
  </si>
  <si>
    <t xml:space="preserve">Bodinayakanur</t>
  </si>
  <si>
    <t xml:space="preserve">Cumbum</t>
  </si>
  <si>
    <t xml:space="preserve">Rajapalayam</t>
  </si>
  <si>
    <t xml:space="preserve">Srivilliputhur</t>
  </si>
  <si>
    <t xml:space="preserve">Sattur</t>
  </si>
  <si>
    <t xml:space="preserve">Sivakasi</t>
  </si>
  <si>
    <t xml:space="preserve">Aruppukkottai</t>
  </si>
  <si>
    <t xml:space="preserve">Tiruchuli</t>
  </si>
  <si>
    <t xml:space="preserve">Paramakudi</t>
  </si>
  <si>
    <t xml:space="preserve">Tiruvadanai</t>
  </si>
  <si>
    <t xml:space="preserve">Mudhukulathur</t>
  </si>
  <si>
    <t xml:space="preserve">Vilathikulam</t>
  </si>
  <si>
    <t xml:space="preserve">Thoothukkudi</t>
  </si>
  <si>
    <t xml:space="preserve">Tiruchendur</t>
  </si>
  <si>
    <t xml:space="preserve">Srivaikuntam</t>
  </si>
  <si>
    <t xml:space="preserve">Ottapidaram</t>
  </si>
  <si>
    <t xml:space="preserve">Kovilpatti</t>
  </si>
  <si>
    <t xml:space="preserve">Sankarankovil</t>
  </si>
  <si>
    <t xml:space="preserve">Vasudevanallur</t>
  </si>
  <si>
    <t xml:space="preserve">Kadayanallur</t>
  </si>
  <si>
    <t xml:space="preserve">Alangulam</t>
  </si>
  <si>
    <t xml:space="preserve">Ambasamudram</t>
  </si>
  <si>
    <t xml:space="preserve">Palayamkottai</t>
  </si>
  <si>
    <t xml:space="preserve">Nanguneri</t>
  </si>
  <si>
    <t xml:space="preserve">Radhapuram</t>
  </si>
  <si>
    <t xml:space="preserve">Nagercoil</t>
  </si>
  <si>
    <t xml:space="preserve">Colachal</t>
  </si>
  <si>
    <t xml:space="preserve">Padmanabhapuram</t>
  </si>
  <si>
    <t xml:space="preserve">Vilavancode</t>
  </si>
  <si>
    <t xml:space="preserve">Killiyoor</t>
  </si>
  <si>
    <t xml:space="preserve">NO DIST, AC</t>
  </si>
  <si>
    <t xml:space="preserve">Grand Total</t>
  </si>
  <si>
    <t xml:space="preserve">Est. top party</t>
  </si>
  <si>
    <t xml:space="preserve">Count of Est. top party</t>
  </si>
  <si>
    <t xml:space="preserve">Tie</t>
  </si>
  <si>
    <t xml:space="preserve">Total Result</t>
  </si>
  <si>
    <t xml:space="preserve">District-wise estimate vs actual 2026 (38 districts, ECI/Wikipedia 2026 grouping)</t>
  </si>
  <si>
    <t xml:space="preserve">Survey votes and estimated seats summed from the AC Estimate sheet. Chennai includes Maduravoyal, Ambattur, Madavaram, Thiruvottiyur, Sholinganallur and Alandur. Δ = actual − estimate.</t>
  </si>
  <si>
    <t xml:space="preserve">ACs</t>
  </si>
  <si>
    <t xml:space="preserve">AIDMK+BJP+PMK+AMMK votes</t>
  </si>
  <si>
    <t xml:space="preserve">DMK+INC+VCK votes</t>
  </si>
  <si>
    <t xml:space="preserve">NOTA votes</t>
  </si>
  <si>
    <t xml:space="preserve">NTK votes</t>
  </si>
  <si>
    <t xml:space="preserve">TVK votes</t>
  </si>
  <si>
    <t xml:space="preserve">Total votes</t>
  </si>
  <si>
    <t xml:space="preserve">Est. TVK</t>
  </si>
  <si>
    <t xml:space="preserve">Est. AIADMK+</t>
  </si>
  <si>
    <t xml:space="preserve">Est. DMK+</t>
  </si>
  <si>
    <t xml:space="preserve">Actual TVK</t>
  </si>
  <si>
    <t xml:space="preserve">Actual AIADMK+</t>
  </si>
  <si>
    <t xml:space="preserve">Actual DMK+</t>
  </si>
  <si>
    <t xml:space="preserve">Δ TVK</t>
  </si>
  <si>
    <t xml:space="preserve">Δ AIADMK+</t>
  </si>
  <si>
    <t xml:space="preserve">Δ DMK+</t>
  </si>
  <si>
    <t xml:space="preserve">Seats called right</t>
  </si>
  <si>
    <t xml:space="preserve">Actual top party</t>
  </si>
  <si>
    <t xml:space="preserve">Top party match?</t>
  </si>
  <si>
    <t xml:space="preserve">Final TVK</t>
  </si>
  <si>
    <t xml:space="preserve">Final AIADMK+</t>
  </si>
  <si>
    <t xml:space="preserve">Final DMK+</t>
  </si>
  <si>
    <t xml:space="preserve">Final seats called right</t>
  </si>
  <si>
    <t xml:space="preserve">Final abs seat error</t>
  </si>
  <si>
    <t xml:space="preserve">Saket abs seat error</t>
  </si>
  <si>
    <t xml:space="preserve">Dev TVK</t>
  </si>
  <si>
    <t xml:space="preserve">Dev AIADMK+</t>
  </si>
  <si>
    <t xml:space="preserve">Dev DMK+</t>
  </si>
  <si>
    <t xml:space="preserve">Within ±tolerance?</t>
  </si>
  <si>
    <t xml:space="preserve">Tamil Nadu (with an AC)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</si>
</sst>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\+0;\-0;0"/>
    <numFmt numFmtId="167" formatCode="0"/>
    <numFmt numFmtId="168" formatCode="0.0%"/>
    <numFmt numFmtId="169" formatCode="\+0.0;\-0.0;0.0"/>
    <numFmt numFmtId="170" formatCode="\(0.0%\)"/>
    <numFmt numFmtId="171" formatCode="0.00%"/>
    <numFmt numFmtId="172" formatCode="\+0.00;\-0.00;0.00"/>
    <numFmt numFmtId="173" formatCode="0.000"/>
    <numFmt numFmtId="174" formatCode="\+0.00%;\-0.00%;0.00%"/>
    <numFmt numFmtId="175" formatCode="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name val="Arial"/>
      <family val="2"/>
      <charset val="1"/>
    </font>
    <font>
      <i val="true"/>
      <sz val="11"/>
      <color rgb="FF595959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0"/>
      <charset val="1"/>
    </font>
    <font>
      <sz val="11"/>
      <color rgb="FF0000FF"/>
      <name val="Arial"/>
      <family val="2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99CCFF"/>
      </patternFill>
    </fill>
    <fill>
      <patternFill patternType="solid">
        <fgColor rgb="FFD9E1F2"/>
        <bgColor rgb="FFC6EFCE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 style="thin">
        <color rgb="FF8EA9DB"/>
      </top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8EA9DB"/>
      <rgbColor rgb="FF993366"/>
      <rgbColor rgb="FFFFE69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8" createdVersion="3">
  <cacheSource type="worksheet">
    <worksheetSource ref="Y4:Y42" sheet="District Estimate"/>
  </cacheSource>
  <cacheFields count="1">
    <cacheField name="Est. top party" numFmtId="0">
      <sharedItems count="4">
        <s v="AIADMK+"/>
        <s v="DMK+"/>
        <s v="Tie"/>
        <s v="TVK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x v="2"/>
  </r>
  <r>
    <x v="3"/>
  </r>
  <r>
    <x v="3"/>
  </r>
  <r>
    <x v="3"/>
  </r>
  <r>
    <x v="0"/>
  </r>
  <r>
    <x v="0"/>
  </r>
  <r>
    <x v="3"/>
  </r>
  <r>
    <x v="0"/>
  </r>
  <r>
    <x v="3"/>
  </r>
  <r>
    <x v="1"/>
  </r>
  <r>
    <x v="3"/>
  </r>
  <r>
    <x v="3"/>
  </r>
  <r>
    <x v="3"/>
  </r>
  <r>
    <x v="1"/>
  </r>
  <r>
    <x v="0"/>
  </r>
  <r>
    <x v="1"/>
  </r>
  <r>
    <x v="2"/>
  </r>
  <r>
    <x v="2"/>
  </r>
  <r>
    <x v="3"/>
  </r>
  <r>
    <x v="1"/>
  </r>
  <r>
    <x v="0"/>
  </r>
  <r>
    <x v="3"/>
  </r>
  <r>
    <x v="2"/>
  </r>
  <r>
    <x v="1"/>
  </r>
  <r>
    <x v="2"/>
  </r>
  <r>
    <x v="3"/>
  </r>
  <r>
    <x v="1"/>
  </r>
  <r>
    <x v="3"/>
  </r>
  <r>
    <x v="1"/>
  </r>
  <r>
    <x v="1"/>
  </r>
  <r>
    <x v="1"/>
  </r>
  <r>
    <x v="2"/>
  </r>
  <r>
    <x v="3"/>
  </r>
  <r>
    <x v="3"/>
  </r>
  <r>
    <x v="1"/>
  </r>
  <r>
    <x v="3"/>
  </r>
  <r>
    <x v="0"/>
  </r>
  <r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8" firstHeaderRow="1" firstDataRow="1" firstDataCol="1"/>
  <pivotFields count="1">
    <pivotField axis="axisRow" dataField="1" showAll="0">
      <items count="5">
        <item x="0"/>
        <item x="1"/>
        <item x="2"/>
        <item x="3"/>
        <item t="default"/>
      </items>
    </pivotField>
  </pivotFields>
  <rowFields count="1">
    <field x="0"/>
  </rowFields>
  <dataFields count="1">
    <dataField name="Count of Est. top party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7" colorId="64" zoomScale="179" zoomScaleNormal="179" zoomScalePageLayoutView="100" workbookViewId="0">
      <selection pane="topLeft" activeCell="B22" activeCellId="0" sqref="B22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2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COUNTIF('AC Estimate'!$P$5:$P$238,"TVK")</f>
        <v>106</v>
      </c>
      <c r="C5" s="5" t="n">
        <f aca="false">COUNTIF('AC Estimate'!$P$5:$P$238,"AIADMK+")</f>
        <v>51</v>
      </c>
      <c r="D5" s="5" t="n">
        <f aca="false">COUNTIF('AC Estimate'!$P$5:$P$238,"DMK+")</f>
        <v>77</v>
      </c>
      <c r="E5" s="5" t="n">
        <f aca="false">SUM(B5:D5)</f>
        <v>234</v>
      </c>
    </row>
    <row r="6" customFormat="false" ht="15" hidden="false" customHeight="false" outlineLevel="0" collapsed="false">
      <c r="A6" s="4" t="s">
        <v>8</v>
      </c>
      <c r="B6" s="5" t="n">
        <f aca="false">COUNTIF('AC Estimate'!$R$5:$R$238,"TVK")</f>
        <v>108</v>
      </c>
      <c r="C6" s="5" t="n">
        <f aca="false">COUNTIF('AC Estimate'!$R$5:$R$238,"AIADMK+")</f>
        <v>53</v>
      </c>
      <c r="D6" s="5" t="n">
        <f aca="false">COUNTIF('AC Estimate'!$R$5:$R$238,"DMK+")</f>
        <v>73</v>
      </c>
      <c r="E6" s="5" t="n">
        <f aca="false">SUM(B6:D6)</f>
        <v>234</v>
      </c>
    </row>
    <row r="7" customFormat="false" ht="15" hidden="false" customHeight="false" outlineLevel="0" collapsed="false">
      <c r="A7" s="4" t="s">
        <v>9</v>
      </c>
      <c r="B7" s="6" t="n">
        <f aca="false">B6-B5</f>
        <v>2</v>
      </c>
      <c r="C7" s="6" t="n">
        <f aca="false">C6-C5</f>
        <v>2</v>
      </c>
      <c r="D7" s="6" t="n">
        <f aca="false">D6-D5</f>
        <v>-4</v>
      </c>
      <c r="E7" s="6" t="n">
        <f aca="false">SUM(B7:D7)</f>
        <v>0</v>
      </c>
    </row>
    <row r="8" customFormat="false" ht="15" hidden="false" customHeight="false" outlineLevel="0" collapsed="false">
      <c r="A8" s="4" t="s">
        <v>10</v>
      </c>
      <c r="B8" s="5" t="n">
        <f aca="false">COUNTIFS('AC Estimate'!$P$5:$P$238,"TVK",'AC Estimate'!$S$5:$S$238,"Yes")</f>
        <v>56</v>
      </c>
      <c r="C8" s="5" t="n">
        <f aca="false">COUNTIFS('AC Estimate'!$P$5:$P$238,"AIADMK+",'AC Estimate'!$S$5:$S$238,"Yes")</f>
        <v>17</v>
      </c>
      <c r="D8" s="5" t="n">
        <f aca="false">COUNTIFS('AC Estimate'!$P$5:$P$238,"DMK+",'AC Estimate'!$S$5:$S$238,"Yes")</f>
        <v>31</v>
      </c>
      <c r="E8" s="5" t="n">
        <f aca="false">SUM(B8:D8)</f>
        <v>104</v>
      </c>
    </row>
    <row r="9" customFormat="false" ht="15" hidden="false" customHeight="false" outlineLevel="0" collapsed="false">
      <c r="A9" s="7" t="s">
        <v>11</v>
      </c>
    </row>
    <row r="11" customFormat="false" ht="15" hidden="false" customHeight="false" outlineLevel="0" collapsed="false">
      <c r="A11" s="4" t="s">
        <v>12</v>
      </c>
    </row>
    <row r="12" customFormat="false" ht="15" hidden="false" customHeight="false" outlineLevel="0" collapsed="false">
      <c r="A12" s="0" t="s">
        <v>13</v>
      </c>
      <c r="B12" s="8" t="n">
        <f aca="false">COUNTIF('AC Estimate'!$S$5:$S$238,"Yes")</f>
        <v>104</v>
      </c>
    </row>
    <row r="13" customFormat="false" ht="15" hidden="false" customHeight="false" outlineLevel="0" collapsed="false">
      <c r="A13" s="0" t="s">
        <v>14</v>
      </c>
      <c r="B13" s="9" t="n">
        <f aca="false">B12/234</f>
        <v>0.444444444444444</v>
      </c>
    </row>
    <row r="14" customFormat="false" ht="15" hidden="false" customHeight="false" outlineLevel="0" collapsed="false">
      <c r="A14" s="0" t="s">
        <v>15</v>
      </c>
      <c r="B14" s="9" t="n">
        <f aca="false">COUNTIF('AC Estimate'!$R$5:$R$238,"TVK")/234</f>
        <v>0.461538461538462</v>
      </c>
    </row>
    <row r="15" customFormat="false" ht="15" hidden="false" customHeight="false" outlineLevel="0" collapsed="false">
      <c r="A15" s="0" t="s">
        <v>16</v>
      </c>
      <c r="B15" s="8" t="n">
        <f aca="false">COUNTIF('District Estimate'!AA5:AA42,"Yes")</f>
        <v>12</v>
      </c>
    </row>
    <row r="16" customFormat="false" ht="15" hidden="false" customHeight="false" outlineLevel="0" collapsed="false">
      <c r="A16" s="0" t="s">
        <v>17</v>
      </c>
      <c r="B16" s="8" t="n">
        <f aca="false">COUNTIF('District Estimate'!AA5:AA42,"Partly")</f>
        <v>10</v>
      </c>
    </row>
    <row r="17" customFormat="false" ht="15" hidden="false" customHeight="false" outlineLevel="0" collapsed="false">
      <c r="A17" s="0" t="s">
        <v>18</v>
      </c>
      <c r="B17" s="8" t="n">
        <f aca="false">COUNTIF('District Estimate'!AA5:AA42,"No")</f>
        <v>16</v>
      </c>
    </row>
    <row r="18" customFormat="false" ht="15" hidden="false" customHeight="false" outlineLevel="0" collapsed="false">
      <c r="A18" s="0" t="s">
        <v>19</v>
      </c>
      <c r="B18" s="8" t="n">
        <f aca="false">SUMPRODUCT(ABS('District Estimate'!U5:W42))</f>
        <v>170</v>
      </c>
    </row>
    <row r="20" customFormat="false" ht="15" hidden="false" customHeight="false" outlineLevel="0" collapsed="false">
      <c r="A20" s="4" t="s">
        <v>20</v>
      </c>
    </row>
    <row r="21" customFormat="false" ht="39.75" hidden="false" customHeight="true" outlineLevel="0" collapsed="false">
      <c r="A21" s="3" t="s">
        <v>2</v>
      </c>
      <c r="B21" s="3" t="s">
        <v>4</v>
      </c>
      <c r="C21" s="3" t="s">
        <v>5</v>
      </c>
      <c r="D21" s="3" t="s">
        <v>21</v>
      </c>
      <c r="E21" s="3" t="s">
        <v>22</v>
      </c>
      <c r="F21" s="3" t="s">
        <v>3</v>
      </c>
    </row>
    <row r="22" customFormat="false" ht="15" hidden="false" customHeight="false" outlineLevel="0" collapsed="false">
      <c r="A22" s="0" t="s">
        <v>23</v>
      </c>
      <c r="B22" s="10" t="n">
        <f aca="false">'AC Estimate'!J240</f>
        <v>0.279931800959838</v>
      </c>
      <c r="C22" s="10" t="n">
        <f aca="false">'AC Estimate'!K240</f>
        <v>0.300517807527153</v>
      </c>
      <c r="D22" s="10" t="n">
        <f aca="false">'AC Estimate'!L240</f>
        <v>0.00786183379641324</v>
      </c>
      <c r="E22" s="10" t="n">
        <f aca="false">'AC Estimate'!M240</f>
        <v>0.0686094973478151</v>
      </c>
      <c r="F22" s="10" t="n">
        <f aca="false">'AC Estimate'!N240</f>
        <v>0.34307906036878</v>
      </c>
    </row>
    <row r="23" customFormat="false" ht="15" hidden="false" customHeight="false" outlineLevel="0" collapsed="false">
      <c r="A23" s="0" t="s">
        <v>24</v>
      </c>
      <c r="B23" s="11" t="n">
        <v>0.2721</v>
      </c>
      <c r="C23" s="11" t="n">
        <v>0.314</v>
      </c>
      <c r="D23" s="11" t="n">
        <v>0.0041</v>
      </c>
      <c r="E23" s="11" t="n">
        <v>0.04</v>
      </c>
      <c r="F23" s="11" t="n">
        <v>0.3502</v>
      </c>
    </row>
    <row r="24" customFormat="false" ht="15" hidden="false" customHeight="false" outlineLevel="0" collapsed="false">
      <c r="A24" s="0" t="s">
        <v>25</v>
      </c>
      <c r="B24" s="12" t="n">
        <f aca="false">(B23-B22)*100</f>
        <v>-0.783180095983832</v>
      </c>
      <c r="C24" s="12" t="n">
        <f aca="false">(C23-C22)*100</f>
        <v>1.34821924728467</v>
      </c>
      <c r="D24" s="12" t="n">
        <f aca="false">(D23-D22)*100</f>
        <v>-0.376183379641324</v>
      </c>
      <c r="E24" s="12" t="n">
        <f aca="false">(E23-E22)*100</f>
        <v>-2.86094973478151</v>
      </c>
      <c r="F24" s="12" t="n">
        <f aca="false">(F23-F22)*100</f>
        <v>0.712093963122001</v>
      </c>
    </row>
    <row r="26" customFormat="false" ht="15" hidden="false" customHeight="false" outlineLevel="0" collapsed="false">
      <c r="A26" s="2" t="s">
        <v>26</v>
      </c>
    </row>
    <row r="27" customFormat="false" ht="15" hidden="false" customHeight="false" outlineLevel="0" collapsed="false">
      <c r="A27" s="2" t="s">
        <v>27</v>
      </c>
    </row>
    <row r="29" customFormat="false" ht="15" hidden="false" customHeight="false" outlineLevel="0" collapsed="false">
      <c r="A29" s="13" t="s">
        <v>28</v>
      </c>
    </row>
    <row r="30" customFormat="false" ht="15" hidden="false" customHeight="false" outlineLevel="0" collapsed="false">
      <c r="A30" s="14" t="s">
        <v>2</v>
      </c>
      <c r="B30" s="14" t="s">
        <v>3</v>
      </c>
      <c r="C30" s="14" t="s">
        <v>4</v>
      </c>
      <c r="D30" s="14" t="s">
        <v>5</v>
      </c>
      <c r="E30" s="14" t="s">
        <v>6</v>
      </c>
    </row>
    <row r="31" customFormat="false" ht="15" hidden="false" customHeight="false" outlineLevel="0" collapsed="false">
      <c r="A31" s="7" t="s">
        <v>29</v>
      </c>
      <c r="B31" s="7" t="n">
        <f aca="false">COUNTIF('AC Estimate'!$AK$5:$AK$238,"TVK")</f>
        <v>108</v>
      </c>
      <c r="C31" s="7" t="n">
        <f aca="false">COUNTIF('AC Estimate'!$AK$5:$AK$238,"AIADMK+")</f>
        <v>53</v>
      </c>
      <c r="D31" s="7" t="n">
        <f aca="false">COUNTIF('AC Estimate'!$AK$5:$AK$238,"DMK+")</f>
        <v>73</v>
      </c>
      <c r="E31" s="7" t="n">
        <f aca="false">SUM(B31:D31)</f>
        <v>234</v>
      </c>
    </row>
    <row r="32" customFormat="false" ht="15" hidden="false" customHeight="false" outlineLevel="0" collapsed="false">
      <c r="A32" s="7" t="s">
        <v>30</v>
      </c>
      <c r="B32" s="7" t="n">
        <f aca="false">B6-B31</f>
        <v>0</v>
      </c>
      <c r="C32" s="7" t="n">
        <f aca="false">C6-C31</f>
        <v>0</v>
      </c>
      <c r="D32" s="7" t="n">
        <f aca="false">D6-D31</f>
        <v>0</v>
      </c>
      <c r="E32" s="7" t="n">
        <f aca="false">SUM(B32:D32)</f>
        <v>0</v>
      </c>
    </row>
    <row r="33" customFormat="false" ht="15" hidden="false" customHeight="false" outlineLevel="0" collapsed="false">
      <c r="A33" s="7" t="s">
        <v>31</v>
      </c>
      <c r="B33" s="7" t="n">
        <f aca="false">Calibration!B29</f>
        <v>164</v>
      </c>
    </row>
    <row r="34" customFormat="false" ht="15" hidden="false" customHeight="false" outlineLevel="0" collapsed="false">
      <c r="A34" s="7" t="s">
        <v>32</v>
      </c>
      <c r="B34" s="15" t="n">
        <f aca="false">Calibration!C29</f>
        <v>0.700854700854701</v>
      </c>
      <c r="C34" s="16" t="n">
        <f aca="false">Calibration!C30</f>
        <v>0.688034188034188</v>
      </c>
    </row>
    <row r="35" customFormat="false" ht="15" hidden="false" customHeight="false" outlineLevel="0" collapsed="false">
      <c r="A35" s="7" t="s">
        <v>33</v>
      </c>
      <c r="B35" s="17" t="n">
        <f aca="false">'District Estimate'!AF43</f>
        <v>0</v>
      </c>
    </row>
    <row r="37" customFormat="false" ht="15" hidden="false" customHeight="false" outlineLevel="0" collapsed="false">
      <c r="A37" s="14" t="s">
        <v>2</v>
      </c>
      <c r="B37" s="14" t="s">
        <v>4</v>
      </c>
      <c r="C37" s="14" t="s">
        <v>5</v>
      </c>
      <c r="D37" s="14" t="s">
        <v>21</v>
      </c>
      <c r="E37" s="14" t="s">
        <v>22</v>
      </c>
      <c r="F37" s="14" t="s">
        <v>3</v>
      </c>
      <c r="G37" s="14" t="s">
        <v>34</v>
      </c>
    </row>
    <row r="38" customFormat="false" ht="15" hidden="false" customHeight="false" outlineLevel="0" collapsed="false">
      <c r="A38" s="7" t="s">
        <v>35</v>
      </c>
      <c r="B38" s="18" t="n">
        <f aca="false">Calibration!B9</f>
        <v>0.2721</v>
      </c>
      <c r="C38" s="18" t="n">
        <f aca="false">Calibration!C9</f>
        <v>0.314</v>
      </c>
      <c r="D38" s="18" t="n">
        <f aca="false">Calibration!D9</f>
        <v>0.0041</v>
      </c>
      <c r="E38" s="18" t="n">
        <f aca="false">Calibration!E9</f>
        <v>0.04</v>
      </c>
      <c r="F38" s="18" t="n">
        <f aca="false">Calibration!F9</f>
        <v>0.3502</v>
      </c>
      <c r="G38" s="18" t="n">
        <f aca="false">Calibration!G9</f>
        <v>0.0196000000000001</v>
      </c>
    </row>
    <row r="39" customFormat="false" ht="15" hidden="false" customHeight="false" outlineLevel="0" collapsed="false">
      <c r="A39" s="7" t="s">
        <v>36</v>
      </c>
      <c r="B39" s="19" t="n">
        <f aca="false">Calibration!B11</f>
        <v>0</v>
      </c>
      <c r="C39" s="19" t="n">
        <f aca="false">Calibration!C11</f>
        <v>0</v>
      </c>
      <c r="D39" s="19" t="n">
        <f aca="false">Calibration!D11</f>
        <v>0</v>
      </c>
      <c r="E39" s="19" t="n">
        <f aca="false">Calibration!E11</f>
        <v>0</v>
      </c>
      <c r="F39" s="19" t="n">
        <f aca="false">Calibration!F11</f>
        <v>0</v>
      </c>
      <c r="G39" s="19" t="n">
        <f aca="false">Calibration!G11</f>
        <v>0</v>
      </c>
    </row>
    <row r="40" customFormat="false" ht="15" hidden="false" customHeight="false" outlineLevel="0" collapsed="false">
      <c r="A40" s="7" t="s">
        <v>37</v>
      </c>
      <c r="B40" s="17" t="str">
        <f aca="false">'District Estimate'!AK43</f>
        <v>38 of 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2" style="0" width="13"/>
  </cols>
  <sheetData>
    <row r="1" customFormat="false" ht="17.35" hidden="false" customHeight="false" outlineLevel="0" collapsed="false">
      <c r="A1" s="20" t="s">
        <v>38</v>
      </c>
    </row>
    <row r="2" customFormat="false" ht="15" hidden="false" customHeight="false" outlineLevel="0" collapsed="false">
      <c r="A2" s="21" t="s">
        <v>39</v>
      </c>
    </row>
    <row r="3" customFormat="false" ht="15" hidden="false" customHeight="false" outlineLevel="0" collapsed="false">
      <c r="A3" s="7" t="s">
        <v>40</v>
      </c>
      <c r="B3" s="22" t="n">
        <v>0.5</v>
      </c>
    </row>
    <row r="5" customFormat="false" ht="15" hidden="false" customHeight="false" outlineLevel="0" collapsed="false">
      <c r="A5" s="14" t="s">
        <v>41</v>
      </c>
      <c r="B5" s="14" t="s">
        <v>4</v>
      </c>
      <c r="C5" s="14" t="s">
        <v>5</v>
      </c>
      <c r="D5" s="14" t="s">
        <v>21</v>
      </c>
      <c r="E5" s="14" t="s">
        <v>22</v>
      </c>
      <c r="F5" s="14" t="s">
        <v>3</v>
      </c>
      <c r="G5" s="14" t="s">
        <v>34</v>
      </c>
      <c r="H5" s="14" t="s">
        <v>6</v>
      </c>
    </row>
    <row r="6" customFormat="false" ht="15" hidden="false" customHeight="false" outlineLevel="0" collapsed="false">
      <c r="A6" s="7" t="s">
        <v>42</v>
      </c>
      <c r="B6" s="18" t="n">
        <f aca="false">'AC Estimate'!J240</f>
        <v>0.279931800959838</v>
      </c>
      <c r="C6" s="18" t="n">
        <f aca="false">'AC Estimate'!K240</f>
        <v>0.300517807527153</v>
      </c>
      <c r="D6" s="18" t="n">
        <f aca="false">'AC Estimate'!L240</f>
        <v>0.00786183379641324</v>
      </c>
      <c r="E6" s="18" t="n">
        <f aca="false">'AC Estimate'!M240</f>
        <v>0.0686094973478151</v>
      </c>
      <c r="F6" s="18" t="n">
        <f aca="false">'AC Estimate'!N240</f>
        <v>0.34307906036878</v>
      </c>
      <c r="G6" s="23" t="n">
        <v>0</v>
      </c>
      <c r="H6" s="23" t="n">
        <f aca="false">SUM(B6:G6)</f>
        <v>1</v>
      </c>
    </row>
    <row r="7" customFormat="false" ht="15" hidden="false" customHeight="false" outlineLevel="0" collapsed="false">
      <c r="A7" s="7" t="s">
        <v>43</v>
      </c>
      <c r="B7" s="18" t="n">
        <f aca="false">Summary!B23</f>
        <v>0.2721</v>
      </c>
      <c r="C7" s="18" t="n">
        <f aca="false">Summary!C23</f>
        <v>0.314</v>
      </c>
      <c r="D7" s="18" t="n">
        <f aca="false">Summary!D23</f>
        <v>0.0041</v>
      </c>
      <c r="E7" s="18" t="n">
        <f aca="false">Summary!E23</f>
        <v>0.04</v>
      </c>
      <c r="F7" s="18" t="n">
        <f aca="false">Summary!F23</f>
        <v>0.3502</v>
      </c>
      <c r="G7" s="23" t="n">
        <f aca="false">1-SUM(B7:F7)</f>
        <v>0.0196000000000001</v>
      </c>
      <c r="H7" s="23" t="n">
        <f aca="false">SUM(B7:G7)</f>
        <v>1</v>
      </c>
    </row>
    <row r="8" customFormat="false" ht="15" hidden="false" customHeight="false" outlineLevel="0" collapsed="false">
      <c r="A8" s="7" t="s">
        <v>44</v>
      </c>
      <c r="B8" s="24" t="n">
        <f aca="false">IF(B6=0,0,B7/B6)</f>
        <v>0.972022467854726</v>
      </c>
      <c r="C8" s="24" t="n">
        <f aca="false">IF(C6=0,0,C7/C6)</f>
        <v>1.044863206556</v>
      </c>
      <c r="D8" s="24" t="n">
        <f aca="false">IF(D6=0,0,D7/D6)</f>
        <v>0.521506827309237</v>
      </c>
      <c r="E8" s="24" t="n">
        <f aca="false">IF(E6=0,0,E7/E6)</f>
        <v>0.583009664058905</v>
      </c>
      <c r="F8" s="24" t="n">
        <f aca="false">IF(F6=0,0,F7/F6)</f>
        <v>1.02075597275907</v>
      </c>
    </row>
    <row r="9" customFormat="false" ht="15" hidden="false" customHeight="false" outlineLevel="0" collapsed="false">
      <c r="A9" s="7" t="s">
        <v>45</v>
      </c>
      <c r="B9" s="23" t="n">
        <f aca="false">B6*B8</f>
        <v>0.2721</v>
      </c>
      <c r="C9" s="23" t="n">
        <f aca="false">C6*C8</f>
        <v>0.314</v>
      </c>
      <c r="D9" s="23" t="n">
        <f aca="false">D6*D8</f>
        <v>0.0041</v>
      </c>
      <c r="E9" s="23" t="n">
        <f aca="false">E6*E8</f>
        <v>0.04</v>
      </c>
      <c r="F9" s="23" t="n">
        <f aca="false">F6*F8</f>
        <v>0.3502</v>
      </c>
      <c r="G9" s="23" t="n">
        <f aca="false">G7</f>
        <v>0.0196000000000001</v>
      </c>
      <c r="H9" s="23" t="n">
        <f aca="false">SUM(B9:G9)</f>
        <v>1</v>
      </c>
    </row>
    <row r="10" customFormat="false" ht="15" hidden="false" customHeight="false" outlineLevel="0" collapsed="false">
      <c r="A10" s="7" t="s">
        <v>46</v>
      </c>
      <c r="B10" s="25" t="n">
        <f aca="false">(B7-B6)*100</f>
        <v>-0.783180095983832</v>
      </c>
      <c r="C10" s="25" t="n">
        <f aca="false">(C7-C6)*100</f>
        <v>1.34821924728467</v>
      </c>
      <c r="D10" s="25" t="n">
        <f aca="false">(D7-D6)*100</f>
        <v>-0.376183379641324</v>
      </c>
      <c r="E10" s="25" t="n">
        <f aca="false">(E7-E6)*100</f>
        <v>-2.86094973478151</v>
      </c>
      <c r="F10" s="25" t="n">
        <f aca="false">(F7-F6)*100</f>
        <v>0.712093963122001</v>
      </c>
    </row>
    <row r="11" customFormat="false" ht="15" hidden="false" customHeight="false" outlineLevel="0" collapsed="false">
      <c r="A11" s="7" t="s">
        <v>36</v>
      </c>
      <c r="B11" s="25" t="n">
        <f aca="false">(B7-B9)*100</f>
        <v>0</v>
      </c>
      <c r="C11" s="25" t="n">
        <f aca="false">(C7-C9)*100</f>
        <v>0</v>
      </c>
      <c r="D11" s="25" t="n">
        <f aca="false">(D7-D9)*100</f>
        <v>0</v>
      </c>
      <c r="E11" s="25" t="n">
        <f aca="false">(E7-E9)*100</f>
        <v>0</v>
      </c>
      <c r="F11" s="25" t="n">
        <f aca="false">(F7-F9)*100</f>
        <v>0</v>
      </c>
      <c r="G11" s="25" t="n">
        <f aca="false">(G7-G9)*100</f>
        <v>0</v>
      </c>
    </row>
    <row r="12" customFormat="false" ht="15" hidden="false" customHeight="false" outlineLevel="0" collapsed="false">
      <c r="A12" s="7" t="s">
        <v>47</v>
      </c>
      <c r="B12" s="7" t="str">
        <f aca="false">IF(ABS(B11)&lt;=$B$3,"Yes","No")</f>
        <v>Yes</v>
      </c>
      <c r="C12" s="7" t="str">
        <f aca="false">IF(ABS(C11)&lt;=$B$3,"Yes","No")</f>
        <v>Yes</v>
      </c>
      <c r="D12" s="7" t="str">
        <f aca="false">IF(ABS(D11)&lt;=$B$3,"Yes","No")</f>
        <v>Yes</v>
      </c>
      <c r="E12" s="7" t="str">
        <f aca="false">IF(ABS(E11)&lt;=$B$3,"Yes","No")</f>
        <v>Yes</v>
      </c>
      <c r="F12" s="7" t="str">
        <f aca="false">IF(ABS(F11)&lt;=$B$3,"Yes","No")</f>
        <v>Yes</v>
      </c>
    </row>
    <row r="13" customFormat="false" ht="15" hidden="false" customHeight="false" outlineLevel="0" collapsed="false">
      <c r="A13" s="21" t="s">
        <v>48</v>
      </c>
    </row>
    <row r="15" customFormat="false" ht="15" hidden="false" customHeight="false" outlineLevel="0" collapsed="false">
      <c r="A15" s="14" t="s">
        <v>49</v>
      </c>
      <c r="B15" s="14" t="s">
        <v>3</v>
      </c>
      <c r="C15" s="14" t="s">
        <v>4</v>
      </c>
      <c r="D15" s="14" t="s">
        <v>5</v>
      </c>
      <c r="E15" s="14" t="s">
        <v>6</v>
      </c>
    </row>
    <row r="16" customFormat="false" ht="15" hidden="false" customHeight="false" outlineLevel="0" collapsed="false">
      <c r="A16" s="7" t="s">
        <v>50</v>
      </c>
      <c r="B16" s="7" t="n">
        <f aca="false">COUNTIF('AC Estimate'!$P$5:$P$238,"TVK")</f>
        <v>106</v>
      </c>
      <c r="C16" s="7" t="n">
        <f aca="false">COUNTIF('AC Estimate'!$P$5:$P$238,"AIADMK+")</f>
        <v>51</v>
      </c>
      <c r="D16" s="7" t="n">
        <f aca="false">COUNTIF('AC Estimate'!$P$5:$P$238,"DMK+")</f>
        <v>77</v>
      </c>
      <c r="E16" s="7" t="n">
        <f aca="false">SUM(B16:D16)</f>
        <v>234</v>
      </c>
    </row>
    <row r="17" customFormat="false" ht="15" hidden="false" customHeight="false" outlineLevel="0" collapsed="false">
      <c r="A17" s="7" t="s">
        <v>51</v>
      </c>
      <c r="B17" s="7" t="n">
        <f aca="false">COUNTIF('AC Estimate'!$AK$5:$AK$238,"TVK")</f>
        <v>108</v>
      </c>
      <c r="C17" s="7" t="n">
        <f aca="false">COUNTIF('AC Estimate'!$AK$5:$AK$238,"AIADMK+")</f>
        <v>53</v>
      </c>
      <c r="D17" s="7" t="n">
        <f aca="false">COUNTIF('AC Estimate'!$AK$5:$AK$238,"DMK+")</f>
        <v>73</v>
      </c>
      <c r="E17" s="7" t="n">
        <f aca="false">SUM(B17:D17)</f>
        <v>234</v>
      </c>
    </row>
    <row r="18" customFormat="false" ht="15" hidden="false" customHeight="false" outlineLevel="0" collapsed="false">
      <c r="A18" s="7" t="s">
        <v>52</v>
      </c>
      <c r="B18" s="7" t="n">
        <f aca="false">COUNTIF('AC Estimate'!$R$5:$R$238,"TVK")</f>
        <v>108</v>
      </c>
      <c r="C18" s="7" t="n">
        <f aca="false">COUNTIF('AC Estimate'!$R$5:$R$238,"AIADMK+")</f>
        <v>53</v>
      </c>
      <c r="D18" s="7" t="n">
        <f aca="false">COUNTIF('AC Estimate'!$R$5:$R$238,"DMK+")</f>
        <v>73</v>
      </c>
      <c r="E18" s="7" t="n">
        <f aca="false">SUM(B18:D18)</f>
        <v>234</v>
      </c>
    </row>
    <row r="19" customFormat="false" ht="15" hidden="false" customHeight="false" outlineLevel="0" collapsed="false">
      <c r="A19" s="7" t="s">
        <v>53</v>
      </c>
      <c r="B19" s="7" t="n">
        <f aca="false">B18-B17</f>
        <v>0</v>
      </c>
      <c r="C19" s="7" t="n">
        <f aca="false">C18-C17</f>
        <v>0</v>
      </c>
      <c r="D19" s="7" t="n">
        <f aca="false">D18-D17</f>
        <v>0</v>
      </c>
      <c r="E19" s="7" t="n">
        <f aca="false">SUM(B19:D19)</f>
        <v>0</v>
      </c>
    </row>
    <row r="20" customFormat="false" ht="15" hidden="false" customHeight="false" outlineLevel="0" collapsed="false">
      <c r="A20" s="7" t="s">
        <v>54</v>
      </c>
      <c r="B20" s="26" t="n">
        <f aca="false">B19/$E$18</f>
        <v>0</v>
      </c>
      <c r="C20" s="26" t="n">
        <f aca="false">C19/$E$18</f>
        <v>0</v>
      </c>
      <c r="D20" s="26" t="n">
        <f aca="false">D19/$E$18</f>
        <v>0</v>
      </c>
    </row>
    <row r="21" customFormat="false" ht="15" hidden="false" customHeight="false" outlineLevel="0" collapsed="false">
      <c r="A21" s="7" t="s">
        <v>47</v>
      </c>
      <c r="B21" s="7" t="str">
        <f aca="false">IF(ABS(B20)*100&lt;=$B$3,"Yes","No")</f>
        <v>Yes</v>
      </c>
      <c r="C21" s="7" t="str">
        <f aca="false">IF(ABS(C20)*100&lt;=$B$3,"Yes","No")</f>
        <v>Yes</v>
      </c>
      <c r="D21" s="7" t="str">
        <f aca="false">IF(ABS(D20)*100&lt;=$B$3,"Yes","No")</f>
        <v>Yes</v>
      </c>
    </row>
    <row r="23" customFormat="false" ht="15" hidden="false" customHeight="false" outlineLevel="0" collapsed="false">
      <c r="A23" s="14" t="s">
        <v>55</v>
      </c>
      <c r="B23" s="14" t="s">
        <v>56</v>
      </c>
      <c r="C23" s="14" t="s">
        <v>12</v>
      </c>
    </row>
    <row r="24" customFormat="false" ht="15" hidden="false" customHeight="false" outlineLevel="0" collapsed="false">
      <c r="A24" s="7" t="s">
        <v>57</v>
      </c>
      <c r="B24" s="7" t="n">
        <f aca="false">COUNTIF('AC Estimate'!$S$5:$S$238,"Yes")</f>
        <v>104</v>
      </c>
      <c r="C24" s="27" t="n">
        <f aca="false">B24/234</f>
        <v>0.444444444444444</v>
      </c>
    </row>
    <row r="25" customFormat="false" ht="15" hidden="false" customHeight="false" outlineLevel="0" collapsed="false">
      <c r="A25" s="7" t="s">
        <v>58</v>
      </c>
      <c r="B25" s="7" t="n">
        <f aca="false">SUMPRODUCT(('AC Estimate'!$AH$5:$AH$238='AC Estimate'!$R$5:$R$238)*1)</f>
        <v>109</v>
      </c>
      <c r="C25" s="27" t="n">
        <f aca="false">B25/234</f>
        <v>0.465811965811966</v>
      </c>
    </row>
    <row r="26" customFormat="false" ht="15" hidden="false" customHeight="false" outlineLevel="0" collapsed="false">
      <c r="A26" s="7" t="s">
        <v>59</v>
      </c>
      <c r="B26" s="7" t="n">
        <f aca="false">COUNTIF('AC Estimate'!$AF$5:$AF$238,"Yes")</f>
        <v>134</v>
      </c>
      <c r="C26" s="27" t="n">
        <f aca="false">B26/234</f>
        <v>0.572649572649573</v>
      </c>
    </row>
    <row r="27" customFormat="false" ht="15" hidden="false" customHeight="false" outlineLevel="0" collapsed="false">
      <c r="A27" s="7" t="s">
        <v>60</v>
      </c>
      <c r="B27" s="28" t="n">
        <v>126</v>
      </c>
      <c r="C27" s="27" t="n">
        <f aca="false">B27/234</f>
        <v>0.538461538461538</v>
      </c>
    </row>
    <row r="28" customFormat="false" ht="15" hidden="false" customHeight="false" outlineLevel="0" collapsed="false">
      <c r="A28" s="7" t="s">
        <v>15</v>
      </c>
      <c r="B28" s="7" t="n">
        <f aca="false">COUNTIF('AC Estimate'!$R$5:$R$238,"TVK")</f>
        <v>108</v>
      </c>
      <c r="C28" s="27" t="n">
        <f aca="false">B28/234</f>
        <v>0.461538461538462</v>
      </c>
    </row>
    <row r="29" customFormat="false" ht="15" hidden="false" customHeight="false" outlineLevel="0" collapsed="false">
      <c r="A29" s="7" t="s">
        <v>51</v>
      </c>
      <c r="B29" s="7" t="n">
        <f aca="false">COUNTIF('AC Estimate'!$AL$5:$AL$238,"Yes")</f>
        <v>164</v>
      </c>
      <c r="C29" s="27" t="n">
        <f aca="false">B29/234</f>
        <v>0.700854700854701</v>
      </c>
    </row>
    <row r="30" customFormat="false" ht="15" hidden="false" customHeight="false" outlineLevel="0" collapsed="false">
      <c r="A30" s="7" t="s">
        <v>61</v>
      </c>
      <c r="B30" s="28" t="n">
        <v>161</v>
      </c>
      <c r="C30" s="27" t="n">
        <f aca="false">B30/234</f>
        <v>0.688034188034188</v>
      </c>
    </row>
    <row r="32" customFormat="false" ht="15" hidden="false" customHeight="false" outlineLevel="0" collapsed="false">
      <c r="A32" s="13" t="s">
        <v>62</v>
      </c>
    </row>
    <row r="33" customFormat="false" ht="15" hidden="false" customHeight="false" outlineLevel="0" collapsed="false">
      <c r="A33" s="21" t="s">
        <v>63</v>
      </c>
    </row>
    <row r="34" customFormat="false" ht="26.85" hidden="false" customHeight="false" outlineLevel="0" collapsed="false">
      <c r="A34" s="14" t="s">
        <v>64</v>
      </c>
      <c r="B34" s="14" t="s">
        <v>65</v>
      </c>
      <c r="C34" s="14" t="s">
        <v>66</v>
      </c>
      <c r="D34" s="14" t="s">
        <v>67</v>
      </c>
      <c r="E34" s="14" t="s">
        <v>68</v>
      </c>
      <c r="F34" s="14" t="s">
        <v>69</v>
      </c>
      <c r="G34" s="14" t="s">
        <v>70</v>
      </c>
      <c r="H34" s="14" t="s">
        <v>71</v>
      </c>
      <c r="I34" s="14" t="s">
        <v>72</v>
      </c>
      <c r="J34" s="14" t="s">
        <v>73</v>
      </c>
      <c r="K34" s="14" t="s">
        <v>74</v>
      </c>
      <c r="L34" s="14" t="s">
        <v>75</v>
      </c>
      <c r="M34" s="14" t="s">
        <v>76</v>
      </c>
      <c r="N34" s="14" t="s">
        <v>77</v>
      </c>
    </row>
    <row r="35" customFormat="false" ht="15" hidden="false" customHeight="false" outlineLevel="0" collapsed="false">
      <c r="A35" s="7" t="s">
        <v>4</v>
      </c>
      <c r="B35" s="29" t="n">
        <v>0.869054</v>
      </c>
      <c r="C35" s="29" t="n">
        <v>-0.75246</v>
      </c>
      <c r="D35" s="29" t="n">
        <v>0.062988</v>
      </c>
      <c r="E35" s="29" t="n">
        <v>0.014829</v>
      </c>
      <c r="F35" s="29" t="n">
        <v>-0.206664</v>
      </c>
      <c r="G35" s="29" t="n">
        <v>0.614718</v>
      </c>
      <c r="H35" s="29" t="n">
        <v>-0.488414</v>
      </c>
      <c r="I35" s="29" t="n">
        <v>-0.008215</v>
      </c>
      <c r="J35" s="29" t="n">
        <v>-0.134985</v>
      </c>
      <c r="K35" s="29" t="n">
        <v>0.004643</v>
      </c>
      <c r="L35" s="29" t="n">
        <v>-0.522722</v>
      </c>
      <c r="M35" s="29" t="n">
        <v>1.607947</v>
      </c>
      <c r="N35" s="30" t="n">
        <v>0.534</v>
      </c>
    </row>
    <row r="36" customFormat="false" ht="15" hidden="false" customHeight="false" outlineLevel="0" collapsed="false">
      <c r="A36" s="7" t="s">
        <v>5</v>
      </c>
      <c r="B36" s="29" t="n">
        <v>-0.822546</v>
      </c>
      <c r="C36" s="29" t="n">
        <v>1.081894</v>
      </c>
      <c r="D36" s="29" t="n">
        <v>-0.052425</v>
      </c>
      <c r="E36" s="29" t="n">
        <v>0.139423</v>
      </c>
      <c r="F36" s="29" t="n">
        <v>-0.332502</v>
      </c>
      <c r="G36" s="29" t="n">
        <v>-0.444885</v>
      </c>
      <c r="H36" s="29" t="n">
        <v>0.728787</v>
      </c>
      <c r="I36" s="29" t="n">
        <v>0.019229</v>
      </c>
      <c r="J36" s="29" t="n">
        <v>0.508701</v>
      </c>
      <c r="K36" s="29" t="n">
        <v>-0.797986</v>
      </c>
      <c r="L36" s="29" t="n">
        <v>-0.618206</v>
      </c>
      <c r="M36" s="29" t="n">
        <v>2.53478</v>
      </c>
      <c r="N36" s="30" t="n">
        <v>0.291</v>
      </c>
    </row>
    <row r="37" customFormat="false" ht="15" hidden="false" customHeight="false" outlineLevel="0" collapsed="false">
      <c r="A37" s="7" t="s">
        <v>3</v>
      </c>
      <c r="B37" s="29" t="n">
        <v>-0.046508</v>
      </c>
      <c r="C37" s="29" t="n">
        <v>-0.329434</v>
      </c>
      <c r="D37" s="29" t="n">
        <v>-0.010563</v>
      </c>
      <c r="E37" s="29" t="n">
        <v>-0.154252</v>
      </c>
      <c r="F37" s="29" t="n">
        <v>0.539167</v>
      </c>
      <c r="G37" s="29" t="n">
        <v>-0.169833</v>
      </c>
      <c r="H37" s="29" t="n">
        <v>-0.240372</v>
      </c>
      <c r="I37" s="29" t="n">
        <v>-0.011014</v>
      </c>
      <c r="J37" s="29" t="n">
        <v>-0.373716</v>
      </c>
      <c r="K37" s="29" t="n">
        <v>0.793343</v>
      </c>
      <c r="L37" s="29" t="n">
        <v>1.140928</v>
      </c>
      <c r="M37" s="29" t="n">
        <v>-4.142727</v>
      </c>
      <c r="N37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9"/>
  </cols>
  <sheetData>
    <row r="1" customFormat="false" ht="17.35" hidden="false" customHeight="false" outlineLevel="0" collapsed="false">
      <c r="A1" s="20" t="s">
        <v>78</v>
      </c>
    </row>
    <row r="2" customFormat="false" ht="15" hidden="false" customHeight="false" outlineLevel="0" collapsed="false">
      <c r="A2" s="21" t="s">
        <v>79</v>
      </c>
    </row>
    <row r="4" customFormat="false" ht="26.85" hidden="false" customHeight="false" outlineLevel="0" collapsed="false">
      <c r="A4" s="14" t="s">
        <v>80</v>
      </c>
      <c r="B4" s="14" t="s">
        <v>81</v>
      </c>
      <c r="C4" s="14" t="s">
        <v>82</v>
      </c>
      <c r="D4" s="14" t="s">
        <v>83</v>
      </c>
      <c r="E4" s="14" t="s">
        <v>65</v>
      </c>
      <c r="F4" s="14" t="s">
        <v>66</v>
      </c>
      <c r="G4" s="14" t="s">
        <v>67</v>
      </c>
      <c r="H4" s="14" t="s">
        <v>68</v>
      </c>
      <c r="I4" s="14" t="s">
        <v>69</v>
      </c>
      <c r="J4" s="14" t="s">
        <v>84</v>
      </c>
      <c r="K4" s="14" t="s">
        <v>85</v>
      </c>
      <c r="L4" s="14" t="s">
        <v>86</v>
      </c>
      <c r="M4" s="14" t="s">
        <v>87</v>
      </c>
      <c r="N4" s="14" t="s">
        <v>88</v>
      </c>
      <c r="O4" s="14" t="s">
        <v>89</v>
      </c>
    </row>
    <row r="5" customFormat="false" ht="15" hidden="false" customHeight="false" outlineLevel="0" collapsed="false">
      <c r="A5" s="31" t="s">
        <v>90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customFormat="false" ht="15" hidden="false" customHeight="false" outlineLevel="0" collapsed="false">
      <c r="A6" s="17" t="n">
        <v>149</v>
      </c>
      <c r="B6" s="7" t="str">
        <f aca="false">INDEX('AC Estimate'!$B$5:$B$238,MATCH($A6,'AC Estimate'!$A$5:$A$238,0))</f>
        <v>Ariyalur</v>
      </c>
      <c r="C6" s="7" t="str">
        <f aca="false">INDEX('AC Estimate'!$C$5:$C$238,MATCH($A6,'AC Estimate'!$A$5:$A$238,0))</f>
        <v>Ariyalur</v>
      </c>
      <c r="D6" s="7" t="n">
        <f aca="false">INDEX('AC Estimate'!$I$5:$I$238,MATCH($A6,'AC Estimate'!$A$5:$A$238,0))</f>
        <v>61</v>
      </c>
      <c r="E6" s="27" t="n">
        <f aca="false">INDEX('AC Estimate'!$J$5:$J$238,MATCH($A6,'AC Estimate'!$A$5:$A$238,0))</f>
        <v>0.262295081967213</v>
      </c>
      <c r="F6" s="27" t="n">
        <f aca="false">INDEX('AC Estimate'!$K$5:$K$238,MATCH($A6,'AC Estimate'!$A$5:$A$238,0))</f>
        <v>0.311475409836066</v>
      </c>
      <c r="G6" s="27" t="n">
        <f aca="false">INDEX('AC Estimate'!$L$5:$L$238,MATCH($A6,'AC Estimate'!$A$5:$A$238,0))</f>
        <v>0</v>
      </c>
      <c r="H6" s="27" t="n">
        <f aca="false">INDEX('AC Estimate'!$M$5:$M$238,MATCH($A6,'AC Estimate'!$A$5:$A$238,0))</f>
        <v>0.131147540983607</v>
      </c>
      <c r="I6" s="27" t="n">
        <f aca="false">INDEX('AC Estimate'!$N$5:$N$238,MATCH($A6,'AC Estimate'!$A$5:$A$238,0))</f>
        <v>0.295081967213115</v>
      </c>
      <c r="J6" s="7" t="str">
        <f aca="false">INDEX('AC Estimate'!$P$5:$P$238,MATCH($A6,'AC Estimate'!$A$5:$A$238,0))</f>
        <v>DMK+</v>
      </c>
      <c r="K6" s="7" t="str">
        <f aca="false">INDEX('AC Estimate'!$AK$5:$AK$238,MATCH($A6,'AC Estimate'!$A$5:$A$238,0))</f>
        <v>AIADMK+</v>
      </c>
      <c r="L6" s="27" t="n">
        <f aca="false">INDEX('AC Estimate'!$AM$5:$AM$238,MATCH($A6,'AC Estimate'!$A$5:$A$238,0))</f>
        <v>0.235245122587246</v>
      </c>
      <c r="M6" s="7" t="str">
        <f aca="false">INDEX('AC Estimate'!$Q$5:$Q$238,MATCH($A6,'AC Estimate'!$A$5:$A$238,0))</f>
        <v>AIADMK</v>
      </c>
      <c r="N6" s="7" t="str">
        <f aca="false">INDEX('AC Estimate'!$R$5:$R$238,MATCH($A6,'AC Estimate'!$A$5:$A$238,0))</f>
        <v>AIADMK+</v>
      </c>
      <c r="O6" s="7" t="str">
        <f aca="false">INDEX('AC Estimate'!$AL$5:$AL$238,MATCH($A6,'AC Estimate'!$A$5:$A$238,0))</f>
        <v>Yes</v>
      </c>
    </row>
    <row r="7" customFormat="false" ht="15" hidden="false" customHeight="false" outlineLevel="0" collapsed="false">
      <c r="A7" s="17" t="n">
        <v>150</v>
      </c>
      <c r="B7" s="7" t="str">
        <f aca="false">INDEX('AC Estimate'!$B$5:$B$238,MATCH($A7,'AC Estimate'!$A$5:$A$238,0))</f>
        <v>Jayankondam</v>
      </c>
      <c r="C7" s="7" t="str">
        <f aca="false">INDEX('AC Estimate'!$C$5:$C$238,MATCH($A7,'AC Estimate'!$A$5:$A$238,0))</f>
        <v>Ariyalur</v>
      </c>
      <c r="D7" s="7" t="n">
        <f aca="false">INDEX('AC Estimate'!$I$5:$I$238,MATCH($A7,'AC Estimate'!$A$5:$A$238,0))</f>
        <v>32</v>
      </c>
      <c r="E7" s="27" t="n">
        <f aca="false">INDEX('AC Estimate'!$J$5:$J$238,MATCH($A7,'AC Estimate'!$A$5:$A$238,0))</f>
        <v>0.375</v>
      </c>
      <c r="F7" s="27" t="n">
        <f aca="false">INDEX('AC Estimate'!$K$5:$K$238,MATCH($A7,'AC Estimate'!$A$5:$A$238,0))</f>
        <v>0.15625</v>
      </c>
      <c r="G7" s="27" t="n">
        <f aca="false">INDEX('AC Estimate'!$L$5:$L$238,MATCH($A7,'AC Estimate'!$A$5:$A$238,0))</f>
        <v>0</v>
      </c>
      <c r="H7" s="27" t="n">
        <f aca="false">INDEX('AC Estimate'!$M$5:$M$238,MATCH($A7,'AC Estimate'!$A$5:$A$238,0))</f>
        <v>0.03125</v>
      </c>
      <c r="I7" s="27" t="n">
        <f aca="false">INDEX('AC Estimate'!$N$5:$N$238,MATCH($A7,'AC Estimate'!$A$5:$A$238,0))</f>
        <v>0.4375</v>
      </c>
      <c r="J7" s="7" t="str">
        <f aca="false">INDEX('AC Estimate'!$P$5:$P$238,MATCH($A7,'AC Estimate'!$A$5:$A$238,0))</f>
        <v>TVK</v>
      </c>
      <c r="K7" s="7" t="str">
        <f aca="false">INDEX('AC Estimate'!$AK$5:$AK$238,MATCH($A7,'AC Estimate'!$A$5:$A$238,0))</f>
        <v>AIADMK+</v>
      </c>
      <c r="L7" s="27" t="n">
        <f aca="false">INDEX('AC Estimate'!$AM$5:$AM$238,MATCH($A7,'AC Estimate'!$A$5:$A$238,0))</f>
        <v>0.410114055179952</v>
      </c>
      <c r="M7" s="7" t="str">
        <f aca="false">INDEX('AC Estimate'!$Q$5:$Q$238,MATCH($A7,'AC Estimate'!$A$5:$A$238,0))</f>
        <v>PMK</v>
      </c>
      <c r="N7" s="7" t="str">
        <f aca="false">INDEX('AC Estimate'!$R$5:$R$238,MATCH($A7,'AC Estimate'!$A$5:$A$238,0))</f>
        <v>AIADMK+</v>
      </c>
      <c r="O7" s="7" t="str">
        <f aca="false">INDEX('AC Estimate'!$AL$5:$AL$238,MATCH($A7,'AC Estimate'!$A$5:$A$238,0))</f>
        <v>Yes</v>
      </c>
    </row>
    <row r="8" customFormat="false" ht="15" hidden="false" customHeight="false" outlineLevel="0" collapsed="false">
      <c r="A8" s="33"/>
      <c r="B8" s="34" t="s">
        <v>91</v>
      </c>
      <c r="C8" s="33"/>
      <c r="D8" s="34" t="n">
        <f aca="false">SUM(D6:D7)</f>
        <v>93</v>
      </c>
      <c r="E8" s="33"/>
      <c r="F8" s="33"/>
      <c r="G8" s="33"/>
      <c r="H8" s="33"/>
      <c r="I8" s="33"/>
      <c r="J8" s="34" t="s">
        <v>92</v>
      </c>
      <c r="K8" s="34" t="str">
        <f aca="false">COUNTIF(K6:K7,"TVK")&amp;" / "&amp;COUNTIF(K6:K7,"AIADMK+")&amp;" / "&amp;COUNTIF(K6:K7,"DMK+")</f>
        <v>0 / 2 / 0</v>
      </c>
      <c r="L8" s="33"/>
      <c r="M8" s="34" t="s">
        <v>93</v>
      </c>
      <c r="N8" s="34" t="str">
        <f aca="false">COUNTIF(N6:N7,"TVK")&amp;" / "&amp;COUNTIF(N6:N7,"AIADMK+")&amp;" / "&amp;COUNTIF(N6:N7,"DMK+")</f>
        <v>0 / 2 / 0</v>
      </c>
      <c r="O8" s="34" t="str">
        <f aca="false">IF(AND(ABS(COUNTIF(K6:K7,"TVK")-COUNTIF(N6:N7,"TVK"))&lt;=Calibration!$B$3,ABS(COUNTIF(K6:K7,"AIADMK+")-COUNTIF(N6:N7,"AIADMK+"))&lt;=Calibration!$B$3,ABS(COUNTIF(K6:K7,"DMK+")-COUNTIF(N6:N7,"DMK+"))&lt;=Calibration!$B$3),"Within","Off")</f>
        <v>Within</v>
      </c>
    </row>
    <row r="10" customFormat="false" ht="15" hidden="false" customHeight="false" outlineLevel="0" collapsed="false">
      <c r="A10" s="31" t="s">
        <v>94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customFormat="false" ht="15" hidden="false" customHeight="false" outlineLevel="0" collapsed="false">
      <c r="A11" s="17" t="n">
        <v>30</v>
      </c>
      <c r="B11" s="7" t="str">
        <f aca="false">INDEX('AC Estimate'!$B$5:$B$238,MATCH($A11,'AC Estimate'!$A$5:$A$238,0))</f>
        <v>Pallavaram</v>
      </c>
      <c r="C11" s="7" t="str">
        <f aca="false">INDEX('AC Estimate'!$C$5:$C$238,MATCH($A11,'AC Estimate'!$A$5:$A$238,0))</f>
        <v>Chengalpattu</v>
      </c>
      <c r="D11" s="7" t="n">
        <f aca="false">INDEX('AC Estimate'!$I$5:$I$238,MATCH($A11,'AC Estimate'!$A$5:$A$238,0))</f>
        <v>96</v>
      </c>
      <c r="E11" s="27" t="n">
        <f aca="false">INDEX('AC Estimate'!$J$5:$J$238,MATCH($A11,'AC Estimate'!$A$5:$A$238,0))</f>
        <v>0.270833333333333</v>
      </c>
      <c r="F11" s="27" t="n">
        <f aca="false">INDEX('AC Estimate'!$K$5:$K$238,MATCH($A11,'AC Estimate'!$A$5:$A$238,0))</f>
        <v>0.291666666666667</v>
      </c>
      <c r="G11" s="27" t="n">
        <f aca="false">INDEX('AC Estimate'!$L$5:$L$238,MATCH($A11,'AC Estimate'!$A$5:$A$238,0))</f>
        <v>0</v>
      </c>
      <c r="H11" s="27" t="n">
        <f aca="false">INDEX('AC Estimate'!$M$5:$M$238,MATCH($A11,'AC Estimate'!$A$5:$A$238,0))</f>
        <v>0.0416666666666667</v>
      </c>
      <c r="I11" s="27" t="n">
        <f aca="false">INDEX('AC Estimate'!$N$5:$N$238,MATCH($A11,'AC Estimate'!$A$5:$A$238,0))</f>
        <v>0.395833333333333</v>
      </c>
      <c r="J11" s="7" t="str">
        <f aca="false">INDEX('AC Estimate'!$P$5:$P$238,MATCH($A11,'AC Estimate'!$A$5:$A$238,0))</f>
        <v>TVK</v>
      </c>
      <c r="K11" s="7" t="str">
        <f aca="false">INDEX('AC Estimate'!$AK$5:$AK$238,MATCH($A11,'AC Estimate'!$A$5:$A$238,0))</f>
        <v>TVK</v>
      </c>
      <c r="L11" s="27" t="n">
        <f aca="false">INDEX('AC Estimate'!$AM$5:$AM$238,MATCH($A11,'AC Estimate'!$A$5:$A$238,0))</f>
        <v>0.718489958471716</v>
      </c>
      <c r="M11" s="7" t="str">
        <f aca="false">INDEX('AC Estimate'!$Q$5:$Q$238,MATCH($A11,'AC Estimate'!$A$5:$A$238,0))</f>
        <v>TVK</v>
      </c>
      <c r="N11" s="7" t="str">
        <f aca="false">INDEX('AC Estimate'!$R$5:$R$238,MATCH($A11,'AC Estimate'!$A$5:$A$238,0))</f>
        <v>TVK</v>
      </c>
      <c r="O11" s="7" t="str">
        <f aca="false">INDEX('AC Estimate'!$AL$5:$AL$238,MATCH($A11,'AC Estimate'!$A$5:$A$238,0))</f>
        <v>Yes</v>
      </c>
    </row>
    <row r="12" customFormat="false" ht="15" hidden="false" customHeight="false" outlineLevel="0" collapsed="false">
      <c r="A12" s="17" t="n">
        <v>31</v>
      </c>
      <c r="B12" s="7" t="str">
        <f aca="false">INDEX('AC Estimate'!$B$5:$B$238,MATCH($A12,'AC Estimate'!$A$5:$A$238,0))</f>
        <v>Tambaram</v>
      </c>
      <c r="C12" s="7" t="str">
        <f aca="false">INDEX('AC Estimate'!$C$5:$C$238,MATCH($A12,'AC Estimate'!$A$5:$A$238,0))</f>
        <v>Chengalpattu</v>
      </c>
      <c r="D12" s="7" t="n">
        <f aca="false">INDEX('AC Estimate'!$I$5:$I$238,MATCH($A12,'AC Estimate'!$A$5:$A$238,0))</f>
        <v>97</v>
      </c>
      <c r="E12" s="27" t="n">
        <f aca="false">INDEX('AC Estimate'!$J$5:$J$238,MATCH($A12,'AC Estimate'!$A$5:$A$238,0))</f>
        <v>0.257731958762887</v>
      </c>
      <c r="F12" s="27" t="n">
        <f aca="false">INDEX('AC Estimate'!$K$5:$K$238,MATCH($A12,'AC Estimate'!$A$5:$A$238,0))</f>
        <v>0.34020618556701</v>
      </c>
      <c r="G12" s="27" t="n">
        <f aca="false">INDEX('AC Estimate'!$L$5:$L$238,MATCH($A12,'AC Estimate'!$A$5:$A$238,0))</f>
        <v>0.0206185567010309</v>
      </c>
      <c r="H12" s="27" t="n">
        <f aca="false">INDEX('AC Estimate'!$M$5:$M$238,MATCH($A12,'AC Estimate'!$A$5:$A$238,0))</f>
        <v>0.0618556701030928</v>
      </c>
      <c r="I12" s="27" t="n">
        <f aca="false">INDEX('AC Estimate'!$N$5:$N$238,MATCH($A12,'AC Estimate'!$A$5:$A$238,0))</f>
        <v>0.319587628865979</v>
      </c>
      <c r="J12" s="7" t="str">
        <f aca="false">INDEX('AC Estimate'!$P$5:$P$238,MATCH($A12,'AC Estimate'!$A$5:$A$238,0))</f>
        <v>DMK+</v>
      </c>
      <c r="K12" s="7" t="str">
        <f aca="false">INDEX('AC Estimate'!$AK$5:$AK$238,MATCH($A12,'AC Estimate'!$A$5:$A$238,0))</f>
        <v>TVK</v>
      </c>
      <c r="L12" s="27" t="n">
        <f aca="false">INDEX('AC Estimate'!$AM$5:$AM$238,MATCH($A12,'AC Estimate'!$A$5:$A$238,0))</f>
        <v>0.703235049175474</v>
      </c>
      <c r="M12" s="7" t="str">
        <f aca="false">INDEX('AC Estimate'!$Q$5:$Q$238,MATCH($A12,'AC Estimate'!$A$5:$A$238,0))</f>
        <v>TVK</v>
      </c>
      <c r="N12" s="7" t="str">
        <f aca="false">INDEX('AC Estimate'!$R$5:$R$238,MATCH($A12,'AC Estimate'!$A$5:$A$238,0))</f>
        <v>TVK</v>
      </c>
      <c r="O12" s="7" t="str">
        <f aca="false">INDEX('AC Estimate'!$AL$5:$AL$238,MATCH($A12,'AC Estimate'!$A$5:$A$238,0))</f>
        <v>Yes</v>
      </c>
    </row>
    <row r="13" customFormat="false" ht="15" hidden="false" customHeight="false" outlineLevel="0" collapsed="false">
      <c r="A13" s="17" t="n">
        <v>32</v>
      </c>
      <c r="B13" s="7" t="str">
        <f aca="false">INDEX('AC Estimate'!$B$5:$B$238,MATCH($A13,'AC Estimate'!$A$5:$A$238,0))</f>
        <v>Chengalpattu</v>
      </c>
      <c r="C13" s="7" t="str">
        <f aca="false">INDEX('AC Estimate'!$C$5:$C$238,MATCH($A13,'AC Estimate'!$A$5:$A$238,0))</f>
        <v>Chengalpattu</v>
      </c>
      <c r="D13" s="7" t="n">
        <f aca="false">INDEX('AC Estimate'!$I$5:$I$238,MATCH($A13,'AC Estimate'!$A$5:$A$238,0))</f>
        <v>67</v>
      </c>
      <c r="E13" s="27" t="n">
        <f aca="false">INDEX('AC Estimate'!$J$5:$J$238,MATCH($A13,'AC Estimate'!$A$5:$A$238,0))</f>
        <v>0.194029850746269</v>
      </c>
      <c r="F13" s="27" t="n">
        <f aca="false">INDEX('AC Estimate'!$K$5:$K$238,MATCH($A13,'AC Estimate'!$A$5:$A$238,0))</f>
        <v>0.194029850746269</v>
      </c>
      <c r="G13" s="27" t="n">
        <f aca="false">INDEX('AC Estimate'!$L$5:$L$238,MATCH($A13,'AC Estimate'!$A$5:$A$238,0))</f>
        <v>0.0149253731343284</v>
      </c>
      <c r="H13" s="27" t="n">
        <f aca="false">INDEX('AC Estimate'!$M$5:$M$238,MATCH($A13,'AC Estimate'!$A$5:$A$238,0))</f>
        <v>0.0746268656716418</v>
      </c>
      <c r="I13" s="27" t="n">
        <f aca="false">INDEX('AC Estimate'!$N$5:$N$238,MATCH($A13,'AC Estimate'!$A$5:$A$238,0))</f>
        <v>0.522388059701493</v>
      </c>
      <c r="J13" s="7" t="str">
        <f aca="false">INDEX('AC Estimate'!$P$5:$P$238,MATCH($A13,'AC Estimate'!$A$5:$A$238,0))</f>
        <v>TVK</v>
      </c>
      <c r="K13" s="7" t="str">
        <f aca="false">INDEX('AC Estimate'!$AK$5:$AK$238,MATCH($A13,'AC Estimate'!$A$5:$A$238,0))</f>
        <v>TVK</v>
      </c>
      <c r="L13" s="27" t="n">
        <f aca="false">INDEX('AC Estimate'!$AM$5:$AM$238,MATCH($A13,'AC Estimate'!$A$5:$A$238,0))</f>
        <v>0.615281612956543</v>
      </c>
      <c r="M13" s="7" t="str">
        <f aca="false">INDEX('AC Estimate'!$Q$5:$Q$238,MATCH($A13,'AC Estimate'!$A$5:$A$238,0))</f>
        <v>TVK</v>
      </c>
      <c r="N13" s="7" t="str">
        <f aca="false">INDEX('AC Estimate'!$R$5:$R$238,MATCH($A13,'AC Estimate'!$A$5:$A$238,0))</f>
        <v>TVK</v>
      </c>
      <c r="O13" s="7" t="str">
        <f aca="false">INDEX('AC Estimate'!$AL$5:$AL$238,MATCH($A13,'AC Estimate'!$A$5:$A$238,0))</f>
        <v>Yes</v>
      </c>
    </row>
    <row r="14" customFormat="false" ht="15" hidden="false" customHeight="false" outlineLevel="0" collapsed="false">
      <c r="A14" s="17" t="n">
        <v>33</v>
      </c>
      <c r="B14" s="7" t="str">
        <f aca="false">INDEX('AC Estimate'!$B$5:$B$238,MATCH($A14,'AC Estimate'!$A$5:$A$238,0))</f>
        <v>Thiruporur</v>
      </c>
      <c r="C14" s="7" t="str">
        <f aca="false">INDEX('AC Estimate'!$C$5:$C$238,MATCH($A14,'AC Estimate'!$A$5:$A$238,0))</f>
        <v>Chengalpattu</v>
      </c>
      <c r="D14" s="7" t="n">
        <f aca="false">INDEX('AC Estimate'!$I$5:$I$238,MATCH($A14,'AC Estimate'!$A$5:$A$238,0))</f>
        <v>34</v>
      </c>
      <c r="E14" s="27" t="n">
        <f aca="false">INDEX('AC Estimate'!$J$5:$J$238,MATCH($A14,'AC Estimate'!$A$5:$A$238,0))</f>
        <v>0.205882352941176</v>
      </c>
      <c r="F14" s="27" t="n">
        <f aca="false">INDEX('AC Estimate'!$K$5:$K$238,MATCH($A14,'AC Estimate'!$A$5:$A$238,0))</f>
        <v>0.0588235294117647</v>
      </c>
      <c r="G14" s="27" t="n">
        <f aca="false">INDEX('AC Estimate'!$L$5:$L$238,MATCH($A14,'AC Estimate'!$A$5:$A$238,0))</f>
        <v>0</v>
      </c>
      <c r="H14" s="27" t="n">
        <f aca="false">INDEX('AC Estimate'!$M$5:$M$238,MATCH($A14,'AC Estimate'!$A$5:$A$238,0))</f>
        <v>0.147058823529412</v>
      </c>
      <c r="I14" s="27" t="n">
        <f aca="false">INDEX('AC Estimate'!$N$5:$N$238,MATCH($A14,'AC Estimate'!$A$5:$A$238,0))</f>
        <v>0.588235294117647</v>
      </c>
      <c r="J14" s="7" t="str">
        <f aca="false">INDEX('AC Estimate'!$P$5:$P$238,MATCH($A14,'AC Estimate'!$A$5:$A$238,0))</f>
        <v>TVK</v>
      </c>
      <c r="K14" s="7" t="str">
        <f aca="false">INDEX('AC Estimate'!$AK$5:$AK$238,MATCH($A14,'AC Estimate'!$A$5:$A$238,0))</f>
        <v>TVK</v>
      </c>
      <c r="L14" s="27" t="n">
        <f aca="false">INDEX('AC Estimate'!$AM$5:$AM$238,MATCH($A14,'AC Estimate'!$A$5:$A$238,0))</f>
        <v>0.355641958577368</v>
      </c>
      <c r="M14" s="7" t="str">
        <f aca="false">INDEX('AC Estimate'!$Q$5:$Q$238,MATCH($A14,'AC Estimate'!$A$5:$A$238,0))</f>
        <v>TVK</v>
      </c>
      <c r="N14" s="7" t="str">
        <f aca="false">INDEX('AC Estimate'!$R$5:$R$238,MATCH($A14,'AC Estimate'!$A$5:$A$238,0))</f>
        <v>TVK</v>
      </c>
      <c r="O14" s="7" t="str">
        <f aca="false">INDEX('AC Estimate'!$AL$5:$AL$238,MATCH($A14,'AC Estimate'!$A$5:$A$238,0))</f>
        <v>Yes</v>
      </c>
    </row>
    <row r="15" customFormat="false" ht="15" hidden="false" customHeight="false" outlineLevel="0" collapsed="false">
      <c r="A15" s="17" t="n">
        <v>34</v>
      </c>
      <c r="B15" s="7" t="str">
        <f aca="false">INDEX('AC Estimate'!$B$5:$B$238,MATCH($A15,'AC Estimate'!$A$5:$A$238,0))</f>
        <v>Cheyyur</v>
      </c>
      <c r="C15" s="7" t="str">
        <f aca="false">INDEX('AC Estimate'!$C$5:$C$238,MATCH($A15,'AC Estimate'!$A$5:$A$238,0))</f>
        <v>Chengalpattu</v>
      </c>
      <c r="D15" s="7" t="n">
        <f aca="false">INDEX('AC Estimate'!$I$5:$I$238,MATCH($A15,'AC Estimate'!$A$5:$A$238,0))</f>
        <v>22</v>
      </c>
      <c r="E15" s="27" t="n">
        <f aca="false">INDEX('AC Estimate'!$J$5:$J$238,MATCH($A15,'AC Estimate'!$A$5:$A$238,0))</f>
        <v>0.545454545454545</v>
      </c>
      <c r="F15" s="27" t="n">
        <f aca="false">INDEX('AC Estimate'!$K$5:$K$238,MATCH($A15,'AC Estimate'!$A$5:$A$238,0))</f>
        <v>0.136363636363636</v>
      </c>
      <c r="G15" s="27" t="n">
        <f aca="false">INDEX('AC Estimate'!$L$5:$L$238,MATCH($A15,'AC Estimate'!$A$5:$A$238,0))</f>
        <v>0</v>
      </c>
      <c r="H15" s="27" t="n">
        <f aca="false">INDEX('AC Estimate'!$M$5:$M$238,MATCH($A15,'AC Estimate'!$A$5:$A$238,0))</f>
        <v>0.0454545454545455</v>
      </c>
      <c r="I15" s="27" t="n">
        <f aca="false">INDEX('AC Estimate'!$N$5:$N$238,MATCH($A15,'AC Estimate'!$A$5:$A$238,0))</f>
        <v>0.272727272727273</v>
      </c>
      <c r="J15" s="7" t="str">
        <f aca="false">INDEX('AC Estimate'!$P$5:$P$238,MATCH($A15,'AC Estimate'!$A$5:$A$238,0))</f>
        <v>AIADMK+</v>
      </c>
      <c r="K15" s="7" t="str">
        <f aca="false">INDEX('AC Estimate'!$AK$5:$AK$238,MATCH($A15,'AC Estimate'!$A$5:$A$238,0))</f>
        <v>AIADMK+</v>
      </c>
      <c r="L15" s="27" t="n">
        <f aca="false">INDEX('AC Estimate'!$AM$5:$AM$238,MATCH($A15,'AC Estimate'!$A$5:$A$238,0))</f>
        <v>0.539026909674748</v>
      </c>
      <c r="M15" s="7" t="str">
        <f aca="false">INDEX('AC Estimate'!$Q$5:$Q$238,MATCH($A15,'AC Estimate'!$A$5:$A$238,0))</f>
        <v>AIADMK</v>
      </c>
      <c r="N15" s="7" t="str">
        <f aca="false">INDEX('AC Estimate'!$R$5:$R$238,MATCH($A15,'AC Estimate'!$A$5:$A$238,0))</f>
        <v>AIADMK+</v>
      </c>
      <c r="O15" s="7" t="str">
        <f aca="false">INDEX('AC Estimate'!$AL$5:$AL$238,MATCH($A15,'AC Estimate'!$A$5:$A$238,0))</f>
        <v>Yes</v>
      </c>
    </row>
    <row r="16" customFormat="false" ht="15" hidden="false" customHeight="false" outlineLevel="0" collapsed="false">
      <c r="A16" s="17" t="n">
        <v>35</v>
      </c>
      <c r="B16" s="7" t="str">
        <f aca="false">INDEX('AC Estimate'!$B$5:$B$238,MATCH($A16,'AC Estimate'!$A$5:$A$238,0))</f>
        <v>Madurantakam</v>
      </c>
      <c r="C16" s="7" t="str">
        <f aca="false">INDEX('AC Estimate'!$C$5:$C$238,MATCH($A16,'AC Estimate'!$A$5:$A$238,0))</f>
        <v>Chengalpattu</v>
      </c>
      <c r="D16" s="7" t="n">
        <f aca="false">INDEX('AC Estimate'!$I$5:$I$238,MATCH($A16,'AC Estimate'!$A$5:$A$238,0))</f>
        <v>18</v>
      </c>
      <c r="E16" s="27" t="n">
        <f aca="false">INDEX('AC Estimate'!$J$5:$J$238,MATCH($A16,'AC Estimate'!$A$5:$A$238,0))</f>
        <v>0.277777777777778</v>
      </c>
      <c r="F16" s="27" t="n">
        <f aca="false">INDEX('AC Estimate'!$K$5:$K$238,MATCH($A16,'AC Estimate'!$A$5:$A$238,0))</f>
        <v>0.222222222222222</v>
      </c>
      <c r="G16" s="27" t="n">
        <f aca="false">INDEX('AC Estimate'!$L$5:$L$238,MATCH($A16,'AC Estimate'!$A$5:$A$238,0))</f>
        <v>0</v>
      </c>
      <c r="H16" s="27" t="n">
        <f aca="false">INDEX('AC Estimate'!$M$5:$M$238,MATCH($A16,'AC Estimate'!$A$5:$A$238,0))</f>
        <v>0.0555555555555556</v>
      </c>
      <c r="I16" s="27" t="n">
        <f aca="false">INDEX('AC Estimate'!$N$5:$N$238,MATCH($A16,'AC Estimate'!$A$5:$A$238,0))</f>
        <v>0.444444444444444</v>
      </c>
      <c r="J16" s="7" t="str">
        <f aca="false">INDEX('AC Estimate'!$P$5:$P$238,MATCH($A16,'AC Estimate'!$A$5:$A$238,0))</f>
        <v>TVK</v>
      </c>
      <c r="K16" s="7" t="str">
        <f aca="false">INDEX('AC Estimate'!$AK$5:$AK$238,MATCH($A16,'AC Estimate'!$A$5:$A$238,0))</f>
        <v>AIADMK+</v>
      </c>
      <c r="L16" s="27" t="n">
        <f aca="false">INDEX('AC Estimate'!$AM$5:$AM$238,MATCH($A16,'AC Estimate'!$A$5:$A$238,0))</f>
        <v>0.425848182436555</v>
      </c>
      <c r="M16" s="7" t="str">
        <f aca="false">INDEX('AC Estimate'!$Q$5:$Q$238,MATCH($A16,'AC Estimate'!$A$5:$A$238,0))</f>
        <v>AIADMK</v>
      </c>
      <c r="N16" s="7" t="str">
        <f aca="false">INDEX('AC Estimate'!$R$5:$R$238,MATCH($A16,'AC Estimate'!$A$5:$A$238,0))</f>
        <v>AIADMK+</v>
      </c>
      <c r="O16" s="7" t="str">
        <f aca="false">INDEX('AC Estimate'!$AL$5:$AL$238,MATCH($A16,'AC Estimate'!$A$5:$A$238,0))</f>
        <v>Yes</v>
      </c>
    </row>
    <row r="17" customFormat="false" ht="15" hidden="false" customHeight="false" outlineLevel="0" collapsed="false">
      <c r="A17" s="33"/>
      <c r="B17" s="34" t="s">
        <v>95</v>
      </c>
      <c r="C17" s="33"/>
      <c r="D17" s="34" t="n">
        <f aca="false">SUM(D11:D16)</f>
        <v>334</v>
      </c>
      <c r="E17" s="33"/>
      <c r="F17" s="33"/>
      <c r="G17" s="33"/>
      <c r="H17" s="33"/>
      <c r="I17" s="33"/>
      <c r="J17" s="34" t="s">
        <v>92</v>
      </c>
      <c r="K17" s="34" t="str">
        <f aca="false">COUNTIF(K11:K16,"TVK")&amp;" / "&amp;COUNTIF(K11:K16,"AIADMK+")&amp;" / "&amp;COUNTIF(K11:K16,"DMK+")</f>
        <v>4 / 2 / 0</v>
      </c>
      <c r="L17" s="33"/>
      <c r="M17" s="34" t="s">
        <v>93</v>
      </c>
      <c r="N17" s="34" t="str">
        <f aca="false">COUNTIF(N11:N16,"TVK")&amp;" / "&amp;COUNTIF(N11:N16,"AIADMK+")&amp;" / "&amp;COUNTIF(N11:N16,"DMK+")</f>
        <v>4 / 2 / 0</v>
      </c>
      <c r="O17" s="34" t="str">
        <f aca="false">IF(AND(ABS(COUNTIF(K11:K16,"TVK")-COUNTIF(N11:N16,"TVK"))&lt;=Calibration!$B$3,ABS(COUNTIF(K11:K16,"AIADMK+")-COUNTIF(N11:N16,"AIADMK+"))&lt;=Calibration!$B$3,ABS(COUNTIF(K11:K16,"DMK+")-COUNTIF(N11:N16,"DMK+"))&lt;=Calibration!$B$3),"Within","Off")</f>
        <v>Within</v>
      </c>
    </row>
    <row r="19" customFormat="false" ht="15" hidden="false" customHeight="false" outlineLevel="0" collapsed="false">
      <c r="A19" s="31" t="s">
        <v>96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</row>
    <row r="20" customFormat="false" ht="15" hidden="false" customHeight="false" outlineLevel="0" collapsed="false">
      <c r="A20" s="17" t="n">
        <v>7</v>
      </c>
      <c r="B20" s="7" t="str">
        <f aca="false">INDEX('AC Estimate'!$B$5:$B$238,MATCH($A20,'AC Estimate'!$A$5:$A$238,0))</f>
        <v>Maduravoyal</v>
      </c>
      <c r="C20" s="7" t="str">
        <f aca="false">INDEX('AC Estimate'!$C$5:$C$238,MATCH($A20,'AC Estimate'!$A$5:$A$238,0))</f>
        <v>Chennai</v>
      </c>
      <c r="D20" s="7" t="n">
        <f aca="false">INDEX('AC Estimate'!$I$5:$I$238,MATCH($A20,'AC Estimate'!$A$5:$A$238,0))</f>
        <v>105</v>
      </c>
      <c r="E20" s="27" t="n">
        <f aca="false">INDEX('AC Estimate'!$J$5:$J$238,MATCH($A20,'AC Estimate'!$A$5:$A$238,0))</f>
        <v>0.266666666666667</v>
      </c>
      <c r="F20" s="27" t="n">
        <f aca="false">INDEX('AC Estimate'!$K$5:$K$238,MATCH($A20,'AC Estimate'!$A$5:$A$238,0))</f>
        <v>0.19047619047619</v>
      </c>
      <c r="G20" s="27" t="n">
        <f aca="false">INDEX('AC Estimate'!$L$5:$L$238,MATCH($A20,'AC Estimate'!$A$5:$A$238,0))</f>
        <v>0.0190476190476191</v>
      </c>
      <c r="H20" s="27" t="n">
        <f aca="false">INDEX('AC Estimate'!$M$5:$M$238,MATCH($A20,'AC Estimate'!$A$5:$A$238,0))</f>
        <v>0.0571428571428571</v>
      </c>
      <c r="I20" s="27" t="n">
        <f aca="false">INDEX('AC Estimate'!$N$5:$N$238,MATCH($A20,'AC Estimate'!$A$5:$A$238,0))</f>
        <v>0.466666666666667</v>
      </c>
      <c r="J20" s="7" t="str">
        <f aca="false">INDEX('AC Estimate'!$P$5:$P$238,MATCH($A20,'AC Estimate'!$A$5:$A$238,0))</f>
        <v>TVK</v>
      </c>
      <c r="K20" s="7" t="str">
        <f aca="false">INDEX('AC Estimate'!$AK$5:$AK$238,MATCH($A20,'AC Estimate'!$A$5:$A$238,0))</f>
        <v>TVK</v>
      </c>
      <c r="L20" s="27" t="n">
        <f aca="false">INDEX('AC Estimate'!$AM$5:$AM$238,MATCH($A20,'AC Estimate'!$A$5:$A$238,0))</f>
        <v>0.767835063775556</v>
      </c>
      <c r="M20" s="7" t="str">
        <f aca="false">INDEX('AC Estimate'!$Q$5:$Q$238,MATCH($A20,'AC Estimate'!$A$5:$A$238,0))</f>
        <v>TVK</v>
      </c>
      <c r="N20" s="7" t="str">
        <f aca="false">INDEX('AC Estimate'!$R$5:$R$238,MATCH($A20,'AC Estimate'!$A$5:$A$238,0))</f>
        <v>TVK</v>
      </c>
      <c r="O20" s="7" t="str">
        <f aca="false">INDEX('AC Estimate'!$AL$5:$AL$238,MATCH($A20,'AC Estimate'!$A$5:$A$238,0))</f>
        <v>Yes</v>
      </c>
    </row>
    <row r="21" customFormat="false" ht="15" hidden="false" customHeight="false" outlineLevel="0" collapsed="false">
      <c r="A21" s="17" t="n">
        <v>8</v>
      </c>
      <c r="B21" s="7" t="str">
        <f aca="false">INDEX('AC Estimate'!$B$5:$B$238,MATCH($A21,'AC Estimate'!$A$5:$A$238,0))</f>
        <v>Ambattur</v>
      </c>
      <c r="C21" s="7" t="str">
        <f aca="false">INDEX('AC Estimate'!$C$5:$C$238,MATCH($A21,'AC Estimate'!$A$5:$A$238,0))</f>
        <v>Chennai</v>
      </c>
      <c r="D21" s="7" t="n">
        <f aca="false">INDEX('AC Estimate'!$I$5:$I$238,MATCH($A21,'AC Estimate'!$A$5:$A$238,0))</f>
        <v>87</v>
      </c>
      <c r="E21" s="27" t="n">
        <f aca="false">INDEX('AC Estimate'!$J$5:$J$238,MATCH($A21,'AC Estimate'!$A$5:$A$238,0))</f>
        <v>0.28735632183908</v>
      </c>
      <c r="F21" s="27" t="n">
        <f aca="false">INDEX('AC Estimate'!$K$5:$K$238,MATCH($A21,'AC Estimate'!$A$5:$A$238,0))</f>
        <v>0.252873563218391</v>
      </c>
      <c r="G21" s="27" t="n">
        <f aca="false">INDEX('AC Estimate'!$L$5:$L$238,MATCH($A21,'AC Estimate'!$A$5:$A$238,0))</f>
        <v>0.0344827586206897</v>
      </c>
      <c r="H21" s="27" t="n">
        <f aca="false">INDEX('AC Estimate'!$M$5:$M$238,MATCH($A21,'AC Estimate'!$A$5:$A$238,0))</f>
        <v>0.0574712643678161</v>
      </c>
      <c r="I21" s="27" t="n">
        <f aca="false">INDEX('AC Estimate'!$N$5:$N$238,MATCH($A21,'AC Estimate'!$A$5:$A$238,0))</f>
        <v>0.367816091954023</v>
      </c>
      <c r="J21" s="7" t="str">
        <f aca="false">INDEX('AC Estimate'!$P$5:$P$238,MATCH($A21,'AC Estimate'!$A$5:$A$238,0))</f>
        <v>TVK</v>
      </c>
      <c r="K21" s="7" t="str">
        <f aca="false">INDEX('AC Estimate'!$AK$5:$AK$238,MATCH($A21,'AC Estimate'!$A$5:$A$238,0))</f>
        <v>TVK</v>
      </c>
      <c r="L21" s="27" t="n">
        <f aca="false">INDEX('AC Estimate'!$AM$5:$AM$238,MATCH($A21,'AC Estimate'!$A$5:$A$238,0))</f>
        <v>0.682378969698473</v>
      </c>
      <c r="M21" s="7" t="str">
        <f aca="false">INDEX('AC Estimate'!$Q$5:$Q$238,MATCH($A21,'AC Estimate'!$A$5:$A$238,0))</f>
        <v>TVK</v>
      </c>
      <c r="N21" s="7" t="str">
        <f aca="false">INDEX('AC Estimate'!$R$5:$R$238,MATCH($A21,'AC Estimate'!$A$5:$A$238,0))</f>
        <v>TVK</v>
      </c>
      <c r="O21" s="7" t="str">
        <f aca="false">INDEX('AC Estimate'!$AL$5:$AL$238,MATCH($A21,'AC Estimate'!$A$5:$A$238,0))</f>
        <v>Yes</v>
      </c>
    </row>
    <row r="22" customFormat="false" ht="15" hidden="false" customHeight="false" outlineLevel="0" collapsed="false">
      <c r="A22" s="17" t="n">
        <v>9</v>
      </c>
      <c r="B22" s="7" t="str">
        <f aca="false">INDEX('AC Estimate'!$B$5:$B$238,MATCH($A22,'AC Estimate'!$A$5:$A$238,0))</f>
        <v>Madavaram</v>
      </c>
      <c r="C22" s="7" t="str">
        <f aca="false">INDEX('AC Estimate'!$C$5:$C$238,MATCH($A22,'AC Estimate'!$A$5:$A$238,0))</f>
        <v>Chennai</v>
      </c>
      <c r="D22" s="7" t="n">
        <f aca="false">INDEX('AC Estimate'!$I$5:$I$238,MATCH($A22,'AC Estimate'!$A$5:$A$238,0))</f>
        <v>78</v>
      </c>
      <c r="E22" s="27" t="n">
        <f aca="false">INDEX('AC Estimate'!$J$5:$J$238,MATCH($A22,'AC Estimate'!$A$5:$A$238,0))</f>
        <v>0.282051282051282</v>
      </c>
      <c r="F22" s="27" t="n">
        <f aca="false">INDEX('AC Estimate'!$K$5:$K$238,MATCH($A22,'AC Estimate'!$A$5:$A$238,0))</f>
        <v>0.205128205128205</v>
      </c>
      <c r="G22" s="27" t="n">
        <f aca="false">INDEX('AC Estimate'!$L$5:$L$238,MATCH($A22,'AC Estimate'!$A$5:$A$238,0))</f>
        <v>0</v>
      </c>
      <c r="H22" s="27" t="n">
        <f aca="false">INDEX('AC Estimate'!$M$5:$M$238,MATCH($A22,'AC Estimate'!$A$5:$A$238,0))</f>
        <v>0.0769230769230769</v>
      </c>
      <c r="I22" s="27" t="n">
        <f aca="false">INDEX('AC Estimate'!$N$5:$N$238,MATCH($A22,'AC Estimate'!$A$5:$A$238,0))</f>
        <v>0.435897435897436</v>
      </c>
      <c r="J22" s="7" t="str">
        <f aca="false">INDEX('AC Estimate'!$P$5:$P$238,MATCH($A22,'AC Estimate'!$A$5:$A$238,0))</f>
        <v>TVK</v>
      </c>
      <c r="K22" s="7" t="str">
        <f aca="false">INDEX('AC Estimate'!$AK$5:$AK$238,MATCH($A22,'AC Estimate'!$A$5:$A$238,0))</f>
        <v>TVK</v>
      </c>
      <c r="L22" s="27" t="n">
        <f aca="false">INDEX('AC Estimate'!$AM$5:$AM$238,MATCH($A22,'AC Estimate'!$A$5:$A$238,0))</f>
        <v>0.657305532482465</v>
      </c>
      <c r="M22" s="7" t="str">
        <f aca="false">INDEX('AC Estimate'!$Q$5:$Q$238,MATCH($A22,'AC Estimate'!$A$5:$A$238,0))</f>
        <v>TVK</v>
      </c>
      <c r="N22" s="7" t="str">
        <f aca="false">INDEX('AC Estimate'!$R$5:$R$238,MATCH($A22,'AC Estimate'!$A$5:$A$238,0))</f>
        <v>TVK</v>
      </c>
      <c r="O22" s="7" t="str">
        <f aca="false">INDEX('AC Estimate'!$AL$5:$AL$238,MATCH($A22,'AC Estimate'!$A$5:$A$238,0))</f>
        <v>Yes</v>
      </c>
    </row>
    <row r="23" customFormat="false" ht="15" hidden="false" customHeight="false" outlineLevel="0" collapsed="false">
      <c r="A23" s="17" t="n">
        <v>10</v>
      </c>
      <c r="B23" s="7" t="str">
        <f aca="false">INDEX('AC Estimate'!$B$5:$B$238,MATCH($A23,'AC Estimate'!$A$5:$A$238,0))</f>
        <v>Thiruvottiyur</v>
      </c>
      <c r="C23" s="7" t="str">
        <f aca="false">INDEX('AC Estimate'!$C$5:$C$238,MATCH($A23,'AC Estimate'!$A$5:$A$238,0))</f>
        <v>Chennai</v>
      </c>
      <c r="D23" s="7" t="n">
        <f aca="false">INDEX('AC Estimate'!$I$5:$I$238,MATCH($A23,'AC Estimate'!$A$5:$A$238,0))</f>
        <v>53</v>
      </c>
      <c r="E23" s="27" t="n">
        <f aca="false">INDEX('AC Estimate'!$J$5:$J$238,MATCH($A23,'AC Estimate'!$A$5:$A$238,0))</f>
        <v>0.207547169811321</v>
      </c>
      <c r="F23" s="27" t="n">
        <f aca="false">INDEX('AC Estimate'!$K$5:$K$238,MATCH($A23,'AC Estimate'!$A$5:$A$238,0))</f>
        <v>0.358490566037736</v>
      </c>
      <c r="G23" s="27" t="n">
        <f aca="false">INDEX('AC Estimate'!$L$5:$L$238,MATCH($A23,'AC Estimate'!$A$5:$A$238,0))</f>
        <v>0</v>
      </c>
      <c r="H23" s="27" t="n">
        <f aca="false">INDEX('AC Estimate'!$M$5:$M$238,MATCH($A23,'AC Estimate'!$A$5:$A$238,0))</f>
        <v>0.0943396226415094</v>
      </c>
      <c r="I23" s="27" t="n">
        <f aca="false">INDEX('AC Estimate'!$N$5:$N$238,MATCH($A23,'AC Estimate'!$A$5:$A$238,0))</f>
        <v>0.339622641509434</v>
      </c>
      <c r="J23" s="7" t="str">
        <f aca="false">INDEX('AC Estimate'!$P$5:$P$238,MATCH($A23,'AC Estimate'!$A$5:$A$238,0))</f>
        <v>DMK+</v>
      </c>
      <c r="K23" s="7" t="str">
        <f aca="false">INDEX('AC Estimate'!$AK$5:$AK$238,MATCH($A23,'AC Estimate'!$A$5:$A$238,0))</f>
        <v>TVK</v>
      </c>
      <c r="L23" s="27" t="n">
        <f aca="false">INDEX('AC Estimate'!$AM$5:$AM$238,MATCH($A23,'AC Estimate'!$A$5:$A$238,0))</f>
        <v>0.456558288230565</v>
      </c>
      <c r="M23" s="7" t="str">
        <f aca="false">INDEX('AC Estimate'!$Q$5:$Q$238,MATCH($A23,'AC Estimate'!$A$5:$A$238,0))</f>
        <v>TVK</v>
      </c>
      <c r="N23" s="7" t="str">
        <f aca="false">INDEX('AC Estimate'!$R$5:$R$238,MATCH($A23,'AC Estimate'!$A$5:$A$238,0))</f>
        <v>TVK</v>
      </c>
      <c r="O23" s="7" t="str">
        <f aca="false">INDEX('AC Estimate'!$AL$5:$AL$238,MATCH($A23,'AC Estimate'!$A$5:$A$238,0))</f>
        <v>Yes</v>
      </c>
    </row>
    <row r="24" customFormat="false" ht="15" hidden="false" customHeight="false" outlineLevel="0" collapsed="false">
      <c r="A24" s="17" t="n">
        <v>11</v>
      </c>
      <c r="B24" s="7" t="str">
        <f aca="false">INDEX('AC Estimate'!$B$5:$B$238,MATCH($A24,'AC Estimate'!$A$5:$A$238,0))</f>
        <v>Dr. Radhakrishnan Nagar</v>
      </c>
      <c r="C24" s="7" t="str">
        <f aca="false">INDEX('AC Estimate'!$C$5:$C$238,MATCH($A24,'AC Estimate'!$A$5:$A$238,0))</f>
        <v>Chennai</v>
      </c>
      <c r="D24" s="7" t="n">
        <f aca="false">INDEX('AC Estimate'!$I$5:$I$238,MATCH($A24,'AC Estimate'!$A$5:$A$238,0))</f>
        <v>54</v>
      </c>
      <c r="E24" s="27" t="n">
        <f aca="false">INDEX('AC Estimate'!$J$5:$J$238,MATCH($A24,'AC Estimate'!$A$5:$A$238,0))</f>
        <v>0.185185185185185</v>
      </c>
      <c r="F24" s="27" t="n">
        <f aca="false">INDEX('AC Estimate'!$K$5:$K$238,MATCH($A24,'AC Estimate'!$A$5:$A$238,0))</f>
        <v>0.296296296296296</v>
      </c>
      <c r="G24" s="27" t="n">
        <f aca="false">INDEX('AC Estimate'!$L$5:$L$238,MATCH($A24,'AC Estimate'!$A$5:$A$238,0))</f>
        <v>0</v>
      </c>
      <c r="H24" s="27" t="n">
        <f aca="false">INDEX('AC Estimate'!$M$5:$M$238,MATCH($A24,'AC Estimate'!$A$5:$A$238,0))</f>
        <v>0.0555555555555556</v>
      </c>
      <c r="I24" s="27" t="n">
        <f aca="false">INDEX('AC Estimate'!$N$5:$N$238,MATCH($A24,'AC Estimate'!$A$5:$A$238,0))</f>
        <v>0.462962962962963</v>
      </c>
      <c r="J24" s="7" t="str">
        <f aca="false">INDEX('AC Estimate'!$P$5:$P$238,MATCH($A24,'AC Estimate'!$A$5:$A$238,0))</f>
        <v>TVK</v>
      </c>
      <c r="K24" s="7" t="str">
        <f aca="false">INDEX('AC Estimate'!$AK$5:$AK$238,MATCH($A24,'AC Estimate'!$A$5:$A$238,0))</f>
        <v>TVK</v>
      </c>
      <c r="L24" s="27" t="n">
        <f aca="false">INDEX('AC Estimate'!$AM$5:$AM$238,MATCH($A24,'AC Estimate'!$A$5:$A$238,0))</f>
        <v>0.50142844866302</v>
      </c>
      <c r="M24" s="7" t="str">
        <f aca="false">INDEX('AC Estimate'!$Q$5:$Q$238,MATCH($A24,'AC Estimate'!$A$5:$A$238,0))</f>
        <v>TVK</v>
      </c>
      <c r="N24" s="7" t="str">
        <f aca="false">INDEX('AC Estimate'!$R$5:$R$238,MATCH($A24,'AC Estimate'!$A$5:$A$238,0))</f>
        <v>TVK</v>
      </c>
      <c r="O24" s="7" t="str">
        <f aca="false">INDEX('AC Estimate'!$AL$5:$AL$238,MATCH($A24,'AC Estimate'!$A$5:$A$238,0))</f>
        <v>Yes</v>
      </c>
    </row>
    <row r="25" customFormat="false" ht="15" hidden="false" customHeight="false" outlineLevel="0" collapsed="false">
      <c r="A25" s="17" t="n">
        <v>12</v>
      </c>
      <c r="B25" s="7" t="str">
        <f aca="false">INDEX('AC Estimate'!$B$5:$B$238,MATCH($A25,'AC Estimate'!$A$5:$A$238,0))</f>
        <v>Perambur</v>
      </c>
      <c r="C25" s="7" t="str">
        <f aca="false">INDEX('AC Estimate'!$C$5:$C$238,MATCH($A25,'AC Estimate'!$A$5:$A$238,0))</f>
        <v>Chennai</v>
      </c>
      <c r="D25" s="7" t="n">
        <f aca="false">INDEX('AC Estimate'!$I$5:$I$238,MATCH($A25,'AC Estimate'!$A$5:$A$238,0))</f>
        <v>95</v>
      </c>
      <c r="E25" s="27" t="n">
        <f aca="false">INDEX('AC Estimate'!$J$5:$J$238,MATCH($A25,'AC Estimate'!$A$5:$A$238,0))</f>
        <v>0.0947368421052632</v>
      </c>
      <c r="F25" s="27" t="n">
        <f aca="false">INDEX('AC Estimate'!$K$5:$K$238,MATCH($A25,'AC Estimate'!$A$5:$A$238,0))</f>
        <v>0.231578947368421</v>
      </c>
      <c r="G25" s="27" t="n">
        <f aca="false">INDEX('AC Estimate'!$L$5:$L$238,MATCH($A25,'AC Estimate'!$A$5:$A$238,0))</f>
        <v>0</v>
      </c>
      <c r="H25" s="27" t="n">
        <f aca="false">INDEX('AC Estimate'!$M$5:$M$238,MATCH($A25,'AC Estimate'!$A$5:$A$238,0))</f>
        <v>0.0421052631578947</v>
      </c>
      <c r="I25" s="27" t="n">
        <f aca="false">INDEX('AC Estimate'!$N$5:$N$238,MATCH($A25,'AC Estimate'!$A$5:$A$238,0))</f>
        <v>0.631578947368421</v>
      </c>
      <c r="J25" s="7" t="str">
        <f aca="false">INDEX('AC Estimate'!$P$5:$P$238,MATCH($A25,'AC Estimate'!$A$5:$A$238,0))</f>
        <v>TVK</v>
      </c>
      <c r="K25" s="7" t="str">
        <f aca="false">INDEX('AC Estimate'!$AK$5:$AK$238,MATCH($A25,'AC Estimate'!$A$5:$A$238,0))</f>
        <v>TVK</v>
      </c>
      <c r="L25" s="27" t="n">
        <f aca="false">INDEX('AC Estimate'!$AM$5:$AM$238,MATCH($A25,'AC Estimate'!$A$5:$A$238,0))</f>
        <v>0.759965077450261</v>
      </c>
      <c r="M25" s="7" t="str">
        <f aca="false">INDEX('AC Estimate'!$Q$5:$Q$238,MATCH($A25,'AC Estimate'!$A$5:$A$238,0))</f>
        <v>TVK</v>
      </c>
      <c r="N25" s="7" t="str">
        <f aca="false">INDEX('AC Estimate'!$R$5:$R$238,MATCH($A25,'AC Estimate'!$A$5:$A$238,0))</f>
        <v>TVK</v>
      </c>
      <c r="O25" s="7" t="str">
        <f aca="false">INDEX('AC Estimate'!$AL$5:$AL$238,MATCH($A25,'AC Estimate'!$A$5:$A$238,0))</f>
        <v>Yes</v>
      </c>
    </row>
    <row r="26" customFormat="false" ht="15" hidden="false" customHeight="false" outlineLevel="0" collapsed="false">
      <c r="A26" s="17" t="n">
        <v>13</v>
      </c>
      <c r="B26" s="7" t="str">
        <f aca="false">INDEX('AC Estimate'!$B$5:$B$238,MATCH($A26,'AC Estimate'!$A$5:$A$238,0))</f>
        <v>Kolathur</v>
      </c>
      <c r="C26" s="7" t="str">
        <f aca="false">INDEX('AC Estimate'!$C$5:$C$238,MATCH($A26,'AC Estimate'!$A$5:$A$238,0))</f>
        <v>Chennai</v>
      </c>
      <c r="D26" s="7" t="n">
        <f aca="false">INDEX('AC Estimate'!$I$5:$I$238,MATCH($A26,'AC Estimate'!$A$5:$A$238,0))</f>
        <v>63</v>
      </c>
      <c r="E26" s="27" t="n">
        <f aca="false">INDEX('AC Estimate'!$J$5:$J$238,MATCH($A26,'AC Estimate'!$A$5:$A$238,0))</f>
        <v>0.238095238095238</v>
      </c>
      <c r="F26" s="27" t="n">
        <f aca="false">INDEX('AC Estimate'!$K$5:$K$238,MATCH($A26,'AC Estimate'!$A$5:$A$238,0))</f>
        <v>0.222222222222222</v>
      </c>
      <c r="G26" s="27" t="n">
        <f aca="false">INDEX('AC Estimate'!$L$5:$L$238,MATCH($A26,'AC Estimate'!$A$5:$A$238,0))</f>
        <v>0.0158730158730159</v>
      </c>
      <c r="H26" s="27" t="n">
        <f aca="false">INDEX('AC Estimate'!$M$5:$M$238,MATCH($A26,'AC Estimate'!$A$5:$A$238,0))</f>
        <v>0</v>
      </c>
      <c r="I26" s="27" t="n">
        <f aca="false">INDEX('AC Estimate'!$N$5:$N$238,MATCH($A26,'AC Estimate'!$A$5:$A$238,0))</f>
        <v>0.523809523809524</v>
      </c>
      <c r="J26" s="7" t="str">
        <f aca="false">INDEX('AC Estimate'!$P$5:$P$238,MATCH($A26,'AC Estimate'!$A$5:$A$238,0))</f>
        <v>TVK</v>
      </c>
      <c r="K26" s="7" t="str">
        <f aca="false">INDEX('AC Estimate'!$AK$5:$AK$238,MATCH($A26,'AC Estimate'!$A$5:$A$238,0))</f>
        <v>TVK</v>
      </c>
      <c r="L26" s="27" t="n">
        <f aca="false">INDEX('AC Estimate'!$AM$5:$AM$238,MATCH($A26,'AC Estimate'!$A$5:$A$238,0))</f>
        <v>0.591700036939545</v>
      </c>
      <c r="M26" s="7" t="str">
        <f aca="false">INDEX('AC Estimate'!$Q$5:$Q$238,MATCH($A26,'AC Estimate'!$A$5:$A$238,0))</f>
        <v>TVK</v>
      </c>
      <c r="N26" s="7" t="str">
        <f aca="false">INDEX('AC Estimate'!$R$5:$R$238,MATCH($A26,'AC Estimate'!$A$5:$A$238,0))</f>
        <v>TVK</v>
      </c>
      <c r="O26" s="7" t="str">
        <f aca="false">INDEX('AC Estimate'!$AL$5:$AL$238,MATCH($A26,'AC Estimate'!$A$5:$A$238,0))</f>
        <v>Yes</v>
      </c>
    </row>
    <row r="27" customFormat="false" ht="15" hidden="false" customHeight="false" outlineLevel="0" collapsed="false">
      <c r="A27" s="17" t="n">
        <v>14</v>
      </c>
      <c r="B27" s="7" t="str">
        <f aca="false">INDEX('AC Estimate'!$B$5:$B$238,MATCH($A27,'AC Estimate'!$A$5:$A$238,0))</f>
        <v>Villivakkam</v>
      </c>
      <c r="C27" s="7" t="str">
        <f aca="false">INDEX('AC Estimate'!$C$5:$C$238,MATCH($A27,'AC Estimate'!$A$5:$A$238,0))</f>
        <v>Chennai</v>
      </c>
      <c r="D27" s="7" t="n">
        <f aca="false">INDEX('AC Estimate'!$I$5:$I$238,MATCH($A27,'AC Estimate'!$A$5:$A$238,0))</f>
        <v>55</v>
      </c>
      <c r="E27" s="27" t="n">
        <f aca="false">INDEX('AC Estimate'!$J$5:$J$238,MATCH($A27,'AC Estimate'!$A$5:$A$238,0))</f>
        <v>0.0909090909090909</v>
      </c>
      <c r="F27" s="27" t="n">
        <f aca="false">INDEX('AC Estimate'!$K$5:$K$238,MATCH($A27,'AC Estimate'!$A$5:$A$238,0))</f>
        <v>0.472727272727273</v>
      </c>
      <c r="G27" s="27" t="n">
        <f aca="false">INDEX('AC Estimate'!$L$5:$L$238,MATCH($A27,'AC Estimate'!$A$5:$A$238,0))</f>
        <v>0</v>
      </c>
      <c r="H27" s="27" t="n">
        <f aca="false">INDEX('AC Estimate'!$M$5:$M$238,MATCH($A27,'AC Estimate'!$A$5:$A$238,0))</f>
        <v>0.0363636363636364</v>
      </c>
      <c r="I27" s="27" t="n">
        <f aca="false">INDEX('AC Estimate'!$N$5:$N$238,MATCH($A27,'AC Estimate'!$A$5:$A$238,0))</f>
        <v>0.4</v>
      </c>
      <c r="J27" s="7" t="str">
        <f aca="false">INDEX('AC Estimate'!$P$5:$P$238,MATCH($A27,'AC Estimate'!$A$5:$A$238,0))</f>
        <v>DMK+</v>
      </c>
      <c r="K27" s="7" t="str">
        <f aca="false">INDEX('AC Estimate'!$AK$5:$AK$238,MATCH($A27,'AC Estimate'!$A$5:$A$238,0))</f>
        <v>TVK</v>
      </c>
      <c r="L27" s="27" t="n">
        <f aca="false">INDEX('AC Estimate'!$AM$5:$AM$238,MATCH($A27,'AC Estimate'!$A$5:$A$238,0))</f>
        <v>0.463388377929024</v>
      </c>
      <c r="M27" s="7" t="str">
        <f aca="false">INDEX('AC Estimate'!$Q$5:$Q$238,MATCH($A27,'AC Estimate'!$A$5:$A$238,0))</f>
        <v>TVK</v>
      </c>
      <c r="N27" s="7" t="str">
        <f aca="false">INDEX('AC Estimate'!$R$5:$R$238,MATCH($A27,'AC Estimate'!$A$5:$A$238,0))</f>
        <v>TVK</v>
      </c>
      <c r="O27" s="7" t="str">
        <f aca="false">INDEX('AC Estimate'!$AL$5:$AL$238,MATCH($A27,'AC Estimate'!$A$5:$A$238,0))</f>
        <v>Yes</v>
      </c>
    </row>
    <row r="28" customFormat="false" ht="15" hidden="false" customHeight="false" outlineLevel="0" collapsed="false">
      <c r="A28" s="17" t="n">
        <v>15</v>
      </c>
      <c r="B28" s="7" t="str">
        <f aca="false">INDEX('AC Estimate'!$B$5:$B$238,MATCH($A28,'AC Estimate'!$A$5:$A$238,0))</f>
        <v>Thiru-Vi-Ka-Nagar</v>
      </c>
      <c r="C28" s="7" t="str">
        <f aca="false">INDEX('AC Estimate'!$C$5:$C$238,MATCH($A28,'AC Estimate'!$A$5:$A$238,0))</f>
        <v>Chennai</v>
      </c>
      <c r="D28" s="7" t="n">
        <f aca="false">INDEX('AC Estimate'!$I$5:$I$238,MATCH($A28,'AC Estimate'!$A$5:$A$238,0))</f>
        <v>24</v>
      </c>
      <c r="E28" s="27" t="n">
        <f aca="false">INDEX('AC Estimate'!$J$5:$J$238,MATCH($A28,'AC Estimate'!$A$5:$A$238,0))</f>
        <v>0.166666666666667</v>
      </c>
      <c r="F28" s="27" t="n">
        <f aca="false">INDEX('AC Estimate'!$K$5:$K$238,MATCH($A28,'AC Estimate'!$A$5:$A$238,0))</f>
        <v>0.125</v>
      </c>
      <c r="G28" s="27" t="n">
        <f aca="false">INDEX('AC Estimate'!$L$5:$L$238,MATCH($A28,'AC Estimate'!$A$5:$A$238,0))</f>
        <v>0</v>
      </c>
      <c r="H28" s="27" t="n">
        <f aca="false">INDEX('AC Estimate'!$M$5:$M$238,MATCH($A28,'AC Estimate'!$A$5:$A$238,0))</f>
        <v>0.0416666666666667</v>
      </c>
      <c r="I28" s="27" t="n">
        <f aca="false">INDEX('AC Estimate'!$N$5:$N$238,MATCH($A28,'AC Estimate'!$A$5:$A$238,0))</f>
        <v>0.666666666666667</v>
      </c>
      <c r="J28" s="7" t="str">
        <f aca="false">INDEX('AC Estimate'!$P$5:$P$238,MATCH($A28,'AC Estimate'!$A$5:$A$238,0))</f>
        <v>TVK</v>
      </c>
      <c r="K28" s="7" t="str">
        <f aca="false">INDEX('AC Estimate'!$AK$5:$AK$238,MATCH($A28,'AC Estimate'!$A$5:$A$238,0))</f>
        <v>DMK+</v>
      </c>
      <c r="L28" s="27" t="n">
        <f aca="false">INDEX('AC Estimate'!$AM$5:$AM$238,MATCH($A28,'AC Estimate'!$A$5:$A$238,0))</f>
        <v>0.377288965459314</v>
      </c>
      <c r="M28" s="7" t="str">
        <f aca="false">INDEX('AC Estimate'!$Q$5:$Q$238,MATCH($A28,'AC Estimate'!$A$5:$A$238,0))</f>
        <v>TVK</v>
      </c>
      <c r="N28" s="7" t="str">
        <f aca="false">INDEX('AC Estimate'!$R$5:$R$238,MATCH($A28,'AC Estimate'!$A$5:$A$238,0))</f>
        <v>TVK</v>
      </c>
      <c r="O28" s="7" t="str">
        <f aca="false">INDEX('AC Estimate'!$AL$5:$AL$238,MATCH($A28,'AC Estimate'!$A$5:$A$238,0))</f>
        <v>No</v>
      </c>
    </row>
    <row r="29" customFormat="false" ht="15" hidden="false" customHeight="false" outlineLevel="0" collapsed="false">
      <c r="A29" s="17" t="n">
        <v>16</v>
      </c>
      <c r="B29" s="7" t="str">
        <f aca="false">INDEX('AC Estimate'!$B$5:$B$238,MATCH($A29,'AC Estimate'!$A$5:$A$238,0))</f>
        <v>Egmore</v>
      </c>
      <c r="C29" s="7" t="str">
        <f aca="false">INDEX('AC Estimate'!$C$5:$C$238,MATCH($A29,'AC Estimate'!$A$5:$A$238,0))</f>
        <v>Chennai</v>
      </c>
      <c r="D29" s="7" t="n">
        <f aca="false">INDEX('AC Estimate'!$I$5:$I$238,MATCH($A29,'AC Estimate'!$A$5:$A$238,0))</f>
        <v>50</v>
      </c>
      <c r="E29" s="27" t="n">
        <f aca="false">INDEX('AC Estimate'!$J$5:$J$238,MATCH($A29,'AC Estimate'!$A$5:$A$238,0))</f>
        <v>0.16</v>
      </c>
      <c r="F29" s="27" t="n">
        <f aca="false">INDEX('AC Estimate'!$K$5:$K$238,MATCH($A29,'AC Estimate'!$A$5:$A$238,0))</f>
        <v>0.44</v>
      </c>
      <c r="G29" s="27" t="n">
        <f aca="false">INDEX('AC Estimate'!$L$5:$L$238,MATCH($A29,'AC Estimate'!$A$5:$A$238,0))</f>
        <v>0</v>
      </c>
      <c r="H29" s="27" t="n">
        <f aca="false">INDEX('AC Estimate'!$M$5:$M$238,MATCH($A29,'AC Estimate'!$A$5:$A$238,0))</f>
        <v>0.02</v>
      </c>
      <c r="I29" s="27" t="n">
        <f aca="false">INDEX('AC Estimate'!$N$5:$N$238,MATCH($A29,'AC Estimate'!$A$5:$A$238,0))</f>
        <v>0.38</v>
      </c>
      <c r="J29" s="7" t="str">
        <f aca="false">INDEX('AC Estimate'!$P$5:$P$238,MATCH($A29,'AC Estimate'!$A$5:$A$238,0))</f>
        <v>DMK+</v>
      </c>
      <c r="K29" s="7" t="str">
        <f aca="false">INDEX('AC Estimate'!$AK$5:$AK$238,MATCH($A29,'AC Estimate'!$A$5:$A$238,0))</f>
        <v>TVK</v>
      </c>
      <c r="L29" s="27" t="n">
        <f aca="false">INDEX('AC Estimate'!$AM$5:$AM$238,MATCH($A29,'AC Estimate'!$A$5:$A$238,0))</f>
        <v>0.429205438473718</v>
      </c>
      <c r="M29" s="7" t="str">
        <f aca="false">INDEX('AC Estimate'!$Q$5:$Q$238,MATCH($A29,'AC Estimate'!$A$5:$A$238,0))</f>
        <v>TVK</v>
      </c>
      <c r="N29" s="7" t="str">
        <f aca="false">INDEX('AC Estimate'!$R$5:$R$238,MATCH($A29,'AC Estimate'!$A$5:$A$238,0))</f>
        <v>TVK</v>
      </c>
      <c r="O29" s="7" t="str">
        <f aca="false">INDEX('AC Estimate'!$AL$5:$AL$238,MATCH($A29,'AC Estimate'!$A$5:$A$238,0))</f>
        <v>Yes</v>
      </c>
    </row>
    <row r="30" customFormat="false" ht="15" hidden="false" customHeight="false" outlineLevel="0" collapsed="false">
      <c r="A30" s="17" t="n">
        <v>17</v>
      </c>
      <c r="B30" s="7" t="str">
        <f aca="false">INDEX('AC Estimate'!$B$5:$B$238,MATCH($A30,'AC Estimate'!$A$5:$A$238,0))</f>
        <v>Royapuram</v>
      </c>
      <c r="C30" s="7" t="str">
        <f aca="false">INDEX('AC Estimate'!$C$5:$C$238,MATCH($A30,'AC Estimate'!$A$5:$A$238,0))</f>
        <v>Chennai</v>
      </c>
      <c r="D30" s="7" t="n">
        <f aca="false">INDEX('AC Estimate'!$I$5:$I$238,MATCH($A30,'AC Estimate'!$A$5:$A$238,0))</f>
        <v>36</v>
      </c>
      <c r="E30" s="27" t="n">
        <f aca="false">INDEX('AC Estimate'!$J$5:$J$238,MATCH($A30,'AC Estimate'!$A$5:$A$238,0))</f>
        <v>0.25</v>
      </c>
      <c r="F30" s="27" t="n">
        <f aca="false">INDEX('AC Estimate'!$K$5:$K$238,MATCH($A30,'AC Estimate'!$A$5:$A$238,0))</f>
        <v>0.416666666666667</v>
      </c>
      <c r="G30" s="27" t="n">
        <f aca="false">INDEX('AC Estimate'!$L$5:$L$238,MATCH($A30,'AC Estimate'!$A$5:$A$238,0))</f>
        <v>0</v>
      </c>
      <c r="H30" s="27" t="n">
        <f aca="false">INDEX('AC Estimate'!$M$5:$M$238,MATCH($A30,'AC Estimate'!$A$5:$A$238,0))</f>
        <v>0</v>
      </c>
      <c r="I30" s="27" t="n">
        <f aca="false">INDEX('AC Estimate'!$N$5:$N$238,MATCH($A30,'AC Estimate'!$A$5:$A$238,0))</f>
        <v>0.333333333333333</v>
      </c>
      <c r="J30" s="7" t="str">
        <f aca="false">INDEX('AC Estimate'!$P$5:$P$238,MATCH($A30,'AC Estimate'!$A$5:$A$238,0))</f>
        <v>DMK+</v>
      </c>
      <c r="K30" s="7" t="str">
        <f aca="false">INDEX('AC Estimate'!$AK$5:$AK$238,MATCH($A30,'AC Estimate'!$A$5:$A$238,0))</f>
        <v>TVK</v>
      </c>
      <c r="L30" s="27" t="n">
        <f aca="false">INDEX('AC Estimate'!$AM$5:$AM$238,MATCH($A30,'AC Estimate'!$A$5:$A$238,0))</f>
        <v>0.29806048387246</v>
      </c>
      <c r="M30" s="7" t="str">
        <f aca="false">INDEX('AC Estimate'!$Q$5:$Q$238,MATCH($A30,'AC Estimate'!$A$5:$A$238,0))</f>
        <v>TVK</v>
      </c>
      <c r="N30" s="7" t="str">
        <f aca="false">INDEX('AC Estimate'!$R$5:$R$238,MATCH($A30,'AC Estimate'!$A$5:$A$238,0))</f>
        <v>TVK</v>
      </c>
      <c r="O30" s="7" t="str">
        <f aca="false">INDEX('AC Estimate'!$AL$5:$AL$238,MATCH($A30,'AC Estimate'!$A$5:$A$238,0))</f>
        <v>Yes</v>
      </c>
    </row>
    <row r="31" customFormat="false" ht="15" hidden="false" customHeight="false" outlineLevel="0" collapsed="false">
      <c r="A31" s="17" t="n">
        <v>18</v>
      </c>
      <c r="B31" s="7" t="str">
        <f aca="false">INDEX('AC Estimate'!$B$5:$B$238,MATCH($A31,'AC Estimate'!$A$5:$A$238,0))</f>
        <v>Harbour</v>
      </c>
      <c r="C31" s="7" t="str">
        <f aca="false">INDEX('AC Estimate'!$C$5:$C$238,MATCH($A31,'AC Estimate'!$A$5:$A$238,0))</f>
        <v>Chennai</v>
      </c>
      <c r="D31" s="7" t="n">
        <f aca="false">INDEX('AC Estimate'!$I$5:$I$238,MATCH($A31,'AC Estimate'!$A$5:$A$238,0))</f>
        <v>40</v>
      </c>
      <c r="E31" s="27" t="n">
        <f aca="false">INDEX('AC Estimate'!$J$5:$J$238,MATCH($A31,'AC Estimate'!$A$5:$A$238,0))</f>
        <v>0.25</v>
      </c>
      <c r="F31" s="27" t="n">
        <f aca="false">INDEX('AC Estimate'!$K$5:$K$238,MATCH($A31,'AC Estimate'!$A$5:$A$238,0))</f>
        <v>0.5</v>
      </c>
      <c r="G31" s="27" t="n">
        <f aca="false">INDEX('AC Estimate'!$L$5:$L$238,MATCH($A31,'AC Estimate'!$A$5:$A$238,0))</f>
        <v>0</v>
      </c>
      <c r="H31" s="27" t="n">
        <f aca="false">INDEX('AC Estimate'!$M$5:$M$238,MATCH($A31,'AC Estimate'!$A$5:$A$238,0))</f>
        <v>0.025</v>
      </c>
      <c r="I31" s="27" t="n">
        <f aca="false">INDEX('AC Estimate'!$N$5:$N$238,MATCH($A31,'AC Estimate'!$A$5:$A$238,0))</f>
        <v>0.225</v>
      </c>
      <c r="J31" s="7" t="str">
        <f aca="false">INDEX('AC Estimate'!$P$5:$P$238,MATCH($A31,'AC Estimate'!$A$5:$A$238,0))</f>
        <v>DMK+</v>
      </c>
      <c r="K31" s="7" t="str">
        <f aca="false">INDEX('AC Estimate'!$AK$5:$AK$238,MATCH($A31,'AC Estimate'!$A$5:$A$238,0))</f>
        <v>DMK+</v>
      </c>
      <c r="L31" s="27" t="n">
        <f aca="false">INDEX('AC Estimate'!$AM$5:$AM$238,MATCH($A31,'AC Estimate'!$A$5:$A$238,0))</f>
        <v>0.441898753243166</v>
      </c>
      <c r="M31" s="7" t="str">
        <f aca="false">INDEX('AC Estimate'!$Q$5:$Q$238,MATCH($A31,'AC Estimate'!$A$5:$A$238,0))</f>
        <v>DMK</v>
      </c>
      <c r="N31" s="7" t="str">
        <f aca="false">INDEX('AC Estimate'!$R$5:$R$238,MATCH($A31,'AC Estimate'!$A$5:$A$238,0))</f>
        <v>DMK+</v>
      </c>
      <c r="O31" s="7" t="str">
        <f aca="false">INDEX('AC Estimate'!$AL$5:$AL$238,MATCH($A31,'AC Estimate'!$A$5:$A$238,0))</f>
        <v>Yes</v>
      </c>
    </row>
    <row r="32" customFormat="false" ht="15" hidden="false" customHeight="false" outlineLevel="0" collapsed="false">
      <c r="A32" s="17" t="n">
        <v>19</v>
      </c>
      <c r="B32" s="7" t="str">
        <f aca="false">INDEX('AC Estimate'!$B$5:$B$238,MATCH($A32,'AC Estimate'!$A$5:$A$238,0))</f>
        <v>Chepauk-Thiruvallikeni</v>
      </c>
      <c r="C32" s="7" t="str">
        <f aca="false">INDEX('AC Estimate'!$C$5:$C$238,MATCH($A32,'AC Estimate'!$A$5:$A$238,0))</f>
        <v>Chennai</v>
      </c>
      <c r="D32" s="7" t="n">
        <f aca="false">INDEX('AC Estimate'!$I$5:$I$238,MATCH($A32,'AC Estimate'!$A$5:$A$238,0))</f>
        <v>40</v>
      </c>
      <c r="E32" s="27" t="n">
        <f aca="false">INDEX('AC Estimate'!$J$5:$J$238,MATCH($A32,'AC Estimate'!$A$5:$A$238,0))</f>
        <v>0.225</v>
      </c>
      <c r="F32" s="27" t="n">
        <f aca="false">INDEX('AC Estimate'!$K$5:$K$238,MATCH($A32,'AC Estimate'!$A$5:$A$238,0))</f>
        <v>0.4</v>
      </c>
      <c r="G32" s="27" t="n">
        <f aca="false">INDEX('AC Estimate'!$L$5:$L$238,MATCH($A32,'AC Estimate'!$A$5:$A$238,0))</f>
        <v>0</v>
      </c>
      <c r="H32" s="27" t="n">
        <f aca="false">INDEX('AC Estimate'!$M$5:$M$238,MATCH($A32,'AC Estimate'!$A$5:$A$238,0))</f>
        <v>0.025</v>
      </c>
      <c r="I32" s="27" t="n">
        <f aca="false">INDEX('AC Estimate'!$N$5:$N$238,MATCH($A32,'AC Estimate'!$A$5:$A$238,0))</f>
        <v>0.35</v>
      </c>
      <c r="J32" s="7" t="str">
        <f aca="false">INDEX('AC Estimate'!$P$5:$P$238,MATCH($A32,'AC Estimate'!$A$5:$A$238,0))</f>
        <v>DMK+</v>
      </c>
      <c r="K32" s="7" t="str">
        <f aca="false">INDEX('AC Estimate'!$AK$5:$AK$238,MATCH($A32,'AC Estimate'!$A$5:$A$238,0))</f>
        <v>TVK</v>
      </c>
      <c r="L32" s="27" t="n">
        <f aca="false">INDEX('AC Estimate'!$AM$5:$AM$238,MATCH($A32,'AC Estimate'!$A$5:$A$238,0))</f>
        <v>0.341003978978577</v>
      </c>
      <c r="M32" s="7" t="str">
        <f aca="false">INDEX('AC Estimate'!$Q$5:$Q$238,MATCH($A32,'AC Estimate'!$A$5:$A$238,0))</f>
        <v>DMK</v>
      </c>
      <c r="N32" s="7" t="str">
        <f aca="false">INDEX('AC Estimate'!$R$5:$R$238,MATCH($A32,'AC Estimate'!$A$5:$A$238,0))</f>
        <v>DMK+</v>
      </c>
      <c r="O32" s="7" t="str">
        <f aca="false">INDEX('AC Estimate'!$AL$5:$AL$238,MATCH($A32,'AC Estimate'!$A$5:$A$238,0))</f>
        <v>No</v>
      </c>
    </row>
    <row r="33" customFormat="false" ht="15" hidden="false" customHeight="false" outlineLevel="0" collapsed="false">
      <c r="A33" s="17" t="n">
        <v>20</v>
      </c>
      <c r="B33" s="7" t="str">
        <f aca="false">INDEX('AC Estimate'!$B$5:$B$238,MATCH($A33,'AC Estimate'!$A$5:$A$238,0))</f>
        <v>Thousand Lights</v>
      </c>
      <c r="C33" s="7" t="str">
        <f aca="false">INDEX('AC Estimate'!$C$5:$C$238,MATCH($A33,'AC Estimate'!$A$5:$A$238,0))</f>
        <v>Chennai</v>
      </c>
      <c r="D33" s="7" t="n">
        <f aca="false">INDEX('AC Estimate'!$I$5:$I$238,MATCH($A33,'AC Estimate'!$A$5:$A$238,0))</f>
        <v>43</v>
      </c>
      <c r="E33" s="27" t="n">
        <f aca="false">INDEX('AC Estimate'!$J$5:$J$238,MATCH($A33,'AC Estimate'!$A$5:$A$238,0))</f>
        <v>0.162790697674419</v>
      </c>
      <c r="F33" s="27" t="n">
        <f aca="false">INDEX('AC Estimate'!$K$5:$K$238,MATCH($A33,'AC Estimate'!$A$5:$A$238,0))</f>
        <v>0.441860465116279</v>
      </c>
      <c r="G33" s="27" t="n">
        <f aca="false">INDEX('AC Estimate'!$L$5:$L$238,MATCH($A33,'AC Estimate'!$A$5:$A$238,0))</f>
        <v>0</v>
      </c>
      <c r="H33" s="27" t="n">
        <f aca="false">INDEX('AC Estimate'!$M$5:$M$238,MATCH($A33,'AC Estimate'!$A$5:$A$238,0))</f>
        <v>0.0232558139534884</v>
      </c>
      <c r="I33" s="27" t="n">
        <f aca="false">INDEX('AC Estimate'!$N$5:$N$238,MATCH($A33,'AC Estimate'!$A$5:$A$238,0))</f>
        <v>0.372093023255814</v>
      </c>
      <c r="J33" s="7" t="str">
        <f aca="false">INDEX('AC Estimate'!$P$5:$P$238,MATCH($A33,'AC Estimate'!$A$5:$A$238,0))</f>
        <v>DMK+</v>
      </c>
      <c r="K33" s="7" t="str">
        <f aca="false">INDEX('AC Estimate'!$AK$5:$AK$238,MATCH($A33,'AC Estimate'!$A$5:$A$238,0))</f>
        <v>TVK</v>
      </c>
      <c r="L33" s="27" t="n">
        <f aca="false">INDEX('AC Estimate'!$AM$5:$AM$238,MATCH($A33,'AC Estimate'!$A$5:$A$238,0))</f>
        <v>0.365063815521853</v>
      </c>
      <c r="M33" s="7" t="str">
        <f aca="false">INDEX('AC Estimate'!$Q$5:$Q$238,MATCH($A33,'AC Estimate'!$A$5:$A$238,0))</f>
        <v>TVK</v>
      </c>
      <c r="N33" s="7" t="str">
        <f aca="false">INDEX('AC Estimate'!$R$5:$R$238,MATCH($A33,'AC Estimate'!$A$5:$A$238,0))</f>
        <v>TVK</v>
      </c>
      <c r="O33" s="7" t="str">
        <f aca="false">INDEX('AC Estimate'!$AL$5:$AL$238,MATCH($A33,'AC Estimate'!$A$5:$A$238,0))</f>
        <v>Yes</v>
      </c>
    </row>
    <row r="34" customFormat="false" ht="15" hidden="false" customHeight="false" outlineLevel="0" collapsed="false">
      <c r="A34" s="17" t="n">
        <v>21</v>
      </c>
      <c r="B34" s="7" t="str">
        <f aca="false">INDEX('AC Estimate'!$B$5:$B$238,MATCH($A34,'AC Estimate'!$A$5:$A$238,0))</f>
        <v>Anna Nagar</v>
      </c>
      <c r="C34" s="7" t="str">
        <f aca="false">INDEX('AC Estimate'!$C$5:$C$238,MATCH($A34,'AC Estimate'!$A$5:$A$238,0))</f>
        <v>Chennai</v>
      </c>
      <c r="D34" s="7" t="n">
        <f aca="false">INDEX('AC Estimate'!$I$5:$I$238,MATCH($A34,'AC Estimate'!$A$5:$A$238,0))</f>
        <v>49</v>
      </c>
      <c r="E34" s="27" t="n">
        <f aca="false">INDEX('AC Estimate'!$J$5:$J$238,MATCH($A34,'AC Estimate'!$A$5:$A$238,0))</f>
        <v>0.285714285714286</v>
      </c>
      <c r="F34" s="27" t="n">
        <f aca="false">INDEX('AC Estimate'!$K$5:$K$238,MATCH($A34,'AC Estimate'!$A$5:$A$238,0))</f>
        <v>0.204081632653061</v>
      </c>
      <c r="G34" s="27" t="n">
        <f aca="false">INDEX('AC Estimate'!$L$5:$L$238,MATCH($A34,'AC Estimate'!$A$5:$A$238,0))</f>
        <v>0.0408163265306122</v>
      </c>
      <c r="H34" s="27" t="n">
        <f aca="false">INDEX('AC Estimate'!$M$5:$M$238,MATCH($A34,'AC Estimate'!$A$5:$A$238,0))</f>
        <v>0.0408163265306122</v>
      </c>
      <c r="I34" s="27" t="n">
        <f aca="false">INDEX('AC Estimate'!$N$5:$N$238,MATCH($A34,'AC Estimate'!$A$5:$A$238,0))</f>
        <v>0.428571428571429</v>
      </c>
      <c r="J34" s="7" t="str">
        <f aca="false">INDEX('AC Estimate'!$P$5:$P$238,MATCH($A34,'AC Estimate'!$A$5:$A$238,0))</f>
        <v>TVK</v>
      </c>
      <c r="K34" s="7" t="str">
        <f aca="false">INDEX('AC Estimate'!$AK$5:$AK$238,MATCH($A34,'AC Estimate'!$A$5:$A$238,0))</f>
        <v>TVK</v>
      </c>
      <c r="L34" s="27" t="n">
        <f aca="false">INDEX('AC Estimate'!$AM$5:$AM$238,MATCH($A34,'AC Estimate'!$A$5:$A$238,0))</f>
        <v>0.464692197352475</v>
      </c>
      <c r="M34" s="7" t="str">
        <f aca="false">INDEX('AC Estimate'!$Q$5:$Q$238,MATCH($A34,'AC Estimate'!$A$5:$A$238,0))</f>
        <v>TVK</v>
      </c>
      <c r="N34" s="7" t="str">
        <f aca="false">INDEX('AC Estimate'!$R$5:$R$238,MATCH($A34,'AC Estimate'!$A$5:$A$238,0))</f>
        <v>TVK</v>
      </c>
      <c r="O34" s="7" t="str">
        <f aca="false">INDEX('AC Estimate'!$AL$5:$AL$238,MATCH($A34,'AC Estimate'!$A$5:$A$238,0))</f>
        <v>Yes</v>
      </c>
    </row>
    <row r="35" customFormat="false" ht="15" hidden="false" customHeight="false" outlineLevel="0" collapsed="false">
      <c r="A35" s="17" t="n">
        <v>22</v>
      </c>
      <c r="B35" s="7" t="str">
        <f aca="false">INDEX('AC Estimate'!$B$5:$B$238,MATCH($A35,'AC Estimate'!$A$5:$A$238,0))</f>
        <v>Virugampakkam</v>
      </c>
      <c r="C35" s="7" t="str">
        <f aca="false">INDEX('AC Estimate'!$C$5:$C$238,MATCH($A35,'AC Estimate'!$A$5:$A$238,0))</f>
        <v>Chennai</v>
      </c>
      <c r="D35" s="7" t="n">
        <f aca="false">INDEX('AC Estimate'!$I$5:$I$238,MATCH($A35,'AC Estimate'!$A$5:$A$238,0))</f>
        <v>65</v>
      </c>
      <c r="E35" s="27" t="n">
        <f aca="false">INDEX('AC Estimate'!$J$5:$J$238,MATCH($A35,'AC Estimate'!$A$5:$A$238,0))</f>
        <v>0.323076923076923</v>
      </c>
      <c r="F35" s="27" t="n">
        <f aca="false">INDEX('AC Estimate'!$K$5:$K$238,MATCH($A35,'AC Estimate'!$A$5:$A$238,0))</f>
        <v>0.230769230769231</v>
      </c>
      <c r="G35" s="27" t="n">
        <f aca="false">INDEX('AC Estimate'!$L$5:$L$238,MATCH($A35,'AC Estimate'!$A$5:$A$238,0))</f>
        <v>0</v>
      </c>
      <c r="H35" s="27" t="n">
        <f aca="false">INDEX('AC Estimate'!$M$5:$M$238,MATCH($A35,'AC Estimate'!$A$5:$A$238,0))</f>
        <v>0.0307692307692308</v>
      </c>
      <c r="I35" s="27" t="n">
        <f aca="false">INDEX('AC Estimate'!$N$5:$N$238,MATCH($A35,'AC Estimate'!$A$5:$A$238,0))</f>
        <v>0.415384615384615</v>
      </c>
      <c r="J35" s="7" t="str">
        <f aca="false">INDEX('AC Estimate'!$P$5:$P$238,MATCH($A35,'AC Estimate'!$A$5:$A$238,0))</f>
        <v>TVK</v>
      </c>
      <c r="K35" s="7" t="str">
        <f aca="false">INDEX('AC Estimate'!$AK$5:$AK$238,MATCH($A35,'AC Estimate'!$A$5:$A$238,0))</f>
        <v>TVK</v>
      </c>
      <c r="L35" s="27" t="n">
        <f aca="false">INDEX('AC Estimate'!$AM$5:$AM$238,MATCH($A35,'AC Estimate'!$A$5:$A$238,0))</f>
        <v>0.578733878373921</v>
      </c>
      <c r="M35" s="7" t="str">
        <f aca="false">INDEX('AC Estimate'!$Q$5:$Q$238,MATCH($A35,'AC Estimate'!$A$5:$A$238,0))</f>
        <v>TVK</v>
      </c>
      <c r="N35" s="7" t="str">
        <f aca="false">INDEX('AC Estimate'!$R$5:$R$238,MATCH($A35,'AC Estimate'!$A$5:$A$238,0))</f>
        <v>TVK</v>
      </c>
      <c r="O35" s="7" t="str">
        <f aca="false">INDEX('AC Estimate'!$AL$5:$AL$238,MATCH($A35,'AC Estimate'!$A$5:$A$238,0))</f>
        <v>Yes</v>
      </c>
    </row>
    <row r="36" customFormat="false" ht="15" hidden="false" customHeight="false" outlineLevel="0" collapsed="false">
      <c r="A36" s="17" t="n">
        <v>23</v>
      </c>
      <c r="B36" s="7" t="str">
        <f aca="false">INDEX('AC Estimate'!$B$5:$B$238,MATCH($A36,'AC Estimate'!$A$5:$A$238,0))</f>
        <v>Saidapet</v>
      </c>
      <c r="C36" s="7" t="str">
        <f aca="false">INDEX('AC Estimate'!$C$5:$C$238,MATCH($A36,'AC Estimate'!$A$5:$A$238,0))</f>
        <v>Chennai</v>
      </c>
      <c r="D36" s="7" t="n">
        <f aca="false">INDEX('AC Estimate'!$I$5:$I$238,MATCH($A36,'AC Estimate'!$A$5:$A$238,0))</f>
        <v>39</v>
      </c>
      <c r="E36" s="27" t="n">
        <f aca="false">INDEX('AC Estimate'!$J$5:$J$238,MATCH($A36,'AC Estimate'!$A$5:$A$238,0))</f>
        <v>0.256410256410256</v>
      </c>
      <c r="F36" s="27" t="n">
        <f aca="false">INDEX('AC Estimate'!$K$5:$K$238,MATCH($A36,'AC Estimate'!$A$5:$A$238,0))</f>
        <v>0.282051282051282</v>
      </c>
      <c r="G36" s="27" t="n">
        <f aca="false">INDEX('AC Estimate'!$L$5:$L$238,MATCH($A36,'AC Estimate'!$A$5:$A$238,0))</f>
        <v>0</v>
      </c>
      <c r="H36" s="27" t="n">
        <f aca="false">INDEX('AC Estimate'!$M$5:$M$238,MATCH($A36,'AC Estimate'!$A$5:$A$238,0))</f>
        <v>0.0512820512820513</v>
      </c>
      <c r="I36" s="27" t="n">
        <f aca="false">INDEX('AC Estimate'!$N$5:$N$238,MATCH($A36,'AC Estimate'!$A$5:$A$238,0))</f>
        <v>0.41025641025641</v>
      </c>
      <c r="J36" s="7" t="str">
        <f aca="false">INDEX('AC Estimate'!$P$5:$P$238,MATCH($A36,'AC Estimate'!$A$5:$A$238,0))</f>
        <v>TVK</v>
      </c>
      <c r="K36" s="7" t="str">
        <f aca="false">INDEX('AC Estimate'!$AK$5:$AK$238,MATCH($A36,'AC Estimate'!$A$5:$A$238,0))</f>
        <v>TVK</v>
      </c>
      <c r="L36" s="27" t="n">
        <f aca="false">INDEX('AC Estimate'!$AM$5:$AM$238,MATCH($A36,'AC Estimate'!$A$5:$A$238,0))</f>
        <v>0.357577058466389</v>
      </c>
      <c r="M36" s="7" t="str">
        <f aca="false">INDEX('AC Estimate'!$Q$5:$Q$238,MATCH($A36,'AC Estimate'!$A$5:$A$238,0))</f>
        <v>TVK</v>
      </c>
      <c r="N36" s="7" t="str">
        <f aca="false">INDEX('AC Estimate'!$R$5:$R$238,MATCH($A36,'AC Estimate'!$A$5:$A$238,0))</f>
        <v>TVK</v>
      </c>
      <c r="O36" s="7" t="str">
        <f aca="false">INDEX('AC Estimate'!$AL$5:$AL$238,MATCH($A36,'AC Estimate'!$A$5:$A$238,0))</f>
        <v>Yes</v>
      </c>
    </row>
    <row r="37" customFormat="false" ht="15" hidden="false" customHeight="false" outlineLevel="0" collapsed="false">
      <c r="A37" s="17" t="n">
        <v>24</v>
      </c>
      <c r="B37" s="7" t="str">
        <f aca="false">INDEX('AC Estimate'!$B$5:$B$238,MATCH($A37,'AC Estimate'!$A$5:$A$238,0))</f>
        <v>Thiyagarayanagar</v>
      </c>
      <c r="C37" s="7" t="str">
        <f aca="false">INDEX('AC Estimate'!$C$5:$C$238,MATCH($A37,'AC Estimate'!$A$5:$A$238,0))</f>
        <v>Chennai</v>
      </c>
      <c r="D37" s="7" t="n">
        <f aca="false">INDEX('AC Estimate'!$I$5:$I$238,MATCH($A37,'AC Estimate'!$A$5:$A$238,0))</f>
        <v>41</v>
      </c>
      <c r="E37" s="27" t="n">
        <f aca="false">INDEX('AC Estimate'!$J$5:$J$238,MATCH($A37,'AC Estimate'!$A$5:$A$238,0))</f>
        <v>0.609756097560976</v>
      </c>
      <c r="F37" s="27" t="n">
        <f aca="false">INDEX('AC Estimate'!$K$5:$K$238,MATCH($A37,'AC Estimate'!$A$5:$A$238,0))</f>
        <v>0.146341463414634</v>
      </c>
      <c r="G37" s="27" t="n">
        <f aca="false">INDEX('AC Estimate'!$L$5:$L$238,MATCH($A37,'AC Estimate'!$A$5:$A$238,0))</f>
        <v>0.024390243902439</v>
      </c>
      <c r="H37" s="27" t="n">
        <f aca="false">INDEX('AC Estimate'!$M$5:$M$238,MATCH($A37,'AC Estimate'!$A$5:$A$238,0))</f>
        <v>0.0487804878048781</v>
      </c>
      <c r="I37" s="27" t="n">
        <f aca="false">INDEX('AC Estimate'!$N$5:$N$238,MATCH($A37,'AC Estimate'!$A$5:$A$238,0))</f>
        <v>0.170731707317073</v>
      </c>
      <c r="J37" s="7" t="str">
        <f aca="false">INDEX('AC Estimate'!$P$5:$P$238,MATCH($A37,'AC Estimate'!$A$5:$A$238,0))</f>
        <v>AIADMK+</v>
      </c>
      <c r="K37" s="7" t="str">
        <f aca="false">INDEX('AC Estimate'!$AK$5:$AK$238,MATCH($A37,'AC Estimate'!$A$5:$A$238,0))</f>
        <v>TVK</v>
      </c>
      <c r="L37" s="27" t="n">
        <f aca="false">INDEX('AC Estimate'!$AM$5:$AM$238,MATCH($A37,'AC Estimate'!$A$5:$A$238,0))</f>
        <v>0.329696513053009</v>
      </c>
      <c r="M37" s="7" t="str">
        <f aca="false">INDEX('AC Estimate'!$Q$5:$Q$238,MATCH($A37,'AC Estimate'!$A$5:$A$238,0))</f>
        <v>TVK</v>
      </c>
      <c r="N37" s="7" t="str">
        <f aca="false">INDEX('AC Estimate'!$R$5:$R$238,MATCH($A37,'AC Estimate'!$A$5:$A$238,0))</f>
        <v>TVK</v>
      </c>
      <c r="O37" s="7" t="str">
        <f aca="false">INDEX('AC Estimate'!$AL$5:$AL$238,MATCH($A37,'AC Estimate'!$A$5:$A$238,0))</f>
        <v>Yes</v>
      </c>
    </row>
    <row r="38" customFormat="false" ht="15" hidden="false" customHeight="false" outlineLevel="0" collapsed="false">
      <c r="A38" s="17" t="n">
        <v>25</v>
      </c>
      <c r="B38" s="7" t="str">
        <f aca="false">INDEX('AC Estimate'!$B$5:$B$238,MATCH($A38,'AC Estimate'!$A$5:$A$238,0))</f>
        <v>Mylapore</v>
      </c>
      <c r="C38" s="7" t="str">
        <f aca="false">INDEX('AC Estimate'!$C$5:$C$238,MATCH($A38,'AC Estimate'!$A$5:$A$238,0))</f>
        <v>Chennai</v>
      </c>
      <c r="D38" s="7" t="n">
        <f aca="false">INDEX('AC Estimate'!$I$5:$I$238,MATCH($A38,'AC Estimate'!$A$5:$A$238,0))</f>
        <v>45</v>
      </c>
      <c r="E38" s="27" t="n">
        <f aca="false">INDEX('AC Estimate'!$J$5:$J$238,MATCH($A38,'AC Estimate'!$A$5:$A$238,0))</f>
        <v>0.311111111111111</v>
      </c>
      <c r="F38" s="27" t="n">
        <f aca="false">INDEX('AC Estimate'!$K$5:$K$238,MATCH($A38,'AC Estimate'!$A$5:$A$238,0))</f>
        <v>0.177777777777778</v>
      </c>
      <c r="G38" s="27" t="n">
        <f aca="false">INDEX('AC Estimate'!$L$5:$L$238,MATCH($A38,'AC Estimate'!$A$5:$A$238,0))</f>
        <v>0</v>
      </c>
      <c r="H38" s="27" t="n">
        <f aca="false">INDEX('AC Estimate'!$M$5:$M$238,MATCH($A38,'AC Estimate'!$A$5:$A$238,0))</f>
        <v>0.0444444444444444</v>
      </c>
      <c r="I38" s="27" t="n">
        <f aca="false">INDEX('AC Estimate'!$N$5:$N$238,MATCH($A38,'AC Estimate'!$A$5:$A$238,0))</f>
        <v>0.466666666666667</v>
      </c>
      <c r="J38" s="7" t="str">
        <f aca="false">INDEX('AC Estimate'!$P$5:$P$238,MATCH($A38,'AC Estimate'!$A$5:$A$238,0))</f>
        <v>TVK</v>
      </c>
      <c r="K38" s="7" t="str">
        <f aca="false">INDEX('AC Estimate'!$AK$5:$AK$238,MATCH($A38,'AC Estimate'!$A$5:$A$238,0))</f>
        <v>TVK</v>
      </c>
      <c r="L38" s="27" t="n">
        <f aca="false">INDEX('AC Estimate'!$AM$5:$AM$238,MATCH($A38,'AC Estimate'!$A$5:$A$238,0))</f>
        <v>0.438254837210973</v>
      </c>
      <c r="M38" s="7" t="str">
        <f aca="false">INDEX('AC Estimate'!$Q$5:$Q$238,MATCH($A38,'AC Estimate'!$A$5:$A$238,0))</f>
        <v>TVK</v>
      </c>
      <c r="N38" s="7" t="str">
        <f aca="false">INDEX('AC Estimate'!$R$5:$R$238,MATCH($A38,'AC Estimate'!$A$5:$A$238,0))</f>
        <v>TVK</v>
      </c>
      <c r="O38" s="7" t="str">
        <f aca="false">INDEX('AC Estimate'!$AL$5:$AL$238,MATCH($A38,'AC Estimate'!$A$5:$A$238,0))</f>
        <v>Yes</v>
      </c>
    </row>
    <row r="39" customFormat="false" ht="15" hidden="false" customHeight="false" outlineLevel="0" collapsed="false">
      <c r="A39" s="17" t="n">
        <v>26</v>
      </c>
      <c r="B39" s="7" t="str">
        <f aca="false">INDEX('AC Estimate'!$B$5:$B$238,MATCH($A39,'AC Estimate'!$A$5:$A$238,0))</f>
        <v>Velachery</v>
      </c>
      <c r="C39" s="7" t="str">
        <f aca="false">INDEX('AC Estimate'!$C$5:$C$238,MATCH($A39,'AC Estimate'!$A$5:$A$238,0))</f>
        <v>Chennai</v>
      </c>
      <c r="D39" s="7" t="n">
        <f aca="false">INDEX('AC Estimate'!$I$5:$I$238,MATCH($A39,'AC Estimate'!$A$5:$A$238,0))</f>
        <v>60</v>
      </c>
      <c r="E39" s="27" t="n">
        <f aca="false">INDEX('AC Estimate'!$J$5:$J$238,MATCH($A39,'AC Estimate'!$A$5:$A$238,0))</f>
        <v>0.366666666666667</v>
      </c>
      <c r="F39" s="27" t="n">
        <f aca="false">INDEX('AC Estimate'!$K$5:$K$238,MATCH($A39,'AC Estimate'!$A$5:$A$238,0))</f>
        <v>0.233333333333333</v>
      </c>
      <c r="G39" s="27" t="n">
        <f aca="false">INDEX('AC Estimate'!$L$5:$L$238,MATCH($A39,'AC Estimate'!$A$5:$A$238,0))</f>
        <v>0</v>
      </c>
      <c r="H39" s="27" t="n">
        <f aca="false">INDEX('AC Estimate'!$M$5:$M$238,MATCH($A39,'AC Estimate'!$A$5:$A$238,0))</f>
        <v>0.05</v>
      </c>
      <c r="I39" s="27" t="n">
        <f aca="false">INDEX('AC Estimate'!$N$5:$N$238,MATCH($A39,'AC Estimate'!$A$5:$A$238,0))</f>
        <v>0.35</v>
      </c>
      <c r="J39" s="7" t="str">
        <f aca="false">INDEX('AC Estimate'!$P$5:$P$238,MATCH($A39,'AC Estimate'!$A$5:$A$238,0))</f>
        <v>AIADMK+</v>
      </c>
      <c r="K39" s="7" t="str">
        <f aca="false">INDEX('AC Estimate'!$AK$5:$AK$238,MATCH($A39,'AC Estimate'!$A$5:$A$238,0))</f>
        <v>TVK</v>
      </c>
      <c r="L39" s="27" t="n">
        <f aca="false">INDEX('AC Estimate'!$AM$5:$AM$238,MATCH($A39,'AC Estimate'!$A$5:$A$238,0))</f>
        <v>0.529199410020067</v>
      </c>
      <c r="M39" s="7" t="str">
        <f aca="false">INDEX('AC Estimate'!$Q$5:$Q$238,MATCH($A39,'AC Estimate'!$A$5:$A$238,0))</f>
        <v>TVK</v>
      </c>
      <c r="N39" s="7" t="str">
        <f aca="false">INDEX('AC Estimate'!$R$5:$R$238,MATCH($A39,'AC Estimate'!$A$5:$A$238,0))</f>
        <v>TVK</v>
      </c>
      <c r="O39" s="7" t="str">
        <f aca="false">INDEX('AC Estimate'!$AL$5:$AL$238,MATCH($A39,'AC Estimate'!$A$5:$A$238,0))</f>
        <v>Yes</v>
      </c>
    </row>
    <row r="40" customFormat="false" ht="15" hidden="false" customHeight="false" outlineLevel="0" collapsed="false">
      <c r="A40" s="17" t="n">
        <v>27</v>
      </c>
      <c r="B40" s="7" t="str">
        <f aca="false">INDEX('AC Estimate'!$B$5:$B$238,MATCH($A40,'AC Estimate'!$A$5:$A$238,0))</f>
        <v>Sholinganallur</v>
      </c>
      <c r="C40" s="7" t="str">
        <f aca="false">INDEX('AC Estimate'!$C$5:$C$238,MATCH($A40,'AC Estimate'!$A$5:$A$238,0))</f>
        <v>Chennai</v>
      </c>
      <c r="D40" s="7" t="n">
        <f aca="false">INDEX('AC Estimate'!$I$5:$I$238,MATCH($A40,'AC Estimate'!$A$5:$A$238,0))</f>
        <v>108</v>
      </c>
      <c r="E40" s="27" t="n">
        <f aca="false">INDEX('AC Estimate'!$J$5:$J$238,MATCH($A40,'AC Estimate'!$A$5:$A$238,0))</f>
        <v>0.314814814814815</v>
      </c>
      <c r="F40" s="27" t="n">
        <f aca="false">INDEX('AC Estimate'!$K$5:$K$238,MATCH($A40,'AC Estimate'!$A$5:$A$238,0))</f>
        <v>0.203703703703704</v>
      </c>
      <c r="G40" s="27" t="n">
        <f aca="false">INDEX('AC Estimate'!$L$5:$L$238,MATCH($A40,'AC Estimate'!$A$5:$A$238,0))</f>
        <v>0.00925925925925926</v>
      </c>
      <c r="H40" s="27" t="n">
        <f aca="false">INDEX('AC Estimate'!$M$5:$M$238,MATCH($A40,'AC Estimate'!$A$5:$A$238,0))</f>
        <v>0.0555555555555556</v>
      </c>
      <c r="I40" s="27" t="n">
        <f aca="false">INDEX('AC Estimate'!$N$5:$N$238,MATCH($A40,'AC Estimate'!$A$5:$A$238,0))</f>
        <v>0.416666666666667</v>
      </c>
      <c r="J40" s="7" t="str">
        <f aca="false">INDEX('AC Estimate'!$P$5:$P$238,MATCH($A40,'AC Estimate'!$A$5:$A$238,0))</f>
        <v>TVK</v>
      </c>
      <c r="K40" s="7" t="str">
        <f aca="false">INDEX('AC Estimate'!$AK$5:$AK$238,MATCH($A40,'AC Estimate'!$A$5:$A$238,0))</f>
        <v>TVK</v>
      </c>
      <c r="L40" s="27" t="n">
        <f aca="false">INDEX('AC Estimate'!$AM$5:$AM$238,MATCH($A40,'AC Estimate'!$A$5:$A$238,0))</f>
        <v>0.767103526867909</v>
      </c>
      <c r="M40" s="7" t="str">
        <f aca="false">INDEX('AC Estimate'!$Q$5:$Q$238,MATCH($A40,'AC Estimate'!$A$5:$A$238,0))</f>
        <v>TVK</v>
      </c>
      <c r="N40" s="7" t="str">
        <f aca="false">INDEX('AC Estimate'!$R$5:$R$238,MATCH($A40,'AC Estimate'!$A$5:$A$238,0))</f>
        <v>TVK</v>
      </c>
      <c r="O40" s="7" t="str">
        <f aca="false">INDEX('AC Estimate'!$AL$5:$AL$238,MATCH($A40,'AC Estimate'!$A$5:$A$238,0))</f>
        <v>Yes</v>
      </c>
    </row>
    <row r="41" customFormat="false" ht="15" hidden="false" customHeight="false" outlineLevel="0" collapsed="false">
      <c r="A41" s="17" t="n">
        <v>28</v>
      </c>
      <c r="B41" s="7" t="str">
        <f aca="false">INDEX('AC Estimate'!$B$5:$B$238,MATCH($A41,'AC Estimate'!$A$5:$A$238,0))</f>
        <v>Alandur</v>
      </c>
      <c r="C41" s="7" t="str">
        <f aca="false">INDEX('AC Estimate'!$C$5:$C$238,MATCH($A41,'AC Estimate'!$A$5:$A$238,0))</f>
        <v>Chennai</v>
      </c>
      <c r="D41" s="7" t="n">
        <f aca="false">INDEX('AC Estimate'!$I$5:$I$238,MATCH($A41,'AC Estimate'!$A$5:$A$238,0))</f>
        <v>56</v>
      </c>
      <c r="E41" s="27" t="n">
        <f aca="false">INDEX('AC Estimate'!$J$5:$J$238,MATCH($A41,'AC Estimate'!$A$5:$A$238,0))</f>
        <v>0.410714285714286</v>
      </c>
      <c r="F41" s="27" t="n">
        <f aca="false">INDEX('AC Estimate'!$K$5:$K$238,MATCH($A41,'AC Estimate'!$A$5:$A$238,0))</f>
        <v>0.25</v>
      </c>
      <c r="G41" s="27" t="n">
        <f aca="false">INDEX('AC Estimate'!$L$5:$L$238,MATCH($A41,'AC Estimate'!$A$5:$A$238,0))</f>
        <v>0</v>
      </c>
      <c r="H41" s="27" t="n">
        <f aca="false">INDEX('AC Estimate'!$M$5:$M$238,MATCH($A41,'AC Estimate'!$A$5:$A$238,0))</f>
        <v>0.0535714285714286</v>
      </c>
      <c r="I41" s="27" t="n">
        <f aca="false">INDEX('AC Estimate'!$N$5:$N$238,MATCH($A41,'AC Estimate'!$A$5:$A$238,0))</f>
        <v>0.285714285714286</v>
      </c>
      <c r="J41" s="7" t="str">
        <f aca="false">INDEX('AC Estimate'!$P$5:$P$238,MATCH($A41,'AC Estimate'!$A$5:$A$238,0))</f>
        <v>AIADMK+</v>
      </c>
      <c r="K41" s="7" t="str">
        <f aca="false">INDEX('AC Estimate'!$AK$5:$AK$238,MATCH($A41,'AC Estimate'!$A$5:$A$238,0))</f>
        <v>TVK</v>
      </c>
      <c r="L41" s="27" t="n">
        <f aca="false">INDEX('AC Estimate'!$AM$5:$AM$238,MATCH($A41,'AC Estimate'!$A$5:$A$238,0))</f>
        <v>0.483330333208442</v>
      </c>
      <c r="M41" s="7" t="str">
        <f aca="false">INDEX('AC Estimate'!$Q$5:$Q$238,MATCH($A41,'AC Estimate'!$A$5:$A$238,0))</f>
        <v>TVK</v>
      </c>
      <c r="N41" s="7" t="str">
        <f aca="false">INDEX('AC Estimate'!$R$5:$R$238,MATCH($A41,'AC Estimate'!$A$5:$A$238,0))</f>
        <v>TVK</v>
      </c>
      <c r="O41" s="7" t="str">
        <f aca="false">INDEX('AC Estimate'!$AL$5:$AL$238,MATCH($A41,'AC Estimate'!$A$5:$A$238,0))</f>
        <v>Yes</v>
      </c>
    </row>
    <row r="42" customFormat="false" ht="15" hidden="false" customHeight="false" outlineLevel="0" collapsed="false">
      <c r="A42" s="33"/>
      <c r="B42" s="34" t="s">
        <v>97</v>
      </c>
      <c r="C42" s="33"/>
      <c r="D42" s="34" t="n">
        <f aca="false">SUM(D20:D41)</f>
        <v>1286</v>
      </c>
      <c r="E42" s="33"/>
      <c r="F42" s="33"/>
      <c r="G42" s="33"/>
      <c r="H42" s="33"/>
      <c r="I42" s="33"/>
      <c r="J42" s="34" t="s">
        <v>92</v>
      </c>
      <c r="K42" s="34" t="str">
        <f aca="false">COUNTIF(K20:K41,"TVK")&amp;" / "&amp;COUNTIF(K20:K41,"AIADMK+")&amp;" / "&amp;COUNTIF(K20:K41,"DMK+")</f>
        <v>20 / 0 / 2</v>
      </c>
      <c r="L42" s="33"/>
      <c r="M42" s="34" t="s">
        <v>93</v>
      </c>
      <c r="N42" s="34" t="str">
        <f aca="false">COUNTIF(N20:N41,"TVK")&amp;" / "&amp;COUNTIF(N20:N41,"AIADMK+")&amp;" / "&amp;COUNTIF(N20:N41,"DMK+")</f>
        <v>20 / 0 / 2</v>
      </c>
      <c r="O42" s="34" t="str">
        <f aca="false">IF(AND(ABS(COUNTIF(K20:K41,"TVK")-COUNTIF(N20:N41,"TVK"))&lt;=Calibration!$B$3,ABS(COUNTIF(K20:K41,"AIADMK+")-COUNTIF(N20:N41,"AIADMK+"))&lt;=Calibration!$B$3,ABS(COUNTIF(K20:K41,"DMK+")-COUNTIF(N20:N41,"DMK+"))&lt;=Calibration!$B$3),"Within","Off")</f>
        <v>Within</v>
      </c>
    </row>
    <row r="44" customFormat="false" ht="15" hidden="false" customHeight="false" outlineLevel="0" collapsed="false">
      <c r="A44" s="31" t="s">
        <v>98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customFormat="false" ht="15" hidden="false" customHeight="false" outlineLevel="0" collapsed="false">
      <c r="A45" s="17" t="n">
        <v>111</v>
      </c>
      <c r="B45" s="7" t="str">
        <f aca="false">INDEX('AC Estimate'!$B$5:$B$238,MATCH($A45,'AC Estimate'!$A$5:$A$238,0))</f>
        <v>Mettupalayam</v>
      </c>
      <c r="C45" s="7" t="str">
        <f aca="false">INDEX('AC Estimate'!$C$5:$C$238,MATCH($A45,'AC Estimate'!$A$5:$A$238,0))</f>
        <v>Coimbatore</v>
      </c>
      <c r="D45" s="7" t="n">
        <f aca="false">INDEX('AC Estimate'!$I$5:$I$238,MATCH($A45,'AC Estimate'!$A$5:$A$238,0))</f>
        <v>50</v>
      </c>
      <c r="E45" s="27" t="n">
        <f aca="false">INDEX('AC Estimate'!$J$5:$J$238,MATCH($A45,'AC Estimate'!$A$5:$A$238,0))</f>
        <v>0.24</v>
      </c>
      <c r="F45" s="27" t="n">
        <f aca="false">INDEX('AC Estimate'!$K$5:$K$238,MATCH($A45,'AC Estimate'!$A$5:$A$238,0))</f>
        <v>0.32</v>
      </c>
      <c r="G45" s="27" t="n">
        <f aca="false">INDEX('AC Estimate'!$L$5:$L$238,MATCH($A45,'AC Estimate'!$A$5:$A$238,0))</f>
        <v>0</v>
      </c>
      <c r="H45" s="27" t="n">
        <f aca="false">INDEX('AC Estimate'!$M$5:$M$238,MATCH($A45,'AC Estimate'!$A$5:$A$238,0))</f>
        <v>0.12</v>
      </c>
      <c r="I45" s="27" t="n">
        <f aca="false">INDEX('AC Estimate'!$N$5:$N$238,MATCH($A45,'AC Estimate'!$A$5:$A$238,0))</f>
        <v>0.32</v>
      </c>
      <c r="J45" s="7" t="str">
        <f aca="false">INDEX('AC Estimate'!$P$5:$P$238,MATCH($A45,'AC Estimate'!$A$5:$A$238,0))</f>
        <v>DMK+</v>
      </c>
      <c r="K45" s="7" t="str">
        <f aca="false">INDEX('AC Estimate'!$AK$5:$AK$238,MATCH($A45,'AC Estimate'!$A$5:$A$238,0))</f>
        <v>DMK+</v>
      </c>
      <c r="L45" s="27" t="n">
        <f aca="false">INDEX('AC Estimate'!$AM$5:$AM$238,MATCH($A45,'AC Estimate'!$A$5:$A$238,0))</f>
        <v>0.320061117447583</v>
      </c>
      <c r="M45" s="7" t="str">
        <f aca="false">INDEX('AC Estimate'!$Q$5:$Q$238,MATCH($A45,'AC Estimate'!$A$5:$A$238,0))</f>
        <v>TVK</v>
      </c>
      <c r="N45" s="7" t="str">
        <f aca="false">INDEX('AC Estimate'!$R$5:$R$238,MATCH($A45,'AC Estimate'!$A$5:$A$238,0))</f>
        <v>TVK</v>
      </c>
      <c r="O45" s="7" t="str">
        <f aca="false">INDEX('AC Estimate'!$AL$5:$AL$238,MATCH($A45,'AC Estimate'!$A$5:$A$238,0))</f>
        <v>No</v>
      </c>
    </row>
    <row r="46" customFormat="false" ht="15" hidden="false" customHeight="false" outlineLevel="0" collapsed="false">
      <c r="A46" s="17" t="n">
        <v>116</v>
      </c>
      <c r="B46" s="7" t="str">
        <f aca="false">INDEX('AC Estimate'!$B$5:$B$238,MATCH($A46,'AC Estimate'!$A$5:$A$238,0))</f>
        <v>Sulur</v>
      </c>
      <c r="C46" s="7" t="str">
        <f aca="false">INDEX('AC Estimate'!$C$5:$C$238,MATCH($A46,'AC Estimate'!$A$5:$A$238,0))</f>
        <v>Coimbatore</v>
      </c>
      <c r="D46" s="7" t="n">
        <f aca="false">INDEX('AC Estimate'!$I$5:$I$238,MATCH($A46,'AC Estimate'!$A$5:$A$238,0))</f>
        <v>59</v>
      </c>
      <c r="E46" s="27" t="n">
        <f aca="false">INDEX('AC Estimate'!$J$5:$J$238,MATCH($A46,'AC Estimate'!$A$5:$A$238,0))</f>
        <v>0.271186440677966</v>
      </c>
      <c r="F46" s="27" t="n">
        <f aca="false">INDEX('AC Estimate'!$K$5:$K$238,MATCH($A46,'AC Estimate'!$A$5:$A$238,0))</f>
        <v>0.288135593220339</v>
      </c>
      <c r="G46" s="27" t="n">
        <f aca="false">INDEX('AC Estimate'!$L$5:$L$238,MATCH($A46,'AC Estimate'!$A$5:$A$238,0))</f>
        <v>0.0169491525423729</v>
      </c>
      <c r="H46" s="27" t="n">
        <f aca="false">INDEX('AC Estimate'!$M$5:$M$238,MATCH($A46,'AC Estimate'!$A$5:$A$238,0))</f>
        <v>0.0508474576271187</v>
      </c>
      <c r="I46" s="27" t="n">
        <f aca="false">INDEX('AC Estimate'!$N$5:$N$238,MATCH($A46,'AC Estimate'!$A$5:$A$238,0))</f>
        <v>0.372881355932203</v>
      </c>
      <c r="J46" s="7" t="str">
        <f aca="false">INDEX('AC Estimate'!$P$5:$P$238,MATCH($A46,'AC Estimate'!$A$5:$A$238,0))</f>
        <v>TVK</v>
      </c>
      <c r="K46" s="7" t="str">
        <f aca="false">INDEX('AC Estimate'!$AK$5:$AK$238,MATCH($A46,'AC Estimate'!$A$5:$A$238,0))</f>
        <v>TVK</v>
      </c>
      <c r="L46" s="27" t="n">
        <f aca="false">INDEX('AC Estimate'!$AM$5:$AM$238,MATCH($A46,'AC Estimate'!$A$5:$A$238,0))</f>
        <v>0.513683753141855</v>
      </c>
      <c r="M46" s="7" t="str">
        <f aca="false">INDEX('AC Estimate'!$Q$5:$Q$238,MATCH($A46,'AC Estimate'!$A$5:$A$238,0))</f>
        <v>TVK</v>
      </c>
      <c r="N46" s="7" t="str">
        <f aca="false">INDEX('AC Estimate'!$R$5:$R$238,MATCH($A46,'AC Estimate'!$A$5:$A$238,0))</f>
        <v>TVK</v>
      </c>
      <c r="O46" s="7" t="str">
        <f aca="false">INDEX('AC Estimate'!$AL$5:$AL$238,MATCH($A46,'AC Estimate'!$A$5:$A$238,0))</f>
        <v>Yes</v>
      </c>
    </row>
    <row r="47" customFormat="false" ht="15" hidden="false" customHeight="false" outlineLevel="0" collapsed="false">
      <c r="A47" s="17" t="n">
        <v>117</v>
      </c>
      <c r="B47" s="7" t="str">
        <f aca="false">INDEX('AC Estimate'!$B$5:$B$238,MATCH($A47,'AC Estimate'!$A$5:$A$238,0))</f>
        <v>Kavundampalayam</v>
      </c>
      <c r="C47" s="7" t="str">
        <f aca="false">INDEX('AC Estimate'!$C$5:$C$238,MATCH($A47,'AC Estimate'!$A$5:$A$238,0))</f>
        <v>Coimbatore</v>
      </c>
      <c r="D47" s="7" t="n">
        <f aca="false">INDEX('AC Estimate'!$I$5:$I$238,MATCH($A47,'AC Estimate'!$A$5:$A$238,0))</f>
        <v>83</v>
      </c>
      <c r="E47" s="27" t="n">
        <f aca="false">INDEX('AC Estimate'!$J$5:$J$238,MATCH($A47,'AC Estimate'!$A$5:$A$238,0))</f>
        <v>0.301204819277108</v>
      </c>
      <c r="F47" s="27" t="n">
        <f aca="false">INDEX('AC Estimate'!$K$5:$K$238,MATCH($A47,'AC Estimate'!$A$5:$A$238,0))</f>
        <v>0.240963855421687</v>
      </c>
      <c r="G47" s="27" t="n">
        <f aca="false">INDEX('AC Estimate'!$L$5:$L$238,MATCH($A47,'AC Estimate'!$A$5:$A$238,0))</f>
        <v>0</v>
      </c>
      <c r="H47" s="27" t="n">
        <f aca="false">INDEX('AC Estimate'!$M$5:$M$238,MATCH($A47,'AC Estimate'!$A$5:$A$238,0))</f>
        <v>0.0481927710843374</v>
      </c>
      <c r="I47" s="27" t="n">
        <f aca="false">INDEX('AC Estimate'!$N$5:$N$238,MATCH($A47,'AC Estimate'!$A$5:$A$238,0))</f>
        <v>0.409638554216867</v>
      </c>
      <c r="J47" s="7" t="str">
        <f aca="false">INDEX('AC Estimate'!$P$5:$P$238,MATCH($A47,'AC Estimate'!$A$5:$A$238,0))</f>
        <v>TVK</v>
      </c>
      <c r="K47" s="7" t="str">
        <f aca="false">INDEX('AC Estimate'!$AK$5:$AK$238,MATCH($A47,'AC Estimate'!$A$5:$A$238,0))</f>
        <v>TVK</v>
      </c>
      <c r="L47" s="27" t="n">
        <f aca="false">INDEX('AC Estimate'!$AM$5:$AM$238,MATCH($A47,'AC Estimate'!$A$5:$A$238,0))</f>
        <v>0.66605249903744</v>
      </c>
      <c r="M47" s="7" t="str">
        <f aca="false">INDEX('AC Estimate'!$Q$5:$Q$238,MATCH($A47,'AC Estimate'!$A$5:$A$238,0))</f>
        <v>TVK</v>
      </c>
      <c r="N47" s="7" t="str">
        <f aca="false">INDEX('AC Estimate'!$R$5:$R$238,MATCH($A47,'AC Estimate'!$A$5:$A$238,0))</f>
        <v>TVK</v>
      </c>
      <c r="O47" s="7" t="str">
        <f aca="false">INDEX('AC Estimate'!$AL$5:$AL$238,MATCH($A47,'AC Estimate'!$A$5:$A$238,0))</f>
        <v>Yes</v>
      </c>
    </row>
    <row r="48" customFormat="false" ht="15" hidden="false" customHeight="false" outlineLevel="0" collapsed="false">
      <c r="A48" s="17" t="n">
        <v>118</v>
      </c>
      <c r="B48" s="7" t="str">
        <f aca="false">INDEX('AC Estimate'!$B$5:$B$238,MATCH($A48,'AC Estimate'!$A$5:$A$238,0))</f>
        <v>Coimbatore (North)</v>
      </c>
      <c r="C48" s="7" t="str">
        <f aca="false">INDEX('AC Estimate'!$C$5:$C$238,MATCH($A48,'AC Estimate'!$A$5:$A$238,0))</f>
        <v>Coimbatore</v>
      </c>
      <c r="D48" s="7" t="n">
        <f aca="false">INDEX('AC Estimate'!$I$5:$I$238,MATCH($A48,'AC Estimate'!$A$5:$A$238,0))</f>
        <v>89</v>
      </c>
      <c r="E48" s="27" t="n">
        <f aca="false">INDEX('AC Estimate'!$J$5:$J$238,MATCH($A48,'AC Estimate'!$A$5:$A$238,0))</f>
        <v>0.280898876404494</v>
      </c>
      <c r="F48" s="27" t="n">
        <f aca="false">INDEX('AC Estimate'!$K$5:$K$238,MATCH($A48,'AC Estimate'!$A$5:$A$238,0))</f>
        <v>0.179775280898876</v>
      </c>
      <c r="G48" s="27" t="n">
        <f aca="false">INDEX('AC Estimate'!$L$5:$L$238,MATCH($A48,'AC Estimate'!$A$5:$A$238,0))</f>
        <v>0.0112359550561798</v>
      </c>
      <c r="H48" s="27" t="n">
        <f aca="false">INDEX('AC Estimate'!$M$5:$M$238,MATCH($A48,'AC Estimate'!$A$5:$A$238,0))</f>
        <v>0.101123595505618</v>
      </c>
      <c r="I48" s="27" t="n">
        <f aca="false">INDEX('AC Estimate'!$N$5:$N$238,MATCH($A48,'AC Estimate'!$A$5:$A$238,0))</f>
        <v>0.426966292134831</v>
      </c>
      <c r="J48" s="7" t="str">
        <f aca="false">INDEX('AC Estimate'!$P$5:$P$238,MATCH($A48,'AC Estimate'!$A$5:$A$238,0))</f>
        <v>TVK</v>
      </c>
      <c r="K48" s="7" t="str">
        <f aca="false">INDEX('AC Estimate'!$AK$5:$AK$238,MATCH($A48,'AC Estimate'!$A$5:$A$238,0))</f>
        <v>TVK</v>
      </c>
      <c r="L48" s="27" t="n">
        <f aca="false">INDEX('AC Estimate'!$AM$5:$AM$238,MATCH($A48,'AC Estimate'!$A$5:$A$238,0))</f>
        <v>0.698539209701567</v>
      </c>
      <c r="M48" s="7" t="str">
        <f aca="false">INDEX('AC Estimate'!$Q$5:$Q$238,MATCH($A48,'AC Estimate'!$A$5:$A$238,0))</f>
        <v>TVK</v>
      </c>
      <c r="N48" s="7" t="str">
        <f aca="false">INDEX('AC Estimate'!$R$5:$R$238,MATCH($A48,'AC Estimate'!$A$5:$A$238,0))</f>
        <v>TVK</v>
      </c>
      <c r="O48" s="7" t="str">
        <f aca="false">INDEX('AC Estimate'!$AL$5:$AL$238,MATCH($A48,'AC Estimate'!$A$5:$A$238,0))</f>
        <v>Yes</v>
      </c>
    </row>
    <row r="49" customFormat="false" ht="15" hidden="false" customHeight="false" outlineLevel="0" collapsed="false">
      <c r="A49" s="17" t="n">
        <v>119</v>
      </c>
      <c r="B49" s="7" t="str">
        <f aca="false">INDEX('AC Estimate'!$B$5:$B$238,MATCH($A49,'AC Estimate'!$A$5:$A$238,0))</f>
        <v>Thondamuthur</v>
      </c>
      <c r="C49" s="7" t="str">
        <f aca="false">INDEX('AC Estimate'!$C$5:$C$238,MATCH($A49,'AC Estimate'!$A$5:$A$238,0))</f>
        <v>Coimbatore</v>
      </c>
      <c r="D49" s="7" t="n">
        <f aca="false">INDEX('AC Estimate'!$I$5:$I$238,MATCH($A49,'AC Estimate'!$A$5:$A$238,0))</f>
        <v>57</v>
      </c>
      <c r="E49" s="27" t="n">
        <f aca="false">INDEX('AC Estimate'!$J$5:$J$238,MATCH($A49,'AC Estimate'!$A$5:$A$238,0))</f>
        <v>0.245614035087719</v>
      </c>
      <c r="F49" s="27" t="n">
        <f aca="false">INDEX('AC Estimate'!$K$5:$K$238,MATCH($A49,'AC Estimate'!$A$5:$A$238,0))</f>
        <v>0.280701754385965</v>
      </c>
      <c r="G49" s="27" t="n">
        <f aca="false">INDEX('AC Estimate'!$L$5:$L$238,MATCH($A49,'AC Estimate'!$A$5:$A$238,0))</f>
        <v>0</v>
      </c>
      <c r="H49" s="27" t="n">
        <f aca="false">INDEX('AC Estimate'!$M$5:$M$238,MATCH($A49,'AC Estimate'!$A$5:$A$238,0))</f>
        <v>0.0526315789473684</v>
      </c>
      <c r="I49" s="27" t="n">
        <f aca="false">INDEX('AC Estimate'!$N$5:$N$238,MATCH($A49,'AC Estimate'!$A$5:$A$238,0))</f>
        <v>0.421052631578947</v>
      </c>
      <c r="J49" s="7" t="str">
        <f aca="false">INDEX('AC Estimate'!$P$5:$P$238,MATCH($A49,'AC Estimate'!$A$5:$A$238,0))</f>
        <v>TVK</v>
      </c>
      <c r="K49" s="7" t="str">
        <f aca="false">INDEX('AC Estimate'!$AK$5:$AK$238,MATCH($A49,'AC Estimate'!$A$5:$A$238,0))</f>
        <v>TVK</v>
      </c>
      <c r="L49" s="27" t="n">
        <f aca="false">INDEX('AC Estimate'!$AM$5:$AM$238,MATCH($A49,'AC Estimate'!$A$5:$A$238,0))</f>
        <v>0.509828243726611</v>
      </c>
      <c r="M49" s="7" t="str">
        <f aca="false">INDEX('AC Estimate'!$Q$5:$Q$238,MATCH($A49,'AC Estimate'!$A$5:$A$238,0))</f>
        <v>AIADMK</v>
      </c>
      <c r="N49" s="7" t="str">
        <f aca="false">INDEX('AC Estimate'!$R$5:$R$238,MATCH($A49,'AC Estimate'!$A$5:$A$238,0))</f>
        <v>AIADMK+</v>
      </c>
      <c r="O49" s="7" t="str">
        <f aca="false">INDEX('AC Estimate'!$AL$5:$AL$238,MATCH($A49,'AC Estimate'!$A$5:$A$238,0))</f>
        <v>No</v>
      </c>
    </row>
    <row r="50" customFormat="false" ht="15" hidden="false" customHeight="false" outlineLevel="0" collapsed="false">
      <c r="A50" s="17" t="n">
        <v>120</v>
      </c>
      <c r="B50" s="7" t="str">
        <f aca="false">INDEX('AC Estimate'!$B$5:$B$238,MATCH($A50,'AC Estimate'!$A$5:$A$238,0))</f>
        <v>Coimbatore (South)</v>
      </c>
      <c r="C50" s="7" t="str">
        <f aca="false">INDEX('AC Estimate'!$C$5:$C$238,MATCH($A50,'AC Estimate'!$A$5:$A$238,0))</f>
        <v>Coimbatore</v>
      </c>
      <c r="D50" s="7" t="n">
        <f aca="false">INDEX('AC Estimate'!$I$5:$I$238,MATCH($A50,'AC Estimate'!$A$5:$A$238,0))</f>
        <v>73</v>
      </c>
      <c r="E50" s="27" t="n">
        <f aca="false">INDEX('AC Estimate'!$J$5:$J$238,MATCH($A50,'AC Estimate'!$A$5:$A$238,0))</f>
        <v>0.246575342465753</v>
      </c>
      <c r="F50" s="27" t="n">
        <f aca="false">INDEX('AC Estimate'!$K$5:$K$238,MATCH($A50,'AC Estimate'!$A$5:$A$238,0))</f>
        <v>0.397260273972603</v>
      </c>
      <c r="G50" s="27" t="n">
        <f aca="false">INDEX('AC Estimate'!$L$5:$L$238,MATCH($A50,'AC Estimate'!$A$5:$A$238,0))</f>
        <v>0</v>
      </c>
      <c r="H50" s="27" t="n">
        <f aca="false">INDEX('AC Estimate'!$M$5:$M$238,MATCH($A50,'AC Estimate'!$A$5:$A$238,0))</f>
        <v>0.0547945205479452</v>
      </c>
      <c r="I50" s="27" t="n">
        <f aca="false">INDEX('AC Estimate'!$N$5:$N$238,MATCH($A50,'AC Estimate'!$A$5:$A$238,0))</f>
        <v>0.301369863013699</v>
      </c>
      <c r="J50" s="7" t="str">
        <f aca="false">INDEX('AC Estimate'!$P$5:$P$238,MATCH($A50,'AC Estimate'!$A$5:$A$238,0))</f>
        <v>DMK+</v>
      </c>
      <c r="K50" s="7" t="str">
        <f aca="false">INDEX('AC Estimate'!$AK$5:$AK$238,MATCH($A50,'AC Estimate'!$A$5:$A$238,0))</f>
        <v>TVK</v>
      </c>
      <c r="L50" s="27" t="n">
        <f aca="false">INDEX('AC Estimate'!$AM$5:$AM$238,MATCH($A50,'AC Estimate'!$A$5:$A$238,0))</f>
        <v>0.573729569819435</v>
      </c>
      <c r="M50" s="7" t="str">
        <f aca="false">INDEX('AC Estimate'!$Q$5:$Q$238,MATCH($A50,'AC Estimate'!$A$5:$A$238,0))</f>
        <v>DMK</v>
      </c>
      <c r="N50" s="7" t="str">
        <f aca="false">INDEX('AC Estimate'!$R$5:$R$238,MATCH($A50,'AC Estimate'!$A$5:$A$238,0))</f>
        <v>DMK+</v>
      </c>
      <c r="O50" s="7" t="str">
        <f aca="false">INDEX('AC Estimate'!$AL$5:$AL$238,MATCH($A50,'AC Estimate'!$A$5:$A$238,0))</f>
        <v>No</v>
      </c>
    </row>
    <row r="51" customFormat="false" ht="15" hidden="false" customHeight="false" outlineLevel="0" collapsed="false">
      <c r="A51" s="17" t="n">
        <v>121</v>
      </c>
      <c r="B51" s="7" t="str">
        <f aca="false">INDEX('AC Estimate'!$B$5:$B$238,MATCH($A51,'AC Estimate'!$A$5:$A$238,0))</f>
        <v>Singanallur</v>
      </c>
      <c r="C51" s="7" t="str">
        <f aca="false">INDEX('AC Estimate'!$C$5:$C$238,MATCH($A51,'AC Estimate'!$A$5:$A$238,0))</f>
        <v>Coimbatore</v>
      </c>
      <c r="D51" s="7" t="n">
        <f aca="false">INDEX('AC Estimate'!$I$5:$I$238,MATCH($A51,'AC Estimate'!$A$5:$A$238,0))</f>
        <v>75</v>
      </c>
      <c r="E51" s="27" t="n">
        <f aca="false">INDEX('AC Estimate'!$J$5:$J$238,MATCH($A51,'AC Estimate'!$A$5:$A$238,0))</f>
        <v>0.293333333333333</v>
      </c>
      <c r="F51" s="27" t="n">
        <f aca="false">INDEX('AC Estimate'!$K$5:$K$238,MATCH($A51,'AC Estimate'!$A$5:$A$238,0))</f>
        <v>0.253333333333333</v>
      </c>
      <c r="G51" s="27" t="n">
        <f aca="false">INDEX('AC Estimate'!$L$5:$L$238,MATCH($A51,'AC Estimate'!$A$5:$A$238,0))</f>
        <v>0.0133333333333333</v>
      </c>
      <c r="H51" s="27" t="n">
        <f aca="false">INDEX('AC Estimate'!$M$5:$M$238,MATCH($A51,'AC Estimate'!$A$5:$A$238,0))</f>
        <v>0.0266666666666667</v>
      </c>
      <c r="I51" s="27" t="n">
        <f aca="false">INDEX('AC Estimate'!$N$5:$N$238,MATCH($A51,'AC Estimate'!$A$5:$A$238,0))</f>
        <v>0.413333333333333</v>
      </c>
      <c r="J51" s="7" t="str">
        <f aca="false">INDEX('AC Estimate'!$P$5:$P$238,MATCH($A51,'AC Estimate'!$A$5:$A$238,0))</f>
        <v>TVK</v>
      </c>
      <c r="K51" s="7" t="str">
        <f aca="false">INDEX('AC Estimate'!$AK$5:$AK$238,MATCH($A51,'AC Estimate'!$A$5:$A$238,0))</f>
        <v>TVK</v>
      </c>
      <c r="L51" s="27" t="n">
        <f aca="false">INDEX('AC Estimate'!$AM$5:$AM$238,MATCH($A51,'AC Estimate'!$A$5:$A$238,0))</f>
        <v>0.627117454399631</v>
      </c>
      <c r="M51" s="7" t="str">
        <f aca="false">INDEX('AC Estimate'!$Q$5:$Q$238,MATCH($A51,'AC Estimate'!$A$5:$A$238,0))</f>
        <v>TVK</v>
      </c>
      <c r="N51" s="7" t="str">
        <f aca="false">INDEX('AC Estimate'!$R$5:$R$238,MATCH($A51,'AC Estimate'!$A$5:$A$238,0))</f>
        <v>TVK</v>
      </c>
      <c r="O51" s="7" t="str">
        <f aca="false">INDEX('AC Estimate'!$AL$5:$AL$238,MATCH($A51,'AC Estimate'!$A$5:$A$238,0))</f>
        <v>Yes</v>
      </c>
    </row>
    <row r="52" customFormat="false" ht="15" hidden="false" customHeight="false" outlineLevel="0" collapsed="false">
      <c r="A52" s="17" t="n">
        <v>122</v>
      </c>
      <c r="B52" s="7" t="str">
        <f aca="false">INDEX('AC Estimate'!$B$5:$B$238,MATCH($A52,'AC Estimate'!$A$5:$A$238,0))</f>
        <v>Kinathukadavu</v>
      </c>
      <c r="C52" s="7" t="str">
        <f aca="false">INDEX('AC Estimate'!$C$5:$C$238,MATCH($A52,'AC Estimate'!$A$5:$A$238,0))</f>
        <v>Coimbatore</v>
      </c>
      <c r="D52" s="7" t="n">
        <f aca="false">INDEX('AC Estimate'!$I$5:$I$238,MATCH($A52,'AC Estimate'!$A$5:$A$238,0))</f>
        <v>59</v>
      </c>
      <c r="E52" s="27" t="n">
        <f aca="false">INDEX('AC Estimate'!$J$5:$J$238,MATCH($A52,'AC Estimate'!$A$5:$A$238,0))</f>
        <v>0.254237288135593</v>
      </c>
      <c r="F52" s="27" t="n">
        <f aca="false">INDEX('AC Estimate'!$K$5:$K$238,MATCH($A52,'AC Estimate'!$A$5:$A$238,0))</f>
        <v>0.389830508474576</v>
      </c>
      <c r="G52" s="27" t="n">
        <f aca="false">INDEX('AC Estimate'!$L$5:$L$238,MATCH($A52,'AC Estimate'!$A$5:$A$238,0))</f>
        <v>0</v>
      </c>
      <c r="H52" s="27" t="n">
        <f aca="false">INDEX('AC Estimate'!$M$5:$M$238,MATCH($A52,'AC Estimate'!$A$5:$A$238,0))</f>
        <v>0.0508474576271187</v>
      </c>
      <c r="I52" s="27" t="n">
        <f aca="false">INDEX('AC Estimate'!$N$5:$N$238,MATCH($A52,'AC Estimate'!$A$5:$A$238,0))</f>
        <v>0.305084745762712</v>
      </c>
      <c r="J52" s="7" t="str">
        <f aca="false">INDEX('AC Estimate'!$P$5:$P$238,MATCH($A52,'AC Estimate'!$A$5:$A$238,0))</f>
        <v>DMK+</v>
      </c>
      <c r="K52" s="7" t="str">
        <f aca="false">INDEX('AC Estimate'!$AK$5:$AK$238,MATCH($A52,'AC Estimate'!$A$5:$A$238,0))</f>
        <v>DMK+</v>
      </c>
      <c r="L52" s="27" t="n">
        <f aca="false">INDEX('AC Estimate'!$AM$5:$AM$238,MATCH($A52,'AC Estimate'!$A$5:$A$238,0))</f>
        <v>0.296466613042542</v>
      </c>
      <c r="M52" s="7" t="str">
        <f aca="false">INDEX('AC Estimate'!$Q$5:$Q$238,MATCH($A52,'AC Estimate'!$A$5:$A$238,0))</f>
        <v>TVK</v>
      </c>
      <c r="N52" s="7" t="str">
        <f aca="false">INDEX('AC Estimate'!$R$5:$R$238,MATCH($A52,'AC Estimate'!$A$5:$A$238,0))</f>
        <v>TVK</v>
      </c>
      <c r="O52" s="7" t="str">
        <f aca="false">INDEX('AC Estimate'!$AL$5:$AL$238,MATCH($A52,'AC Estimate'!$A$5:$A$238,0))</f>
        <v>No</v>
      </c>
    </row>
    <row r="53" customFormat="false" ht="15" hidden="false" customHeight="false" outlineLevel="0" collapsed="false">
      <c r="A53" s="17" t="n">
        <v>123</v>
      </c>
      <c r="B53" s="7" t="str">
        <f aca="false">INDEX('AC Estimate'!$B$5:$B$238,MATCH($A53,'AC Estimate'!$A$5:$A$238,0))</f>
        <v>Pollachi</v>
      </c>
      <c r="C53" s="7" t="str">
        <f aca="false">INDEX('AC Estimate'!$C$5:$C$238,MATCH($A53,'AC Estimate'!$A$5:$A$238,0))</f>
        <v>Coimbatore</v>
      </c>
      <c r="D53" s="7" t="n">
        <f aca="false">INDEX('AC Estimate'!$I$5:$I$238,MATCH($A53,'AC Estimate'!$A$5:$A$238,0))</f>
        <v>51</v>
      </c>
      <c r="E53" s="27" t="n">
        <f aca="false">INDEX('AC Estimate'!$J$5:$J$238,MATCH($A53,'AC Estimate'!$A$5:$A$238,0))</f>
        <v>0.352941176470588</v>
      </c>
      <c r="F53" s="27" t="n">
        <f aca="false">INDEX('AC Estimate'!$K$5:$K$238,MATCH($A53,'AC Estimate'!$A$5:$A$238,0))</f>
        <v>0.137254901960784</v>
      </c>
      <c r="G53" s="27" t="n">
        <f aca="false">INDEX('AC Estimate'!$L$5:$L$238,MATCH($A53,'AC Estimate'!$A$5:$A$238,0))</f>
        <v>0</v>
      </c>
      <c r="H53" s="27" t="n">
        <f aca="false">INDEX('AC Estimate'!$M$5:$M$238,MATCH($A53,'AC Estimate'!$A$5:$A$238,0))</f>
        <v>0.0392156862745098</v>
      </c>
      <c r="I53" s="27" t="n">
        <f aca="false">INDEX('AC Estimate'!$N$5:$N$238,MATCH($A53,'AC Estimate'!$A$5:$A$238,0))</f>
        <v>0.470588235294118</v>
      </c>
      <c r="J53" s="7" t="str">
        <f aca="false">INDEX('AC Estimate'!$P$5:$P$238,MATCH($A53,'AC Estimate'!$A$5:$A$238,0))</f>
        <v>TVK</v>
      </c>
      <c r="K53" s="7" t="str">
        <f aca="false">INDEX('AC Estimate'!$AK$5:$AK$238,MATCH($A53,'AC Estimate'!$A$5:$A$238,0))</f>
        <v>AIADMK+</v>
      </c>
      <c r="L53" s="27" t="n">
        <f aca="false">INDEX('AC Estimate'!$AM$5:$AM$238,MATCH($A53,'AC Estimate'!$A$5:$A$238,0))</f>
        <v>0.299551496223731</v>
      </c>
      <c r="M53" s="7" t="str">
        <f aca="false">INDEX('AC Estimate'!$Q$5:$Q$238,MATCH($A53,'AC Estimate'!$A$5:$A$238,0))</f>
        <v>DMK</v>
      </c>
      <c r="N53" s="7" t="str">
        <f aca="false">INDEX('AC Estimate'!$R$5:$R$238,MATCH($A53,'AC Estimate'!$A$5:$A$238,0))</f>
        <v>DMK+</v>
      </c>
      <c r="O53" s="7" t="str">
        <f aca="false">INDEX('AC Estimate'!$AL$5:$AL$238,MATCH($A53,'AC Estimate'!$A$5:$A$238,0))</f>
        <v>No</v>
      </c>
    </row>
    <row r="54" customFormat="false" ht="15" hidden="false" customHeight="false" outlineLevel="0" collapsed="false">
      <c r="A54" s="17" t="n">
        <v>124</v>
      </c>
      <c r="B54" s="7" t="str">
        <f aca="false">INDEX('AC Estimate'!$B$5:$B$238,MATCH($A54,'AC Estimate'!$A$5:$A$238,0))</f>
        <v>Valparai</v>
      </c>
      <c r="C54" s="7" t="str">
        <f aca="false">INDEX('AC Estimate'!$C$5:$C$238,MATCH($A54,'AC Estimate'!$A$5:$A$238,0))</f>
        <v>Coimbatore</v>
      </c>
      <c r="D54" s="7" t="n">
        <f aca="false">INDEX('AC Estimate'!$I$5:$I$238,MATCH($A54,'AC Estimate'!$A$5:$A$238,0))</f>
        <v>21</v>
      </c>
      <c r="E54" s="27" t="n">
        <f aca="false">INDEX('AC Estimate'!$J$5:$J$238,MATCH($A54,'AC Estimate'!$A$5:$A$238,0))</f>
        <v>0.19047619047619</v>
      </c>
      <c r="F54" s="27" t="n">
        <f aca="false">INDEX('AC Estimate'!$K$5:$K$238,MATCH($A54,'AC Estimate'!$A$5:$A$238,0))</f>
        <v>0.0952380952380952</v>
      </c>
      <c r="G54" s="27" t="n">
        <f aca="false">INDEX('AC Estimate'!$L$5:$L$238,MATCH($A54,'AC Estimate'!$A$5:$A$238,0))</f>
        <v>0</v>
      </c>
      <c r="H54" s="27" t="n">
        <f aca="false">INDEX('AC Estimate'!$M$5:$M$238,MATCH($A54,'AC Estimate'!$A$5:$A$238,0))</f>
        <v>0.0476190476190476</v>
      </c>
      <c r="I54" s="27" t="n">
        <f aca="false">INDEX('AC Estimate'!$N$5:$N$238,MATCH($A54,'AC Estimate'!$A$5:$A$238,0))</f>
        <v>0.666666666666667</v>
      </c>
      <c r="J54" s="7" t="str">
        <f aca="false">INDEX('AC Estimate'!$P$5:$P$238,MATCH($A54,'AC Estimate'!$A$5:$A$238,0))</f>
        <v>TVK</v>
      </c>
      <c r="K54" s="7" t="str">
        <f aca="false">INDEX('AC Estimate'!$AK$5:$AK$238,MATCH($A54,'AC Estimate'!$A$5:$A$238,0))</f>
        <v>DMK+</v>
      </c>
      <c r="L54" s="27" t="n">
        <f aca="false">INDEX('AC Estimate'!$AM$5:$AM$238,MATCH($A54,'AC Estimate'!$A$5:$A$238,0))</f>
        <v>0.384128603166127</v>
      </c>
      <c r="M54" s="7" t="str">
        <f aca="false">INDEX('AC Estimate'!$Q$5:$Q$238,MATCH($A54,'AC Estimate'!$A$5:$A$238,0))</f>
        <v>DMK</v>
      </c>
      <c r="N54" s="7" t="str">
        <f aca="false">INDEX('AC Estimate'!$R$5:$R$238,MATCH($A54,'AC Estimate'!$A$5:$A$238,0))</f>
        <v>DMK+</v>
      </c>
      <c r="O54" s="7" t="str">
        <f aca="false">INDEX('AC Estimate'!$AL$5:$AL$238,MATCH($A54,'AC Estimate'!$A$5:$A$238,0))</f>
        <v>Yes</v>
      </c>
    </row>
    <row r="55" customFormat="false" ht="15" hidden="false" customHeight="false" outlineLevel="0" collapsed="false">
      <c r="A55" s="33"/>
      <c r="B55" s="34" t="s">
        <v>99</v>
      </c>
      <c r="C55" s="33"/>
      <c r="D55" s="34" t="n">
        <f aca="false">SUM(D45:D54)</f>
        <v>617</v>
      </c>
      <c r="E55" s="33"/>
      <c r="F55" s="33"/>
      <c r="G55" s="33"/>
      <c r="H55" s="33"/>
      <c r="I55" s="33"/>
      <c r="J55" s="34" t="s">
        <v>92</v>
      </c>
      <c r="K55" s="34" t="str">
        <f aca="false">COUNTIF(K45:K54,"TVK")&amp;" / "&amp;COUNTIF(K45:K54,"AIADMK+")&amp;" / "&amp;COUNTIF(K45:K54,"DMK+")</f>
        <v>6 / 1 / 3</v>
      </c>
      <c r="L55" s="33"/>
      <c r="M55" s="34" t="s">
        <v>93</v>
      </c>
      <c r="N55" s="34" t="str">
        <f aca="false">COUNTIF(N45:N54,"TVK")&amp;" / "&amp;COUNTIF(N45:N54,"AIADMK+")&amp;" / "&amp;COUNTIF(N45:N54,"DMK+")</f>
        <v>6 / 1 / 3</v>
      </c>
      <c r="O55" s="34" t="str">
        <f aca="false">IF(AND(ABS(COUNTIF(K45:K54,"TVK")-COUNTIF(N45:N54,"TVK"))&lt;=Calibration!$B$3,ABS(COUNTIF(K45:K54,"AIADMK+")-COUNTIF(N45:N54,"AIADMK+"))&lt;=Calibration!$B$3,ABS(COUNTIF(K45:K54,"DMK+")-COUNTIF(N45:N54,"DMK+"))&lt;=Calibration!$B$3),"Within","Off")</f>
        <v>Within</v>
      </c>
    </row>
    <row r="57" customFormat="false" ht="15" hidden="false" customHeight="false" outlineLevel="0" collapsed="false">
      <c r="A57" s="31" t="s">
        <v>100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</row>
    <row r="58" customFormat="false" ht="15" hidden="false" customHeight="false" outlineLevel="0" collapsed="false">
      <c r="A58" s="17" t="n">
        <v>151</v>
      </c>
      <c r="B58" s="7" t="str">
        <f aca="false">INDEX('AC Estimate'!$B$5:$B$238,MATCH($A58,'AC Estimate'!$A$5:$A$238,0))</f>
        <v>Tittakudi</v>
      </c>
      <c r="C58" s="7" t="str">
        <f aca="false">INDEX('AC Estimate'!$C$5:$C$238,MATCH($A58,'AC Estimate'!$A$5:$A$238,0))</f>
        <v>Cuddalore</v>
      </c>
      <c r="D58" s="7" t="n">
        <f aca="false">INDEX('AC Estimate'!$I$5:$I$238,MATCH($A58,'AC Estimate'!$A$5:$A$238,0))</f>
        <v>8</v>
      </c>
      <c r="E58" s="27" t="n">
        <f aca="false">INDEX('AC Estimate'!$J$5:$J$238,MATCH($A58,'AC Estimate'!$A$5:$A$238,0))</f>
        <v>0.5</v>
      </c>
      <c r="F58" s="27" t="n">
        <f aca="false">INDEX('AC Estimate'!$K$5:$K$238,MATCH($A58,'AC Estimate'!$A$5:$A$238,0))</f>
        <v>0</v>
      </c>
      <c r="G58" s="27" t="n">
        <f aca="false">INDEX('AC Estimate'!$L$5:$L$238,MATCH($A58,'AC Estimate'!$A$5:$A$238,0))</f>
        <v>0</v>
      </c>
      <c r="H58" s="27" t="n">
        <f aca="false">INDEX('AC Estimate'!$M$5:$M$238,MATCH($A58,'AC Estimate'!$A$5:$A$238,0))</f>
        <v>0.125</v>
      </c>
      <c r="I58" s="27" t="n">
        <f aca="false">INDEX('AC Estimate'!$N$5:$N$238,MATCH($A58,'AC Estimate'!$A$5:$A$238,0))</f>
        <v>0.375</v>
      </c>
      <c r="J58" s="7" t="str">
        <f aca="false">INDEX('AC Estimate'!$P$5:$P$238,MATCH($A58,'AC Estimate'!$A$5:$A$238,0))</f>
        <v>AIADMK+</v>
      </c>
      <c r="K58" s="7" t="str">
        <f aca="false">INDEX('AC Estimate'!$AK$5:$AK$238,MATCH($A58,'AC Estimate'!$A$5:$A$238,0))</f>
        <v>AIADMK+</v>
      </c>
      <c r="L58" s="27" t="n">
        <f aca="false">INDEX('AC Estimate'!$AM$5:$AM$238,MATCH($A58,'AC Estimate'!$A$5:$A$238,0))</f>
        <v>0.577040736808048</v>
      </c>
      <c r="M58" s="7" t="str">
        <f aca="false">INDEX('AC Estimate'!$Q$5:$Q$238,MATCH($A58,'AC Estimate'!$A$5:$A$238,0))</f>
        <v>DMK</v>
      </c>
      <c r="N58" s="7" t="str">
        <f aca="false">INDEX('AC Estimate'!$R$5:$R$238,MATCH($A58,'AC Estimate'!$A$5:$A$238,0))</f>
        <v>DMK+</v>
      </c>
      <c r="O58" s="7" t="str">
        <f aca="false">INDEX('AC Estimate'!$AL$5:$AL$238,MATCH($A58,'AC Estimate'!$A$5:$A$238,0))</f>
        <v>No</v>
      </c>
    </row>
    <row r="59" customFormat="false" ht="15" hidden="false" customHeight="false" outlineLevel="0" collapsed="false">
      <c r="A59" s="17" t="n">
        <v>152</v>
      </c>
      <c r="B59" s="7" t="str">
        <f aca="false">INDEX('AC Estimate'!$B$5:$B$238,MATCH($A59,'AC Estimate'!$A$5:$A$238,0))</f>
        <v>Virudhachalam</v>
      </c>
      <c r="C59" s="7" t="str">
        <f aca="false">INDEX('AC Estimate'!$C$5:$C$238,MATCH($A59,'AC Estimate'!$A$5:$A$238,0))</f>
        <v>Cuddalore</v>
      </c>
      <c r="D59" s="7" t="n">
        <f aca="false">INDEX('AC Estimate'!$I$5:$I$238,MATCH($A59,'AC Estimate'!$A$5:$A$238,0))</f>
        <v>22</v>
      </c>
      <c r="E59" s="27" t="n">
        <f aca="false">INDEX('AC Estimate'!$J$5:$J$238,MATCH($A59,'AC Estimate'!$A$5:$A$238,0))</f>
        <v>0.545454545454545</v>
      </c>
      <c r="F59" s="27" t="n">
        <f aca="false">INDEX('AC Estimate'!$K$5:$K$238,MATCH($A59,'AC Estimate'!$A$5:$A$238,0))</f>
        <v>0.0909090909090909</v>
      </c>
      <c r="G59" s="27" t="n">
        <f aca="false">INDEX('AC Estimate'!$L$5:$L$238,MATCH($A59,'AC Estimate'!$A$5:$A$238,0))</f>
        <v>0</v>
      </c>
      <c r="H59" s="27" t="n">
        <f aca="false">INDEX('AC Estimate'!$M$5:$M$238,MATCH($A59,'AC Estimate'!$A$5:$A$238,0))</f>
        <v>0</v>
      </c>
      <c r="I59" s="27" t="n">
        <f aca="false">INDEX('AC Estimate'!$N$5:$N$238,MATCH($A59,'AC Estimate'!$A$5:$A$238,0))</f>
        <v>0.363636363636364</v>
      </c>
      <c r="J59" s="7" t="str">
        <f aca="false">INDEX('AC Estimate'!$P$5:$P$238,MATCH($A59,'AC Estimate'!$A$5:$A$238,0))</f>
        <v>AIADMK+</v>
      </c>
      <c r="K59" s="7" t="str">
        <f aca="false">INDEX('AC Estimate'!$AK$5:$AK$238,MATCH($A59,'AC Estimate'!$A$5:$A$238,0))</f>
        <v>AIADMK+</v>
      </c>
      <c r="L59" s="27" t="n">
        <f aca="false">INDEX('AC Estimate'!$AM$5:$AM$238,MATCH($A59,'AC Estimate'!$A$5:$A$238,0))</f>
        <v>0.516347855722095</v>
      </c>
      <c r="M59" s="7" t="str">
        <f aca="false">INDEX('AC Estimate'!$Q$5:$Q$238,MATCH($A59,'AC Estimate'!$A$5:$A$238,0))</f>
        <v>DMDK</v>
      </c>
      <c r="N59" s="7" t="str">
        <f aca="false">INDEX('AC Estimate'!$R$5:$R$238,MATCH($A59,'AC Estimate'!$A$5:$A$238,0))</f>
        <v>DMK+</v>
      </c>
      <c r="O59" s="7" t="str">
        <f aca="false">INDEX('AC Estimate'!$AL$5:$AL$238,MATCH($A59,'AC Estimate'!$A$5:$A$238,0))</f>
        <v>No</v>
      </c>
    </row>
    <row r="60" customFormat="false" ht="15" hidden="false" customHeight="false" outlineLevel="0" collapsed="false">
      <c r="A60" s="17" t="n">
        <v>153</v>
      </c>
      <c r="B60" s="7" t="str">
        <f aca="false">INDEX('AC Estimate'!$B$5:$B$238,MATCH($A60,'AC Estimate'!$A$5:$A$238,0))</f>
        <v>Neyveli</v>
      </c>
      <c r="C60" s="7" t="str">
        <f aca="false">INDEX('AC Estimate'!$C$5:$C$238,MATCH($A60,'AC Estimate'!$A$5:$A$238,0))</f>
        <v>Cuddalore</v>
      </c>
      <c r="D60" s="7" t="n">
        <f aca="false">INDEX('AC Estimate'!$I$5:$I$238,MATCH($A60,'AC Estimate'!$A$5:$A$238,0))</f>
        <v>25</v>
      </c>
      <c r="E60" s="27" t="n">
        <f aca="false">INDEX('AC Estimate'!$J$5:$J$238,MATCH($A60,'AC Estimate'!$A$5:$A$238,0))</f>
        <v>0.68</v>
      </c>
      <c r="F60" s="27" t="n">
        <f aca="false">INDEX('AC Estimate'!$K$5:$K$238,MATCH($A60,'AC Estimate'!$A$5:$A$238,0))</f>
        <v>0.2</v>
      </c>
      <c r="G60" s="27" t="n">
        <f aca="false">INDEX('AC Estimate'!$L$5:$L$238,MATCH($A60,'AC Estimate'!$A$5:$A$238,0))</f>
        <v>0</v>
      </c>
      <c r="H60" s="27" t="n">
        <f aca="false">INDEX('AC Estimate'!$M$5:$M$238,MATCH($A60,'AC Estimate'!$A$5:$A$238,0))</f>
        <v>0.04</v>
      </c>
      <c r="I60" s="27" t="n">
        <f aca="false">INDEX('AC Estimate'!$N$5:$N$238,MATCH($A60,'AC Estimate'!$A$5:$A$238,0))</f>
        <v>0.08</v>
      </c>
      <c r="J60" s="7" t="str">
        <f aca="false">INDEX('AC Estimate'!$P$5:$P$238,MATCH($A60,'AC Estimate'!$A$5:$A$238,0))</f>
        <v>AIADMK+</v>
      </c>
      <c r="K60" s="7" t="str">
        <f aca="false">INDEX('AC Estimate'!$AK$5:$AK$238,MATCH($A60,'AC Estimate'!$A$5:$A$238,0))</f>
        <v>AIADMK+</v>
      </c>
      <c r="L60" s="27" t="n">
        <f aca="false">INDEX('AC Estimate'!$AM$5:$AM$238,MATCH($A60,'AC Estimate'!$A$5:$A$238,0))</f>
        <v>0.521878363056301</v>
      </c>
      <c r="M60" s="7" t="str">
        <f aca="false">INDEX('AC Estimate'!$Q$5:$Q$238,MATCH($A60,'AC Estimate'!$A$5:$A$238,0))</f>
        <v>AIADMK</v>
      </c>
      <c r="N60" s="7" t="str">
        <f aca="false">INDEX('AC Estimate'!$R$5:$R$238,MATCH($A60,'AC Estimate'!$A$5:$A$238,0))</f>
        <v>AIADMK+</v>
      </c>
      <c r="O60" s="7" t="str">
        <f aca="false">INDEX('AC Estimate'!$AL$5:$AL$238,MATCH($A60,'AC Estimate'!$A$5:$A$238,0))</f>
        <v>Yes</v>
      </c>
    </row>
    <row r="61" customFormat="false" ht="15" hidden="false" customHeight="false" outlineLevel="0" collapsed="false">
      <c r="A61" s="17" t="n">
        <v>154</v>
      </c>
      <c r="B61" s="7" t="str">
        <f aca="false">INDEX('AC Estimate'!$B$5:$B$238,MATCH($A61,'AC Estimate'!$A$5:$A$238,0))</f>
        <v>Panruti</v>
      </c>
      <c r="C61" s="7" t="str">
        <f aca="false">INDEX('AC Estimate'!$C$5:$C$238,MATCH($A61,'AC Estimate'!$A$5:$A$238,0))</f>
        <v>Cuddalore</v>
      </c>
      <c r="D61" s="7" t="n">
        <f aca="false">INDEX('AC Estimate'!$I$5:$I$238,MATCH($A61,'AC Estimate'!$A$5:$A$238,0))</f>
        <v>25</v>
      </c>
      <c r="E61" s="27" t="n">
        <f aca="false">INDEX('AC Estimate'!$J$5:$J$238,MATCH($A61,'AC Estimate'!$A$5:$A$238,0))</f>
        <v>0.4</v>
      </c>
      <c r="F61" s="27" t="n">
        <f aca="false">INDEX('AC Estimate'!$K$5:$K$238,MATCH($A61,'AC Estimate'!$A$5:$A$238,0))</f>
        <v>0.32</v>
      </c>
      <c r="G61" s="27" t="n">
        <f aca="false">INDEX('AC Estimate'!$L$5:$L$238,MATCH($A61,'AC Estimate'!$A$5:$A$238,0))</f>
        <v>0</v>
      </c>
      <c r="H61" s="27" t="n">
        <f aca="false">INDEX('AC Estimate'!$M$5:$M$238,MATCH($A61,'AC Estimate'!$A$5:$A$238,0))</f>
        <v>0.04</v>
      </c>
      <c r="I61" s="27" t="n">
        <f aca="false">INDEX('AC Estimate'!$N$5:$N$238,MATCH($A61,'AC Estimate'!$A$5:$A$238,0))</f>
        <v>0.24</v>
      </c>
      <c r="J61" s="7" t="str">
        <f aca="false">INDEX('AC Estimate'!$P$5:$P$238,MATCH($A61,'AC Estimate'!$A$5:$A$238,0))</f>
        <v>AIADMK+</v>
      </c>
      <c r="K61" s="7" t="str">
        <f aca="false">INDEX('AC Estimate'!$AK$5:$AK$238,MATCH($A61,'AC Estimate'!$A$5:$A$238,0))</f>
        <v>DMK+</v>
      </c>
      <c r="L61" s="27" t="n">
        <f aca="false">INDEX('AC Estimate'!$AM$5:$AM$238,MATCH($A61,'AC Estimate'!$A$5:$A$238,0))</f>
        <v>0.488549639932222</v>
      </c>
      <c r="M61" s="7" t="str">
        <f aca="false">INDEX('AC Estimate'!$Q$5:$Q$238,MATCH($A61,'AC Estimate'!$A$5:$A$238,0))</f>
        <v>AIADMK</v>
      </c>
      <c r="N61" s="7" t="str">
        <f aca="false">INDEX('AC Estimate'!$R$5:$R$238,MATCH($A61,'AC Estimate'!$A$5:$A$238,0))</f>
        <v>AIADMK+</v>
      </c>
      <c r="O61" s="7" t="str">
        <f aca="false">INDEX('AC Estimate'!$AL$5:$AL$238,MATCH($A61,'AC Estimate'!$A$5:$A$238,0))</f>
        <v>No</v>
      </c>
    </row>
    <row r="62" customFormat="false" ht="15" hidden="false" customHeight="false" outlineLevel="0" collapsed="false">
      <c r="A62" s="17" t="n">
        <v>155</v>
      </c>
      <c r="B62" s="7" t="str">
        <f aca="false">INDEX('AC Estimate'!$B$5:$B$238,MATCH($A62,'AC Estimate'!$A$5:$A$238,0))</f>
        <v>Cuddalore</v>
      </c>
      <c r="C62" s="7" t="str">
        <f aca="false">INDEX('AC Estimate'!$C$5:$C$238,MATCH($A62,'AC Estimate'!$A$5:$A$238,0))</f>
        <v>Cuddalore</v>
      </c>
      <c r="D62" s="7" t="n">
        <f aca="false">INDEX('AC Estimate'!$I$5:$I$238,MATCH($A62,'AC Estimate'!$A$5:$A$238,0))</f>
        <v>55</v>
      </c>
      <c r="E62" s="27" t="n">
        <f aca="false">INDEX('AC Estimate'!$J$5:$J$238,MATCH($A62,'AC Estimate'!$A$5:$A$238,0))</f>
        <v>0.109090909090909</v>
      </c>
      <c r="F62" s="27" t="n">
        <f aca="false">INDEX('AC Estimate'!$K$5:$K$238,MATCH($A62,'AC Estimate'!$A$5:$A$238,0))</f>
        <v>0.581818181818182</v>
      </c>
      <c r="G62" s="27" t="n">
        <f aca="false">INDEX('AC Estimate'!$L$5:$L$238,MATCH($A62,'AC Estimate'!$A$5:$A$238,0))</f>
        <v>0</v>
      </c>
      <c r="H62" s="27" t="n">
        <f aca="false">INDEX('AC Estimate'!$M$5:$M$238,MATCH($A62,'AC Estimate'!$A$5:$A$238,0))</f>
        <v>0</v>
      </c>
      <c r="I62" s="27" t="n">
        <f aca="false">INDEX('AC Estimate'!$N$5:$N$238,MATCH($A62,'AC Estimate'!$A$5:$A$238,0))</f>
        <v>0.309090909090909</v>
      </c>
      <c r="J62" s="7" t="str">
        <f aca="false">INDEX('AC Estimate'!$P$5:$P$238,MATCH($A62,'AC Estimate'!$A$5:$A$238,0))</f>
        <v>DMK+</v>
      </c>
      <c r="K62" s="7" t="str">
        <f aca="false">INDEX('AC Estimate'!$AK$5:$AK$238,MATCH($A62,'AC Estimate'!$A$5:$A$238,0))</f>
        <v>TVK</v>
      </c>
      <c r="L62" s="27" t="n">
        <f aca="false">INDEX('AC Estimate'!$AM$5:$AM$238,MATCH($A62,'AC Estimate'!$A$5:$A$238,0))</f>
        <v>0.340679816058303</v>
      </c>
      <c r="M62" s="7" t="str">
        <f aca="false">INDEX('AC Estimate'!$Q$5:$Q$238,MATCH($A62,'AC Estimate'!$A$5:$A$238,0))</f>
        <v>TVK</v>
      </c>
      <c r="N62" s="7" t="str">
        <f aca="false">INDEX('AC Estimate'!$R$5:$R$238,MATCH($A62,'AC Estimate'!$A$5:$A$238,0))</f>
        <v>TVK</v>
      </c>
      <c r="O62" s="7" t="str">
        <f aca="false">INDEX('AC Estimate'!$AL$5:$AL$238,MATCH($A62,'AC Estimate'!$A$5:$A$238,0))</f>
        <v>Yes</v>
      </c>
    </row>
    <row r="63" customFormat="false" ht="15" hidden="false" customHeight="false" outlineLevel="0" collapsed="false">
      <c r="A63" s="17" t="n">
        <v>156</v>
      </c>
      <c r="B63" s="7" t="str">
        <f aca="false">INDEX('AC Estimate'!$B$5:$B$238,MATCH($A63,'AC Estimate'!$A$5:$A$238,0))</f>
        <v>Kurinjipadi</v>
      </c>
      <c r="C63" s="7" t="str">
        <f aca="false">INDEX('AC Estimate'!$C$5:$C$238,MATCH($A63,'AC Estimate'!$A$5:$A$238,0))</f>
        <v>Cuddalore</v>
      </c>
      <c r="D63" s="7" t="n">
        <f aca="false">INDEX('AC Estimate'!$I$5:$I$238,MATCH($A63,'AC Estimate'!$A$5:$A$238,0))</f>
        <v>19</v>
      </c>
      <c r="E63" s="27" t="n">
        <f aca="false">INDEX('AC Estimate'!$J$5:$J$238,MATCH($A63,'AC Estimate'!$A$5:$A$238,0))</f>
        <v>0.315789473684211</v>
      </c>
      <c r="F63" s="27" t="n">
        <f aca="false">INDEX('AC Estimate'!$K$5:$K$238,MATCH($A63,'AC Estimate'!$A$5:$A$238,0))</f>
        <v>0.421052631578947</v>
      </c>
      <c r="G63" s="27" t="n">
        <f aca="false">INDEX('AC Estimate'!$L$5:$L$238,MATCH($A63,'AC Estimate'!$A$5:$A$238,0))</f>
        <v>0</v>
      </c>
      <c r="H63" s="27" t="n">
        <f aca="false">INDEX('AC Estimate'!$M$5:$M$238,MATCH($A63,'AC Estimate'!$A$5:$A$238,0))</f>
        <v>0.105263157894737</v>
      </c>
      <c r="I63" s="27" t="n">
        <f aca="false">INDEX('AC Estimate'!$N$5:$N$238,MATCH($A63,'AC Estimate'!$A$5:$A$238,0))</f>
        <v>0.157894736842105</v>
      </c>
      <c r="J63" s="7" t="str">
        <f aca="false">INDEX('AC Estimate'!$P$5:$P$238,MATCH($A63,'AC Estimate'!$A$5:$A$238,0))</f>
        <v>DMK+</v>
      </c>
      <c r="K63" s="7" t="str">
        <f aca="false">INDEX('AC Estimate'!$AK$5:$AK$238,MATCH($A63,'AC Estimate'!$A$5:$A$238,0))</f>
        <v>DMK+</v>
      </c>
      <c r="L63" s="27" t="n">
        <f aca="false">INDEX('AC Estimate'!$AM$5:$AM$238,MATCH($A63,'AC Estimate'!$A$5:$A$238,0))</f>
        <v>0.604195931644718</v>
      </c>
      <c r="M63" s="7" t="str">
        <f aca="false">INDEX('AC Estimate'!$Q$5:$Q$238,MATCH($A63,'AC Estimate'!$A$5:$A$238,0))</f>
        <v>DMK</v>
      </c>
      <c r="N63" s="7" t="str">
        <f aca="false">INDEX('AC Estimate'!$R$5:$R$238,MATCH($A63,'AC Estimate'!$A$5:$A$238,0))</f>
        <v>DMK+</v>
      </c>
      <c r="O63" s="7" t="str">
        <f aca="false">INDEX('AC Estimate'!$AL$5:$AL$238,MATCH($A63,'AC Estimate'!$A$5:$A$238,0))</f>
        <v>Yes</v>
      </c>
    </row>
    <row r="64" customFormat="false" ht="15" hidden="false" customHeight="false" outlineLevel="0" collapsed="false">
      <c r="A64" s="17" t="n">
        <v>157</v>
      </c>
      <c r="B64" s="7" t="str">
        <f aca="false">INDEX('AC Estimate'!$B$5:$B$238,MATCH($A64,'AC Estimate'!$A$5:$A$238,0))</f>
        <v>Bhuvanagiri</v>
      </c>
      <c r="C64" s="7" t="str">
        <f aca="false">INDEX('AC Estimate'!$C$5:$C$238,MATCH($A64,'AC Estimate'!$A$5:$A$238,0))</f>
        <v>Cuddalore</v>
      </c>
      <c r="D64" s="7" t="n">
        <f aca="false">INDEX('AC Estimate'!$I$5:$I$238,MATCH($A64,'AC Estimate'!$A$5:$A$238,0))</f>
        <v>47</v>
      </c>
      <c r="E64" s="27" t="n">
        <f aca="false">INDEX('AC Estimate'!$J$5:$J$238,MATCH($A64,'AC Estimate'!$A$5:$A$238,0))</f>
        <v>0.0638297872340426</v>
      </c>
      <c r="F64" s="27" t="n">
        <f aca="false">INDEX('AC Estimate'!$K$5:$K$238,MATCH($A64,'AC Estimate'!$A$5:$A$238,0))</f>
        <v>0.680851063829787</v>
      </c>
      <c r="G64" s="27" t="n">
        <f aca="false">INDEX('AC Estimate'!$L$5:$L$238,MATCH($A64,'AC Estimate'!$A$5:$A$238,0))</f>
        <v>0</v>
      </c>
      <c r="H64" s="27" t="n">
        <f aca="false">INDEX('AC Estimate'!$M$5:$M$238,MATCH($A64,'AC Estimate'!$A$5:$A$238,0))</f>
        <v>0.127659574468085</v>
      </c>
      <c r="I64" s="27" t="n">
        <f aca="false">INDEX('AC Estimate'!$N$5:$N$238,MATCH($A64,'AC Estimate'!$A$5:$A$238,0))</f>
        <v>0.127659574468085</v>
      </c>
      <c r="J64" s="7" t="str">
        <f aca="false">INDEX('AC Estimate'!$P$5:$P$238,MATCH($A64,'AC Estimate'!$A$5:$A$238,0))</f>
        <v>DMK+</v>
      </c>
      <c r="K64" s="7" t="str">
        <f aca="false">INDEX('AC Estimate'!$AK$5:$AK$238,MATCH($A64,'AC Estimate'!$A$5:$A$238,0))</f>
        <v>DMK+</v>
      </c>
      <c r="L64" s="27" t="n">
        <f aca="false">INDEX('AC Estimate'!$AM$5:$AM$238,MATCH($A64,'AC Estimate'!$A$5:$A$238,0))</f>
        <v>0.630621670135397</v>
      </c>
      <c r="M64" s="7" t="str">
        <f aca="false">INDEX('AC Estimate'!$Q$5:$Q$238,MATCH($A64,'AC Estimate'!$A$5:$A$238,0))</f>
        <v>AIADMK</v>
      </c>
      <c r="N64" s="7" t="str">
        <f aca="false">INDEX('AC Estimate'!$R$5:$R$238,MATCH($A64,'AC Estimate'!$A$5:$A$238,0))</f>
        <v>AIADMK+</v>
      </c>
      <c r="O64" s="7" t="str">
        <f aca="false">INDEX('AC Estimate'!$AL$5:$AL$238,MATCH($A64,'AC Estimate'!$A$5:$A$238,0))</f>
        <v>No</v>
      </c>
    </row>
    <row r="65" customFormat="false" ht="15" hidden="false" customHeight="false" outlineLevel="0" collapsed="false">
      <c r="A65" s="17" t="n">
        <v>158</v>
      </c>
      <c r="B65" s="7" t="str">
        <f aca="false">INDEX('AC Estimate'!$B$5:$B$238,MATCH($A65,'AC Estimate'!$A$5:$A$238,0))</f>
        <v>Chidambaram</v>
      </c>
      <c r="C65" s="7" t="str">
        <f aca="false">INDEX('AC Estimate'!$C$5:$C$238,MATCH($A65,'AC Estimate'!$A$5:$A$238,0))</f>
        <v>Cuddalore</v>
      </c>
      <c r="D65" s="7" t="n">
        <f aca="false">INDEX('AC Estimate'!$I$5:$I$238,MATCH($A65,'AC Estimate'!$A$5:$A$238,0))</f>
        <v>16</v>
      </c>
      <c r="E65" s="27" t="n">
        <f aca="false">INDEX('AC Estimate'!$J$5:$J$238,MATCH($A65,'AC Estimate'!$A$5:$A$238,0))</f>
        <v>0.4375</v>
      </c>
      <c r="F65" s="27" t="n">
        <f aca="false">INDEX('AC Estimate'!$K$5:$K$238,MATCH($A65,'AC Estimate'!$A$5:$A$238,0))</f>
        <v>0.25</v>
      </c>
      <c r="G65" s="27" t="n">
        <f aca="false">INDEX('AC Estimate'!$L$5:$L$238,MATCH($A65,'AC Estimate'!$A$5:$A$238,0))</f>
        <v>0</v>
      </c>
      <c r="H65" s="27" t="n">
        <f aca="false">INDEX('AC Estimate'!$M$5:$M$238,MATCH($A65,'AC Estimate'!$A$5:$A$238,0))</f>
        <v>0.0625</v>
      </c>
      <c r="I65" s="27" t="n">
        <f aca="false">INDEX('AC Estimate'!$N$5:$N$238,MATCH($A65,'AC Estimate'!$A$5:$A$238,0))</f>
        <v>0.25</v>
      </c>
      <c r="J65" s="7" t="str">
        <f aca="false">INDEX('AC Estimate'!$P$5:$P$238,MATCH($A65,'AC Estimate'!$A$5:$A$238,0))</f>
        <v>AIADMK+</v>
      </c>
      <c r="K65" s="7" t="str">
        <f aca="false">INDEX('AC Estimate'!$AK$5:$AK$238,MATCH($A65,'AC Estimate'!$A$5:$A$238,0))</f>
        <v>DMK+</v>
      </c>
      <c r="L65" s="27" t="n">
        <f aca="false">INDEX('AC Estimate'!$AM$5:$AM$238,MATCH($A65,'AC Estimate'!$A$5:$A$238,0))</f>
        <v>0.49253809925681</v>
      </c>
      <c r="M65" s="7" t="str">
        <f aca="false">INDEX('AC Estimate'!$Q$5:$Q$238,MATCH($A65,'AC Estimate'!$A$5:$A$238,0))</f>
        <v>DMK</v>
      </c>
      <c r="N65" s="7" t="str">
        <f aca="false">INDEX('AC Estimate'!$R$5:$R$238,MATCH($A65,'AC Estimate'!$A$5:$A$238,0))</f>
        <v>DMK+</v>
      </c>
      <c r="O65" s="7" t="str">
        <f aca="false">INDEX('AC Estimate'!$AL$5:$AL$238,MATCH($A65,'AC Estimate'!$A$5:$A$238,0))</f>
        <v>Yes</v>
      </c>
    </row>
    <row r="66" customFormat="false" ht="15" hidden="false" customHeight="false" outlineLevel="0" collapsed="false">
      <c r="A66" s="17" t="n">
        <v>159</v>
      </c>
      <c r="B66" s="7" t="str">
        <f aca="false">INDEX('AC Estimate'!$B$5:$B$238,MATCH($A66,'AC Estimate'!$A$5:$A$238,0))</f>
        <v>Kattumannarkoil</v>
      </c>
      <c r="C66" s="7" t="str">
        <f aca="false">INDEX('AC Estimate'!$C$5:$C$238,MATCH($A66,'AC Estimate'!$A$5:$A$238,0))</f>
        <v>Cuddalore</v>
      </c>
      <c r="D66" s="7" t="n">
        <f aca="false">INDEX('AC Estimate'!$I$5:$I$238,MATCH($A66,'AC Estimate'!$A$5:$A$238,0))</f>
        <v>14</v>
      </c>
      <c r="E66" s="27" t="n">
        <f aca="false">INDEX('AC Estimate'!$J$5:$J$238,MATCH($A66,'AC Estimate'!$A$5:$A$238,0))</f>
        <v>0.642857142857143</v>
      </c>
      <c r="F66" s="27" t="n">
        <f aca="false">INDEX('AC Estimate'!$K$5:$K$238,MATCH($A66,'AC Estimate'!$A$5:$A$238,0))</f>
        <v>0.214285714285714</v>
      </c>
      <c r="G66" s="27" t="n">
        <f aca="false">INDEX('AC Estimate'!$L$5:$L$238,MATCH($A66,'AC Estimate'!$A$5:$A$238,0))</f>
        <v>0</v>
      </c>
      <c r="H66" s="27" t="n">
        <f aca="false">INDEX('AC Estimate'!$M$5:$M$238,MATCH($A66,'AC Estimate'!$A$5:$A$238,0))</f>
        <v>0</v>
      </c>
      <c r="I66" s="27" t="n">
        <f aca="false">INDEX('AC Estimate'!$N$5:$N$238,MATCH($A66,'AC Estimate'!$A$5:$A$238,0))</f>
        <v>0.142857142857143</v>
      </c>
      <c r="J66" s="7" t="str">
        <f aca="false">INDEX('AC Estimate'!$P$5:$P$238,MATCH($A66,'AC Estimate'!$A$5:$A$238,0))</f>
        <v>AIADMK+</v>
      </c>
      <c r="K66" s="7" t="str">
        <f aca="false">INDEX('AC Estimate'!$AK$5:$AK$238,MATCH($A66,'AC Estimate'!$A$5:$A$238,0))</f>
        <v>DMK+</v>
      </c>
      <c r="L66" s="27" t="n">
        <f aca="false">INDEX('AC Estimate'!$AM$5:$AM$238,MATCH($A66,'AC Estimate'!$A$5:$A$238,0))</f>
        <v>0.409428973538659</v>
      </c>
      <c r="M66" s="7" t="str">
        <f aca="false">INDEX('AC Estimate'!$Q$5:$Q$238,MATCH($A66,'AC Estimate'!$A$5:$A$238,0))</f>
        <v>VCK</v>
      </c>
      <c r="N66" s="7" t="str">
        <f aca="false">INDEX('AC Estimate'!$R$5:$R$238,MATCH($A66,'AC Estimate'!$A$5:$A$238,0))</f>
        <v>DMK+</v>
      </c>
      <c r="O66" s="7" t="str">
        <f aca="false">INDEX('AC Estimate'!$AL$5:$AL$238,MATCH($A66,'AC Estimate'!$A$5:$A$238,0))</f>
        <v>Yes</v>
      </c>
    </row>
    <row r="67" customFormat="false" ht="15" hidden="false" customHeight="false" outlineLevel="0" collapsed="false">
      <c r="A67" s="33"/>
      <c r="B67" s="34" t="s">
        <v>101</v>
      </c>
      <c r="C67" s="33"/>
      <c r="D67" s="34" t="n">
        <f aca="false">SUM(D58:D66)</f>
        <v>231</v>
      </c>
      <c r="E67" s="33"/>
      <c r="F67" s="33"/>
      <c r="G67" s="33"/>
      <c r="H67" s="33"/>
      <c r="I67" s="33"/>
      <c r="J67" s="34" t="s">
        <v>92</v>
      </c>
      <c r="K67" s="34" t="str">
        <f aca="false">COUNTIF(K58:K66,"TVK")&amp;" / "&amp;COUNTIF(K58:K66,"AIADMK+")&amp;" / "&amp;COUNTIF(K58:K66,"DMK+")</f>
        <v>1 / 3 / 5</v>
      </c>
      <c r="L67" s="33"/>
      <c r="M67" s="34" t="s">
        <v>93</v>
      </c>
      <c r="N67" s="34" t="str">
        <f aca="false">COUNTIF(N58:N66,"TVK")&amp;" / "&amp;COUNTIF(N58:N66,"AIADMK+")&amp;" / "&amp;COUNTIF(N58:N66,"DMK+")</f>
        <v>1 / 3 / 5</v>
      </c>
      <c r="O67" s="34" t="str">
        <f aca="false">IF(AND(ABS(COUNTIF(K58:K66,"TVK")-COUNTIF(N58:N66,"TVK"))&lt;=Calibration!$B$3,ABS(COUNTIF(K58:K66,"AIADMK+")-COUNTIF(N58:N66,"AIADMK+"))&lt;=Calibration!$B$3,ABS(COUNTIF(K58:K66,"DMK+")-COUNTIF(N58:N66,"DMK+"))&lt;=Calibration!$B$3),"Within","Off")</f>
        <v>Within</v>
      </c>
    </row>
    <row r="69" customFormat="false" ht="15" hidden="false" customHeight="false" outlineLevel="0" collapsed="false">
      <c r="A69" s="31" t="s">
        <v>102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</row>
    <row r="70" customFormat="false" ht="15" hidden="false" customHeight="false" outlineLevel="0" collapsed="false">
      <c r="A70" s="17" t="n">
        <v>57</v>
      </c>
      <c r="B70" s="7" t="str">
        <f aca="false">INDEX('AC Estimate'!$B$5:$B$238,MATCH($A70,'AC Estimate'!$A$5:$A$238,0))</f>
        <v>Palacode</v>
      </c>
      <c r="C70" s="7" t="str">
        <f aca="false">INDEX('AC Estimate'!$C$5:$C$238,MATCH($A70,'AC Estimate'!$A$5:$A$238,0))</f>
        <v>Dharmapuri</v>
      </c>
      <c r="D70" s="7" t="n">
        <f aca="false">INDEX('AC Estimate'!$I$5:$I$238,MATCH($A70,'AC Estimate'!$A$5:$A$238,0))</f>
        <v>36</v>
      </c>
      <c r="E70" s="27" t="n">
        <f aca="false">INDEX('AC Estimate'!$J$5:$J$238,MATCH($A70,'AC Estimate'!$A$5:$A$238,0))</f>
        <v>0.333333333333333</v>
      </c>
      <c r="F70" s="27" t="n">
        <f aca="false">INDEX('AC Estimate'!$K$5:$K$238,MATCH($A70,'AC Estimate'!$A$5:$A$238,0))</f>
        <v>0.194444444444444</v>
      </c>
      <c r="G70" s="27" t="n">
        <f aca="false">INDEX('AC Estimate'!$L$5:$L$238,MATCH($A70,'AC Estimate'!$A$5:$A$238,0))</f>
        <v>0.0277777777777778</v>
      </c>
      <c r="H70" s="27" t="n">
        <f aca="false">INDEX('AC Estimate'!$M$5:$M$238,MATCH($A70,'AC Estimate'!$A$5:$A$238,0))</f>
        <v>0.111111111111111</v>
      </c>
      <c r="I70" s="27" t="n">
        <f aca="false">INDEX('AC Estimate'!$N$5:$N$238,MATCH($A70,'AC Estimate'!$A$5:$A$238,0))</f>
        <v>0.333333333333333</v>
      </c>
      <c r="J70" s="7" t="str">
        <f aca="false">INDEX('AC Estimate'!$P$5:$P$238,MATCH($A70,'AC Estimate'!$A$5:$A$238,0))</f>
        <v>AIADMK+</v>
      </c>
      <c r="K70" s="7" t="str">
        <f aca="false">INDEX('AC Estimate'!$AK$5:$AK$238,MATCH($A70,'AC Estimate'!$A$5:$A$238,0))</f>
        <v>AIADMK+</v>
      </c>
      <c r="L70" s="27" t="n">
        <f aca="false">INDEX('AC Estimate'!$AM$5:$AM$238,MATCH($A70,'AC Estimate'!$A$5:$A$238,0))</f>
        <v>0.409338061825334</v>
      </c>
      <c r="M70" s="7" t="str">
        <f aca="false">INDEX('AC Estimate'!$Q$5:$Q$238,MATCH($A70,'AC Estimate'!$A$5:$A$238,0))</f>
        <v>AIADMK</v>
      </c>
      <c r="N70" s="7" t="str">
        <f aca="false">INDEX('AC Estimate'!$R$5:$R$238,MATCH($A70,'AC Estimate'!$A$5:$A$238,0))</f>
        <v>AIADMK+</v>
      </c>
      <c r="O70" s="7" t="str">
        <f aca="false">INDEX('AC Estimate'!$AL$5:$AL$238,MATCH($A70,'AC Estimate'!$A$5:$A$238,0))</f>
        <v>Yes</v>
      </c>
    </row>
    <row r="71" customFormat="false" ht="15" hidden="false" customHeight="false" outlineLevel="0" collapsed="false">
      <c r="A71" s="17" t="n">
        <v>58</v>
      </c>
      <c r="B71" s="7" t="str">
        <f aca="false">INDEX('AC Estimate'!$B$5:$B$238,MATCH($A71,'AC Estimate'!$A$5:$A$238,0))</f>
        <v>Pennagaram</v>
      </c>
      <c r="C71" s="7" t="str">
        <f aca="false">INDEX('AC Estimate'!$C$5:$C$238,MATCH($A71,'AC Estimate'!$A$5:$A$238,0))</f>
        <v>Dharmapuri</v>
      </c>
      <c r="D71" s="7" t="n">
        <f aca="false">INDEX('AC Estimate'!$I$5:$I$238,MATCH($A71,'AC Estimate'!$A$5:$A$238,0))</f>
        <v>42</v>
      </c>
      <c r="E71" s="27" t="n">
        <f aca="false">INDEX('AC Estimate'!$J$5:$J$238,MATCH($A71,'AC Estimate'!$A$5:$A$238,0))</f>
        <v>0.285714285714286</v>
      </c>
      <c r="F71" s="27" t="n">
        <f aca="false">INDEX('AC Estimate'!$K$5:$K$238,MATCH($A71,'AC Estimate'!$A$5:$A$238,0))</f>
        <v>0.238095238095238</v>
      </c>
      <c r="G71" s="27" t="n">
        <f aca="false">INDEX('AC Estimate'!$L$5:$L$238,MATCH($A71,'AC Estimate'!$A$5:$A$238,0))</f>
        <v>0</v>
      </c>
      <c r="H71" s="27" t="n">
        <f aca="false">INDEX('AC Estimate'!$M$5:$M$238,MATCH($A71,'AC Estimate'!$A$5:$A$238,0))</f>
        <v>0.0952380952380952</v>
      </c>
      <c r="I71" s="27" t="n">
        <f aca="false">INDEX('AC Estimate'!$N$5:$N$238,MATCH($A71,'AC Estimate'!$A$5:$A$238,0))</f>
        <v>0.380952380952381</v>
      </c>
      <c r="J71" s="7" t="str">
        <f aca="false">INDEX('AC Estimate'!$P$5:$P$238,MATCH($A71,'AC Estimate'!$A$5:$A$238,0))</f>
        <v>TVK</v>
      </c>
      <c r="K71" s="7" t="str">
        <f aca="false">INDEX('AC Estimate'!$AK$5:$AK$238,MATCH($A71,'AC Estimate'!$A$5:$A$238,0))</f>
        <v>AIADMK+</v>
      </c>
      <c r="L71" s="27" t="n">
        <f aca="false">INDEX('AC Estimate'!$AM$5:$AM$238,MATCH($A71,'AC Estimate'!$A$5:$A$238,0))</f>
        <v>0.349500403088709</v>
      </c>
      <c r="M71" s="7" t="str">
        <f aca="false">INDEX('AC Estimate'!$Q$5:$Q$238,MATCH($A71,'AC Estimate'!$A$5:$A$238,0))</f>
        <v>TVK</v>
      </c>
      <c r="N71" s="7" t="str">
        <f aca="false">INDEX('AC Estimate'!$R$5:$R$238,MATCH($A71,'AC Estimate'!$A$5:$A$238,0))</f>
        <v>TVK</v>
      </c>
      <c r="O71" s="7" t="str">
        <f aca="false">INDEX('AC Estimate'!$AL$5:$AL$238,MATCH($A71,'AC Estimate'!$A$5:$A$238,0))</f>
        <v>No</v>
      </c>
    </row>
    <row r="72" customFormat="false" ht="15" hidden="false" customHeight="false" outlineLevel="0" collapsed="false">
      <c r="A72" s="17" t="n">
        <v>59</v>
      </c>
      <c r="B72" s="7" t="str">
        <f aca="false">INDEX('AC Estimate'!$B$5:$B$238,MATCH($A72,'AC Estimate'!$A$5:$A$238,0))</f>
        <v>Dharmapuri</v>
      </c>
      <c r="C72" s="7" t="str">
        <f aca="false">INDEX('AC Estimate'!$C$5:$C$238,MATCH($A72,'AC Estimate'!$A$5:$A$238,0))</f>
        <v>Dharmapuri</v>
      </c>
      <c r="D72" s="7" t="n">
        <f aca="false">INDEX('AC Estimate'!$I$5:$I$238,MATCH($A72,'AC Estimate'!$A$5:$A$238,0))</f>
        <v>73</v>
      </c>
      <c r="E72" s="27" t="n">
        <f aca="false">INDEX('AC Estimate'!$J$5:$J$238,MATCH($A72,'AC Estimate'!$A$5:$A$238,0))</f>
        <v>0.424657534246575</v>
      </c>
      <c r="F72" s="27" t="n">
        <f aca="false">INDEX('AC Estimate'!$K$5:$K$238,MATCH($A72,'AC Estimate'!$A$5:$A$238,0))</f>
        <v>0.191780821917808</v>
      </c>
      <c r="G72" s="27" t="n">
        <f aca="false">INDEX('AC Estimate'!$L$5:$L$238,MATCH($A72,'AC Estimate'!$A$5:$A$238,0))</f>
        <v>0</v>
      </c>
      <c r="H72" s="27" t="n">
        <f aca="false">INDEX('AC Estimate'!$M$5:$M$238,MATCH($A72,'AC Estimate'!$A$5:$A$238,0))</f>
        <v>0.0410958904109589</v>
      </c>
      <c r="I72" s="27" t="n">
        <f aca="false">INDEX('AC Estimate'!$N$5:$N$238,MATCH($A72,'AC Estimate'!$A$5:$A$238,0))</f>
        <v>0.342465753424658</v>
      </c>
      <c r="J72" s="7" t="str">
        <f aca="false">INDEX('AC Estimate'!$P$5:$P$238,MATCH($A72,'AC Estimate'!$A$5:$A$238,0))</f>
        <v>AIADMK+</v>
      </c>
      <c r="K72" s="7" t="str">
        <f aca="false">INDEX('AC Estimate'!$AK$5:$AK$238,MATCH($A72,'AC Estimate'!$A$5:$A$238,0))</f>
        <v>TVK</v>
      </c>
      <c r="L72" s="27" t="n">
        <f aca="false">INDEX('AC Estimate'!$AM$5:$AM$238,MATCH($A72,'AC Estimate'!$A$5:$A$238,0))</f>
        <v>0.578603292655163</v>
      </c>
      <c r="M72" s="7" t="str">
        <f aca="false">INDEX('AC Estimate'!$Q$5:$Q$238,MATCH($A72,'AC Estimate'!$A$5:$A$238,0))</f>
        <v>PMK</v>
      </c>
      <c r="N72" s="7" t="str">
        <f aca="false">INDEX('AC Estimate'!$R$5:$R$238,MATCH($A72,'AC Estimate'!$A$5:$A$238,0))</f>
        <v>AIADMK+</v>
      </c>
      <c r="O72" s="7" t="str">
        <f aca="false">INDEX('AC Estimate'!$AL$5:$AL$238,MATCH($A72,'AC Estimate'!$A$5:$A$238,0))</f>
        <v>No</v>
      </c>
    </row>
    <row r="73" customFormat="false" ht="15" hidden="false" customHeight="false" outlineLevel="0" collapsed="false">
      <c r="A73" s="17" t="n">
        <v>60</v>
      </c>
      <c r="B73" s="7" t="str">
        <f aca="false">INDEX('AC Estimate'!$B$5:$B$238,MATCH($A73,'AC Estimate'!$A$5:$A$238,0))</f>
        <v>Pappireddippatti</v>
      </c>
      <c r="C73" s="7" t="str">
        <f aca="false">INDEX('AC Estimate'!$C$5:$C$238,MATCH($A73,'AC Estimate'!$A$5:$A$238,0))</f>
        <v>Dharmapuri</v>
      </c>
      <c r="D73" s="7" t="n">
        <f aca="false">INDEX('AC Estimate'!$I$5:$I$238,MATCH($A73,'AC Estimate'!$A$5:$A$238,0))</f>
        <v>44</v>
      </c>
      <c r="E73" s="27" t="n">
        <f aca="false">INDEX('AC Estimate'!$J$5:$J$238,MATCH($A73,'AC Estimate'!$A$5:$A$238,0))</f>
        <v>0.545454545454545</v>
      </c>
      <c r="F73" s="27" t="n">
        <f aca="false">INDEX('AC Estimate'!$K$5:$K$238,MATCH($A73,'AC Estimate'!$A$5:$A$238,0))</f>
        <v>0.159090909090909</v>
      </c>
      <c r="G73" s="27" t="n">
        <f aca="false">INDEX('AC Estimate'!$L$5:$L$238,MATCH($A73,'AC Estimate'!$A$5:$A$238,0))</f>
        <v>0.0227272727272727</v>
      </c>
      <c r="H73" s="27" t="n">
        <f aca="false">INDEX('AC Estimate'!$M$5:$M$238,MATCH($A73,'AC Estimate'!$A$5:$A$238,0))</f>
        <v>0.0454545454545455</v>
      </c>
      <c r="I73" s="27" t="n">
        <f aca="false">INDEX('AC Estimate'!$N$5:$N$238,MATCH($A73,'AC Estimate'!$A$5:$A$238,0))</f>
        <v>0.227272727272727</v>
      </c>
      <c r="J73" s="7" t="str">
        <f aca="false">INDEX('AC Estimate'!$P$5:$P$238,MATCH($A73,'AC Estimate'!$A$5:$A$238,0))</f>
        <v>AIADMK+</v>
      </c>
      <c r="K73" s="7" t="str">
        <f aca="false">INDEX('AC Estimate'!$AK$5:$AK$238,MATCH($A73,'AC Estimate'!$A$5:$A$238,0))</f>
        <v>AIADMK+</v>
      </c>
      <c r="L73" s="27" t="n">
        <f aca="false">INDEX('AC Estimate'!$AM$5:$AM$238,MATCH($A73,'AC Estimate'!$A$5:$A$238,0))</f>
        <v>0.449191424881896</v>
      </c>
      <c r="M73" s="7" t="str">
        <f aca="false">INDEX('AC Estimate'!$Q$5:$Q$238,MATCH($A73,'AC Estimate'!$A$5:$A$238,0))</f>
        <v>AIADMK</v>
      </c>
      <c r="N73" s="7" t="str">
        <f aca="false">INDEX('AC Estimate'!$R$5:$R$238,MATCH($A73,'AC Estimate'!$A$5:$A$238,0))</f>
        <v>AIADMK+</v>
      </c>
      <c r="O73" s="7" t="str">
        <f aca="false">INDEX('AC Estimate'!$AL$5:$AL$238,MATCH($A73,'AC Estimate'!$A$5:$A$238,0))</f>
        <v>Yes</v>
      </c>
    </row>
    <row r="74" customFormat="false" ht="15" hidden="false" customHeight="false" outlineLevel="0" collapsed="false">
      <c r="A74" s="17" t="n">
        <v>61</v>
      </c>
      <c r="B74" s="7" t="str">
        <f aca="false">INDEX('AC Estimate'!$B$5:$B$238,MATCH($A74,'AC Estimate'!$A$5:$A$238,0))</f>
        <v>Harur</v>
      </c>
      <c r="C74" s="7" t="str">
        <f aca="false">INDEX('AC Estimate'!$C$5:$C$238,MATCH($A74,'AC Estimate'!$A$5:$A$238,0))</f>
        <v>Dharmapuri</v>
      </c>
      <c r="D74" s="7" t="n">
        <f aca="false">INDEX('AC Estimate'!$I$5:$I$238,MATCH($A74,'AC Estimate'!$A$5:$A$238,0))</f>
        <v>42</v>
      </c>
      <c r="E74" s="27" t="n">
        <f aca="false">INDEX('AC Estimate'!$J$5:$J$238,MATCH($A74,'AC Estimate'!$A$5:$A$238,0))</f>
        <v>0.380952380952381</v>
      </c>
      <c r="F74" s="27" t="n">
        <f aca="false">INDEX('AC Estimate'!$K$5:$K$238,MATCH($A74,'AC Estimate'!$A$5:$A$238,0))</f>
        <v>0.166666666666667</v>
      </c>
      <c r="G74" s="27" t="n">
        <f aca="false">INDEX('AC Estimate'!$L$5:$L$238,MATCH($A74,'AC Estimate'!$A$5:$A$238,0))</f>
        <v>0</v>
      </c>
      <c r="H74" s="27" t="n">
        <f aca="false">INDEX('AC Estimate'!$M$5:$M$238,MATCH($A74,'AC Estimate'!$A$5:$A$238,0))</f>
        <v>0.0714285714285714</v>
      </c>
      <c r="I74" s="27" t="n">
        <f aca="false">INDEX('AC Estimate'!$N$5:$N$238,MATCH($A74,'AC Estimate'!$A$5:$A$238,0))</f>
        <v>0.380952380952381</v>
      </c>
      <c r="J74" s="7" t="str">
        <f aca="false">INDEX('AC Estimate'!$P$5:$P$238,MATCH($A74,'AC Estimate'!$A$5:$A$238,0))</f>
        <v>AIADMK+</v>
      </c>
      <c r="K74" s="7" t="str">
        <f aca="false">INDEX('AC Estimate'!$AK$5:$AK$238,MATCH($A74,'AC Estimate'!$A$5:$A$238,0))</f>
        <v>AIADMK+</v>
      </c>
      <c r="L74" s="27" t="n">
        <f aca="false">INDEX('AC Estimate'!$AM$5:$AM$238,MATCH($A74,'AC Estimate'!$A$5:$A$238,0))</f>
        <v>0.394173311305091</v>
      </c>
      <c r="M74" s="7" t="str">
        <f aca="false">INDEX('AC Estimate'!$Q$5:$Q$238,MATCH($A74,'AC Estimate'!$A$5:$A$238,0))</f>
        <v>AIADMK</v>
      </c>
      <c r="N74" s="7" t="str">
        <f aca="false">INDEX('AC Estimate'!$R$5:$R$238,MATCH($A74,'AC Estimate'!$A$5:$A$238,0))</f>
        <v>AIADMK+</v>
      </c>
      <c r="O74" s="7" t="str">
        <f aca="false">INDEX('AC Estimate'!$AL$5:$AL$238,MATCH($A74,'AC Estimate'!$A$5:$A$238,0))</f>
        <v>Yes</v>
      </c>
    </row>
    <row r="75" customFormat="false" ht="15" hidden="false" customHeight="false" outlineLevel="0" collapsed="false">
      <c r="A75" s="33"/>
      <c r="B75" s="34" t="s">
        <v>103</v>
      </c>
      <c r="C75" s="33"/>
      <c r="D75" s="34" t="n">
        <f aca="false">SUM(D70:D74)</f>
        <v>237</v>
      </c>
      <c r="E75" s="33"/>
      <c r="F75" s="33"/>
      <c r="G75" s="33"/>
      <c r="H75" s="33"/>
      <c r="I75" s="33"/>
      <c r="J75" s="34" t="s">
        <v>92</v>
      </c>
      <c r="K75" s="34" t="str">
        <f aca="false">COUNTIF(K70:K74,"TVK")&amp;" / "&amp;COUNTIF(K70:K74,"AIADMK+")&amp;" / "&amp;COUNTIF(K70:K74,"DMK+")</f>
        <v>1 / 4 / 0</v>
      </c>
      <c r="L75" s="33"/>
      <c r="M75" s="34" t="s">
        <v>93</v>
      </c>
      <c r="N75" s="34" t="str">
        <f aca="false">COUNTIF(N70:N74,"TVK")&amp;" / "&amp;COUNTIF(N70:N74,"AIADMK+")&amp;" / "&amp;COUNTIF(N70:N74,"DMK+")</f>
        <v>1 / 4 / 0</v>
      </c>
      <c r="O75" s="34" t="str">
        <f aca="false">IF(AND(ABS(COUNTIF(K70:K74,"TVK")-COUNTIF(N70:N74,"TVK"))&lt;=Calibration!$B$3,ABS(COUNTIF(K70:K74,"AIADMK+")-COUNTIF(N70:N74,"AIADMK+"))&lt;=Calibration!$B$3,ABS(COUNTIF(K70:K74,"DMK+")-COUNTIF(N70:N74,"DMK+"))&lt;=Calibration!$B$3),"Within","Off")</f>
        <v>Within</v>
      </c>
    </row>
    <row r="77" customFormat="false" ht="15" hidden="false" customHeight="false" outlineLevel="0" collapsed="false">
      <c r="A77" s="31" t="s">
        <v>104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</row>
    <row r="78" customFormat="false" ht="15" hidden="false" customHeight="false" outlineLevel="0" collapsed="false">
      <c r="A78" s="17" t="n">
        <v>127</v>
      </c>
      <c r="B78" s="7" t="str">
        <f aca="false">INDEX('AC Estimate'!$B$5:$B$238,MATCH($A78,'AC Estimate'!$A$5:$A$238,0))</f>
        <v>Palani</v>
      </c>
      <c r="C78" s="7" t="str">
        <f aca="false">INDEX('AC Estimate'!$C$5:$C$238,MATCH($A78,'AC Estimate'!$A$5:$A$238,0))</f>
        <v>Dindigul</v>
      </c>
      <c r="D78" s="7" t="n">
        <f aca="false">INDEX('AC Estimate'!$I$5:$I$238,MATCH($A78,'AC Estimate'!$A$5:$A$238,0))</f>
        <v>42</v>
      </c>
      <c r="E78" s="27" t="n">
        <f aca="false">INDEX('AC Estimate'!$J$5:$J$238,MATCH($A78,'AC Estimate'!$A$5:$A$238,0))</f>
        <v>0.19047619047619</v>
      </c>
      <c r="F78" s="27" t="n">
        <f aca="false">INDEX('AC Estimate'!$K$5:$K$238,MATCH($A78,'AC Estimate'!$A$5:$A$238,0))</f>
        <v>0.119047619047619</v>
      </c>
      <c r="G78" s="27" t="n">
        <f aca="false">INDEX('AC Estimate'!$L$5:$L$238,MATCH($A78,'AC Estimate'!$A$5:$A$238,0))</f>
        <v>0</v>
      </c>
      <c r="H78" s="27" t="n">
        <f aca="false">INDEX('AC Estimate'!$M$5:$M$238,MATCH($A78,'AC Estimate'!$A$5:$A$238,0))</f>
        <v>0.0952380952380952</v>
      </c>
      <c r="I78" s="27" t="n">
        <f aca="false">INDEX('AC Estimate'!$N$5:$N$238,MATCH($A78,'AC Estimate'!$A$5:$A$238,0))</f>
        <v>0.595238095238095</v>
      </c>
      <c r="J78" s="7" t="str">
        <f aca="false">INDEX('AC Estimate'!$P$5:$P$238,MATCH($A78,'AC Estimate'!$A$5:$A$238,0))</f>
        <v>TVK</v>
      </c>
      <c r="K78" s="7" t="str">
        <f aca="false">INDEX('AC Estimate'!$AK$5:$AK$238,MATCH($A78,'AC Estimate'!$A$5:$A$238,0))</f>
        <v>AIADMK+</v>
      </c>
      <c r="L78" s="27" t="n">
        <f aca="false">INDEX('AC Estimate'!$AM$5:$AM$238,MATCH($A78,'AC Estimate'!$A$5:$A$238,0))</f>
        <v>0.282174403362065</v>
      </c>
      <c r="M78" s="7" t="str">
        <f aca="false">INDEX('AC Estimate'!$Q$5:$Q$238,MATCH($A78,'AC Estimate'!$A$5:$A$238,0))</f>
        <v>AIADMK</v>
      </c>
      <c r="N78" s="7" t="str">
        <f aca="false">INDEX('AC Estimate'!$R$5:$R$238,MATCH($A78,'AC Estimate'!$A$5:$A$238,0))</f>
        <v>AIADMK+</v>
      </c>
      <c r="O78" s="7" t="str">
        <f aca="false">INDEX('AC Estimate'!$AL$5:$AL$238,MATCH($A78,'AC Estimate'!$A$5:$A$238,0))</f>
        <v>Yes</v>
      </c>
    </row>
    <row r="79" customFormat="false" ht="15" hidden="false" customHeight="false" outlineLevel="0" collapsed="false">
      <c r="A79" s="17" t="n">
        <v>128</v>
      </c>
      <c r="B79" s="7" t="str">
        <f aca="false">INDEX('AC Estimate'!$B$5:$B$238,MATCH($A79,'AC Estimate'!$A$5:$A$238,0))</f>
        <v>Oddanchatram</v>
      </c>
      <c r="C79" s="7" t="str">
        <f aca="false">INDEX('AC Estimate'!$C$5:$C$238,MATCH($A79,'AC Estimate'!$A$5:$A$238,0))</f>
        <v>Dindigul</v>
      </c>
      <c r="D79" s="7" t="n">
        <f aca="false">INDEX('AC Estimate'!$I$5:$I$238,MATCH($A79,'AC Estimate'!$A$5:$A$238,0))</f>
        <v>49</v>
      </c>
      <c r="E79" s="27" t="n">
        <f aca="false">INDEX('AC Estimate'!$J$5:$J$238,MATCH($A79,'AC Estimate'!$A$5:$A$238,0))</f>
        <v>0.346938775510204</v>
      </c>
      <c r="F79" s="27" t="n">
        <f aca="false">INDEX('AC Estimate'!$K$5:$K$238,MATCH($A79,'AC Estimate'!$A$5:$A$238,0))</f>
        <v>0.224489795918367</v>
      </c>
      <c r="G79" s="27" t="n">
        <f aca="false">INDEX('AC Estimate'!$L$5:$L$238,MATCH($A79,'AC Estimate'!$A$5:$A$238,0))</f>
        <v>0.0204081632653061</v>
      </c>
      <c r="H79" s="27" t="n">
        <f aca="false">INDEX('AC Estimate'!$M$5:$M$238,MATCH($A79,'AC Estimate'!$A$5:$A$238,0))</f>
        <v>0</v>
      </c>
      <c r="I79" s="27" t="n">
        <f aca="false">INDEX('AC Estimate'!$N$5:$N$238,MATCH($A79,'AC Estimate'!$A$5:$A$238,0))</f>
        <v>0.408163265306122</v>
      </c>
      <c r="J79" s="7" t="str">
        <f aca="false">INDEX('AC Estimate'!$P$5:$P$238,MATCH($A79,'AC Estimate'!$A$5:$A$238,0))</f>
        <v>TVK</v>
      </c>
      <c r="K79" s="7" t="str">
        <f aca="false">INDEX('AC Estimate'!$AK$5:$AK$238,MATCH($A79,'AC Estimate'!$A$5:$A$238,0))</f>
        <v>AIADMK+</v>
      </c>
      <c r="L79" s="27" t="n">
        <f aca="false">INDEX('AC Estimate'!$AM$5:$AM$238,MATCH($A79,'AC Estimate'!$A$5:$A$238,0))</f>
        <v>0.283408762209386</v>
      </c>
      <c r="M79" s="7" t="str">
        <f aca="false">INDEX('AC Estimate'!$Q$5:$Q$238,MATCH($A79,'AC Estimate'!$A$5:$A$238,0))</f>
        <v>DMK</v>
      </c>
      <c r="N79" s="7" t="str">
        <f aca="false">INDEX('AC Estimate'!$R$5:$R$238,MATCH($A79,'AC Estimate'!$A$5:$A$238,0))</f>
        <v>DMK+</v>
      </c>
      <c r="O79" s="7" t="str">
        <f aca="false">INDEX('AC Estimate'!$AL$5:$AL$238,MATCH($A79,'AC Estimate'!$A$5:$A$238,0))</f>
        <v>No</v>
      </c>
    </row>
    <row r="80" customFormat="false" ht="15" hidden="false" customHeight="false" outlineLevel="0" collapsed="false">
      <c r="A80" s="17" t="n">
        <v>129</v>
      </c>
      <c r="B80" s="7" t="str">
        <f aca="false">INDEX('AC Estimate'!$B$5:$B$238,MATCH($A80,'AC Estimate'!$A$5:$A$238,0))</f>
        <v>Athoor</v>
      </c>
      <c r="C80" s="7" t="str">
        <f aca="false">INDEX('AC Estimate'!$C$5:$C$238,MATCH($A80,'AC Estimate'!$A$5:$A$238,0))</f>
        <v>Dindigul</v>
      </c>
      <c r="D80" s="7" t="n">
        <f aca="false">INDEX('AC Estimate'!$I$5:$I$238,MATCH($A80,'AC Estimate'!$A$5:$A$238,0))</f>
        <v>59</v>
      </c>
      <c r="E80" s="27" t="n">
        <f aca="false">INDEX('AC Estimate'!$J$5:$J$238,MATCH($A80,'AC Estimate'!$A$5:$A$238,0))</f>
        <v>0.152542372881356</v>
      </c>
      <c r="F80" s="27" t="n">
        <f aca="false">INDEX('AC Estimate'!$K$5:$K$238,MATCH($A80,'AC Estimate'!$A$5:$A$238,0))</f>
        <v>0.406779661016949</v>
      </c>
      <c r="G80" s="27" t="n">
        <f aca="false">INDEX('AC Estimate'!$L$5:$L$238,MATCH($A80,'AC Estimate'!$A$5:$A$238,0))</f>
        <v>0</v>
      </c>
      <c r="H80" s="27" t="n">
        <f aca="false">INDEX('AC Estimate'!$M$5:$M$238,MATCH($A80,'AC Estimate'!$A$5:$A$238,0))</f>
        <v>0.0677966101694915</v>
      </c>
      <c r="I80" s="27" t="n">
        <f aca="false">INDEX('AC Estimate'!$N$5:$N$238,MATCH($A80,'AC Estimate'!$A$5:$A$238,0))</f>
        <v>0.372881355932203</v>
      </c>
      <c r="J80" s="7" t="str">
        <f aca="false">INDEX('AC Estimate'!$P$5:$P$238,MATCH($A80,'AC Estimate'!$A$5:$A$238,0))</f>
        <v>DMK+</v>
      </c>
      <c r="K80" s="7" t="str">
        <f aca="false">INDEX('AC Estimate'!$AK$5:$AK$238,MATCH($A80,'AC Estimate'!$A$5:$A$238,0))</f>
        <v>DMK+</v>
      </c>
      <c r="L80" s="27" t="n">
        <f aca="false">INDEX('AC Estimate'!$AM$5:$AM$238,MATCH($A80,'AC Estimate'!$A$5:$A$238,0))</f>
        <v>0.305810682577641</v>
      </c>
      <c r="M80" s="7" t="str">
        <f aca="false">INDEX('AC Estimate'!$Q$5:$Q$238,MATCH($A80,'AC Estimate'!$A$5:$A$238,0))</f>
        <v>DMK</v>
      </c>
      <c r="N80" s="7" t="str">
        <f aca="false">INDEX('AC Estimate'!$R$5:$R$238,MATCH($A80,'AC Estimate'!$A$5:$A$238,0))</f>
        <v>DMK+</v>
      </c>
      <c r="O80" s="7" t="str">
        <f aca="false">INDEX('AC Estimate'!$AL$5:$AL$238,MATCH($A80,'AC Estimate'!$A$5:$A$238,0))</f>
        <v>Yes</v>
      </c>
    </row>
    <row r="81" customFormat="false" ht="15" hidden="false" customHeight="false" outlineLevel="0" collapsed="false">
      <c r="A81" s="17" t="n">
        <v>130</v>
      </c>
      <c r="B81" s="7" t="str">
        <f aca="false">INDEX('AC Estimate'!$B$5:$B$238,MATCH($A81,'AC Estimate'!$A$5:$A$238,0))</f>
        <v>Nilakottai</v>
      </c>
      <c r="C81" s="7" t="str">
        <f aca="false">INDEX('AC Estimate'!$C$5:$C$238,MATCH($A81,'AC Estimate'!$A$5:$A$238,0))</f>
        <v>Dindigul</v>
      </c>
      <c r="D81" s="7" t="n">
        <f aca="false">INDEX('AC Estimate'!$I$5:$I$238,MATCH($A81,'AC Estimate'!$A$5:$A$238,0))</f>
        <v>32</v>
      </c>
      <c r="E81" s="27" t="n">
        <f aca="false">INDEX('AC Estimate'!$J$5:$J$238,MATCH($A81,'AC Estimate'!$A$5:$A$238,0))</f>
        <v>0.1875</v>
      </c>
      <c r="F81" s="27" t="n">
        <f aca="false">INDEX('AC Estimate'!$K$5:$K$238,MATCH($A81,'AC Estimate'!$A$5:$A$238,0))</f>
        <v>0.21875</v>
      </c>
      <c r="G81" s="27" t="n">
        <f aca="false">INDEX('AC Estimate'!$L$5:$L$238,MATCH($A81,'AC Estimate'!$A$5:$A$238,0))</f>
        <v>0</v>
      </c>
      <c r="H81" s="27" t="n">
        <f aca="false">INDEX('AC Estimate'!$M$5:$M$238,MATCH($A81,'AC Estimate'!$A$5:$A$238,0))</f>
        <v>0.09375</v>
      </c>
      <c r="I81" s="27" t="n">
        <f aca="false">INDEX('AC Estimate'!$N$5:$N$238,MATCH($A81,'AC Estimate'!$A$5:$A$238,0))</f>
        <v>0.5</v>
      </c>
      <c r="J81" s="7" t="str">
        <f aca="false">INDEX('AC Estimate'!$P$5:$P$238,MATCH($A81,'AC Estimate'!$A$5:$A$238,0))</f>
        <v>TVK</v>
      </c>
      <c r="K81" s="7" t="str">
        <f aca="false">INDEX('AC Estimate'!$AK$5:$AK$238,MATCH($A81,'AC Estimate'!$A$5:$A$238,0))</f>
        <v>DMK+</v>
      </c>
      <c r="L81" s="27" t="n">
        <f aca="false">INDEX('AC Estimate'!$AM$5:$AM$238,MATCH($A81,'AC Estimate'!$A$5:$A$238,0))</f>
        <v>0.370424161584686</v>
      </c>
      <c r="M81" s="7" t="str">
        <f aca="false">INDEX('AC Estimate'!$Q$5:$Q$238,MATCH($A81,'AC Estimate'!$A$5:$A$238,0))</f>
        <v>TVK</v>
      </c>
      <c r="N81" s="7" t="str">
        <f aca="false">INDEX('AC Estimate'!$R$5:$R$238,MATCH($A81,'AC Estimate'!$A$5:$A$238,0))</f>
        <v>TVK</v>
      </c>
      <c r="O81" s="7" t="str">
        <f aca="false">INDEX('AC Estimate'!$AL$5:$AL$238,MATCH($A81,'AC Estimate'!$A$5:$A$238,0))</f>
        <v>No</v>
      </c>
    </row>
    <row r="82" customFormat="false" ht="15" hidden="false" customHeight="false" outlineLevel="0" collapsed="false">
      <c r="A82" s="17" t="n">
        <v>131</v>
      </c>
      <c r="B82" s="7" t="str">
        <f aca="false">INDEX('AC Estimate'!$B$5:$B$238,MATCH($A82,'AC Estimate'!$A$5:$A$238,0))</f>
        <v>Natham</v>
      </c>
      <c r="C82" s="7" t="str">
        <f aca="false">INDEX('AC Estimate'!$C$5:$C$238,MATCH($A82,'AC Estimate'!$A$5:$A$238,0))</f>
        <v>Dindigul</v>
      </c>
      <c r="D82" s="7" t="n">
        <f aca="false">INDEX('AC Estimate'!$I$5:$I$238,MATCH($A82,'AC Estimate'!$A$5:$A$238,0))</f>
        <v>28</v>
      </c>
      <c r="E82" s="27" t="n">
        <f aca="false">INDEX('AC Estimate'!$J$5:$J$238,MATCH($A82,'AC Estimate'!$A$5:$A$238,0))</f>
        <v>0.107142857142857</v>
      </c>
      <c r="F82" s="27" t="n">
        <f aca="false">INDEX('AC Estimate'!$K$5:$K$238,MATCH($A82,'AC Estimate'!$A$5:$A$238,0))</f>
        <v>0.392857142857143</v>
      </c>
      <c r="G82" s="27" t="n">
        <f aca="false">INDEX('AC Estimate'!$L$5:$L$238,MATCH($A82,'AC Estimate'!$A$5:$A$238,0))</f>
        <v>0</v>
      </c>
      <c r="H82" s="27" t="n">
        <f aca="false">INDEX('AC Estimate'!$M$5:$M$238,MATCH($A82,'AC Estimate'!$A$5:$A$238,0))</f>
        <v>0.142857142857143</v>
      </c>
      <c r="I82" s="27" t="n">
        <f aca="false">INDEX('AC Estimate'!$N$5:$N$238,MATCH($A82,'AC Estimate'!$A$5:$A$238,0))</f>
        <v>0.357142857142857</v>
      </c>
      <c r="J82" s="7" t="str">
        <f aca="false">INDEX('AC Estimate'!$P$5:$P$238,MATCH($A82,'AC Estimate'!$A$5:$A$238,0))</f>
        <v>DMK+</v>
      </c>
      <c r="K82" s="7" t="str">
        <f aca="false">INDEX('AC Estimate'!$AK$5:$AK$238,MATCH($A82,'AC Estimate'!$A$5:$A$238,0))</f>
        <v>DMK+</v>
      </c>
      <c r="L82" s="27" t="n">
        <f aca="false">INDEX('AC Estimate'!$AM$5:$AM$238,MATCH($A82,'AC Estimate'!$A$5:$A$238,0))</f>
        <v>0.51298609590332</v>
      </c>
      <c r="M82" s="7" t="str">
        <f aca="false">INDEX('AC Estimate'!$Q$5:$Q$238,MATCH($A82,'AC Estimate'!$A$5:$A$238,0))</f>
        <v>AIADMK</v>
      </c>
      <c r="N82" s="7" t="str">
        <f aca="false">INDEX('AC Estimate'!$R$5:$R$238,MATCH($A82,'AC Estimate'!$A$5:$A$238,0))</f>
        <v>AIADMK+</v>
      </c>
      <c r="O82" s="7" t="str">
        <f aca="false">INDEX('AC Estimate'!$AL$5:$AL$238,MATCH($A82,'AC Estimate'!$A$5:$A$238,0))</f>
        <v>No</v>
      </c>
    </row>
    <row r="83" customFormat="false" ht="15" hidden="false" customHeight="false" outlineLevel="0" collapsed="false">
      <c r="A83" s="17" t="n">
        <v>132</v>
      </c>
      <c r="B83" s="7" t="str">
        <f aca="false">INDEX('AC Estimate'!$B$5:$B$238,MATCH($A83,'AC Estimate'!$A$5:$A$238,0))</f>
        <v>Dindigul</v>
      </c>
      <c r="C83" s="7" t="str">
        <f aca="false">INDEX('AC Estimate'!$C$5:$C$238,MATCH($A83,'AC Estimate'!$A$5:$A$238,0))</f>
        <v>Dindigul</v>
      </c>
      <c r="D83" s="7" t="n">
        <f aca="false">INDEX('AC Estimate'!$I$5:$I$238,MATCH($A83,'AC Estimate'!$A$5:$A$238,0))</f>
        <v>68</v>
      </c>
      <c r="E83" s="27" t="n">
        <f aca="false">INDEX('AC Estimate'!$J$5:$J$238,MATCH($A83,'AC Estimate'!$A$5:$A$238,0))</f>
        <v>0.25</v>
      </c>
      <c r="F83" s="27" t="n">
        <f aca="false">INDEX('AC Estimate'!$K$5:$K$238,MATCH($A83,'AC Estimate'!$A$5:$A$238,0))</f>
        <v>0.205882352941176</v>
      </c>
      <c r="G83" s="27" t="n">
        <f aca="false">INDEX('AC Estimate'!$L$5:$L$238,MATCH($A83,'AC Estimate'!$A$5:$A$238,0))</f>
        <v>0.0147058823529412</v>
      </c>
      <c r="H83" s="27" t="n">
        <f aca="false">INDEX('AC Estimate'!$M$5:$M$238,MATCH($A83,'AC Estimate'!$A$5:$A$238,0))</f>
        <v>0.0294117647058824</v>
      </c>
      <c r="I83" s="27" t="n">
        <f aca="false">INDEX('AC Estimate'!$N$5:$N$238,MATCH($A83,'AC Estimate'!$A$5:$A$238,0))</f>
        <v>0.5</v>
      </c>
      <c r="J83" s="7" t="str">
        <f aca="false">INDEX('AC Estimate'!$P$5:$P$238,MATCH($A83,'AC Estimate'!$A$5:$A$238,0))</f>
        <v>TVK</v>
      </c>
      <c r="K83" s="7" t="str">
        <f aca="false">INDEX('AC Estimate'!$AK$5:$AK$238,MATCH($A83,'AC Estimate'!$A$5:$A$238,0))</f>
        <v>TVK</v>
      </c>
      <c r="L83" s="27" t="n">
        <f aca="false">INDEX('AC Estimate'!$AM$5:$AM$238,MATCH($A83,'AC Estimate'!$A$5:$A$238,0))</f>
        <v>0.629199448057287</v>
      </c>
      <c r="M83" s="7" t="str">
        <f aca="false">INDEX('AC Estimate'!$Q$5:$Q$238,MATCH($A83,'AC Estimate'!$A$5:$A$238,0))</f>
        <v>DMK</v>
      </c>
      <c r="N83" s="7" t="str">
        <f aca="false">INDEX('AC Estimate'!$R$5:$R$238,MATCH($A83,'AC Estimate'!$A$5:$A$238,0))</f>
        <v>DMK+</v>
      </c>
      <c r="O83" s="7" t="str">
        <f aca="false">INDEX('AC Estimate'!$AL$5:$AL$238,MATCH($A83,'AC Estimate'!$A$5:$A$238,0))</f>
        <v>No</v>
      </c>
    </row>
    <row r="84" customFormat="false" ht="15" hidden="false" customHeight="false" outlineLevel="0" collapsed="false">
      <c r="A84" s="17" t="n">
        <v>133</v>
      </c>
      <c r="B84" s="7" t="str">
        <f aca="false">INDEX('AC Estimate'!$B$5:$B$238,MATCH($A84,'AC Estimate'!$A$5:$A$238,0))</f>
        <v>Vedasandur</v>
      </c>
      <c r="C84" s="7" t="str">
        <f aca="false">INDEX('AC Estimate'!$C$5:$C$238,MATCH($A84,'AC Estimate'!$A$5:$A$238,0))</f>
        <v>Dindigul</v>
      </c>
      <c r="D84" s="7" t="n">
        <f aca="false">INDEX('AC Estimate'!$I$5:$I$238,MATCH($A84,'AC Estimate'!$A$5:$A$238,0))</f>
        <v>44</v>
      </c>
      <c r="E84" s="27" t="n">
        <f aca="false">INDEX('AC Estimate'!$J$5:$J$238,MATCH($A84,'AC Estimate'!$A$5:$A$238,0))</f>
        <v>0.204545454545455</v>
      </c>
      <c r="F84" s="27" t="n">
        <f aca="false">INDEX('AC Estimate'!$K$5:$K$238,MATCH($A84,'AC Estimate'!$A$5:$A$238,0))</f>
        <v>0.295454545454545</v>
      </c>
      <c r="G84" s="27" t="n">
        <f aca="false">INDEX('AC Estimate'!$L$5:$L$238,MATCH($A84,'AC Estimate'!$A$5:$A$238,0))</f>
        <v>0</v>
      </c>
      <c r="H84" s="27" t="n">
        <f aca="false">INDEX('AC Estimate'!$M$5:$M$238,MATCH($A84,'AC Estimate'!$A$5:$A$238,0))</f>
        <v>0.0909090909090909</v>
      </c>
      <c r="I84" s="27" t="n">
        <f aca="false">INDEX('AC Estimate'!$N$5:$N$238,MATCH($A84,'AC Estimate'!$A$5:$A$238,0))</f>
        <v>0.409090909090909</v>
      </c>
      <c r="J84" s="7" t="str">
        <f aca="false">INDEX('AC Estimate'!$P$5:$P$238,MATCH($A84,'AC Estimate'!$A$5:$A$238,0))</f>
        <v>TVK</v>
      </c>
      <c r="K84" s="7" t="str">
        <f aca="false">INDEX('AC Estimate'!$AK$5:$AK$238,MATCH($A84,'AC Estimate'!$A$5:$A$238,0))</f>
        <v>DMK+</v>
      </c>
      <c r="L84" s="27" t="n">
        <f aca="false">INDEX('AC Estimate'!$AM$5:$AM$238,MATCH($A84,'AC Estimate'!$A$5:$A$238,0))</f>
        <v>0.330598479353847</v>
      </c>
      <c r="M84" s="7" t="str">
        <f aca="false">INDEX('AC Estimate'!$Q$5:$Q$238,MATCH($A84,'AC Estimate'!$A$5:$A$238,0))</f>
        <v>DMK</v>
      </c>
      <c r="N84" s="7" t="str">
        <f aca="false">INDEX('AC Estimate'!$R$5:$R$238,MATCH($A84,'AC Estimate'!$A$5:$A$238,0))</f>
        <v>DMK+</v>
      </c>
      <c r="O84" s="7" t="str">
        <f aca="false">INDEX('AC Estimate'!$AL$5:$AL$238,MATCH($A84,'AC Estimate'!$A$5:$A$238,0))</f>
        <v>Yes</v>
      </c>
    </row>
    <row r="85" customFormat="false" ht="15" hidden="false" customHeight="false" outlineLevel="0" collapsed="false">
      <c r="A85" s="33"/>
      <c r="B85" s="34" t="s">
        <v>105</v>
      </c>
      <c r="C85" s="33"/>
      <c r="D85" s="34" t="n">
        <f aca="false">SUM(D78:D84)</f>
        <v>322</v>
      </c>
      <c r="E85" s="33"/>
      <c r="F85" s="33"/>
      <c r="G85" s="33"/>
      <c r="H85" s="33"/>
      <c r="I85" s="33"/>
      <c r="J85" s="34" t="s">
        <v>92</v>
      </c>
      <c r="K85" s="34" t="str">
        <f aca="false">COUNTIF(K78:K84,"TVK")&amp;" / "&amp;COUNTIF(K78:K84,"AIADMK+")&amp;" / "&amp;COUNTIF(K78:K84,"DMK+")</f>
        <v>1 / 2 / 4</v>
      </c>
      <c r="L85" s="33"/>
      <c r="M85" s="34" t="s">
        <v>93</v>
      </c>
      <c r="N85" s="34" t="str">
        <f aca="false">COUNTIF(N78:N84,"TVK")&amp;" / "&amp;COUNTIF(N78:N84,"AIADMK+")&amp;" / "&amp;COUNTIF(N78:N84,"DMK+")</f>
        <v>1 / 2 / 4</v>
      </c>
      <c r="O85" s="34" t="str">
        <f aca="false">IF(AND(ABS(COUNTIF(K78:K84,"TVK")-COUNTIF(N78:N84,"TVK"))&lt;=Calibration!$B$3,ABS(COUNTIF(K78:K84,"AIADMK+")-COUNTIF(N78:N84,"AIADMK+"))&lt;=Calibration!$B$3,ABS(COUNTIF(K78:K84,"DMK+")-COUNTIF(N78:N84,"DMK+"))&lt;=Calibration!$B$3),"Within","Off")</f>
        <v>Within</v>
      </c>
    </row>
    <row r="87" customFormat="false" ht="15" hidden="false" customHeight="false" outlineLevel="0" collapsed="false">
      <c r="A87" s="31" t="s">
        <v>106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customFormat="false" ht="15" hidden="false" customHeight="false" outlineLevel="0" collapsed="false">
      <c r="A88" s="17" t="n">
        <v>98</v>
      </c>
      <c r="B88" s="7" t="str">
        <f aca="false">INDEX('AC Estimate'!$B$5:$B$238,MATCH($A88,'AC Estimate'!$A$5:$A$238,0))</f>
        <v>Erode (East)</v>
      </c>
      <c r="C88" s="7" t="str">
        <f aca="false">INDEX('AC Estimate'!$C$5:$C$238,MATCH($A88,'AC Estimate'!$A$5:$A$238,0))</f>
        <v>Erode</v>
      </c>
      <c r="D88" s="7" t="n">
        <f aca="false">INDEX('AC Estimate'!$I$5:$I$238,MATCH($A88,'AC Estimate'!$A$5:$A$238,0))</f>
        <v>52</v>
      </c>
      <c r="E88" s="27" t="n">
        <f aca="false">INDEX('AC Estimate'!$J$5:$J$238,MATCH($A88,'AC Estimate'!$A$5:$A$238,0))</f>
        <v>0.346153846153846</v>
      </c>
      <c r="F88" s="27" t="n">
        <f aca="false">INDEX('AC Estimate'!$K$5:$K$238,MATCH($A88,'AC Estimate'!$A$5:$A$238,0))</f>
        <v>0.115384615384615</v>
      </c>
      <c r="G88" s="27" t="n">
        <f aca="false">INDEX('AC Estimate'!$L$5:$L$238,MATCH($A88,'AC Estimate'!$A$5:$A$238,0))</f>
        <v>0</v>
      </c>
      <c r="H88" s="27" t="n">
        <f aca="false">INDEX('AC Estimate'!$M$5:$M$238,MATCH($A88,'AC Estimate'!$A$5:$A$238,0))</f>
        <v>0.0192307692307692</v>
      </c>
      <c r="I88" s="27" t="n">
        <f aca="false">INDEX('AC Estimate'!$N$5:$N$238,MATCH($A88,'AC Estimate'!$A$5:$A$238,0))</f>
        <v>0.519230769230769</v>
      </c>
      <c r="J88" s="7" t="str">
        <f aca="false">INDEX('AC Estimate'!$P$5:$P$238,MATCH($A88,'AC Estimate'!$A$5:$A$238,0))</f>
        <v>TVK</v>
      </c>
      <c r="K88" s="7" t="str">
        <f aca="false">INDEX('AC Estimate'!$AK$5:$AK$238,MATCH($A88,'AC Estimate'!$A$5:$A$238,0))</f>
        <v>TVK</v>
      </c>
      <c r="L88" s="27" t="n">
        <f aca="false">INDEX('AC Estimate'!$AM$5:$AM$238,MATCH($A88,'AC Estimate'!$A$5:$A$238,0))</f>
        <v>0.484972227509571</v>
      </c>
      <c r="M88" s="7" t="str">
        <f aca="false">INDEX('AC Estimate'!$Q$5:$Q$238,MATCH($A88,'AC Estimate'!$A$5:$A$238,0))</f>
        <v>TVK</v>
      </c>
      <c r="N88" s="7" t="str">
        <f aca="false">INDEX('AC Estimate'!$R$5:$R$238,MATCH($A88,'AC Estimate'!$A$5:$A$238,0))</f>
        <v>TVK</v>
      </c>
      <c r="O88" s="7" t="str">
        <f aca="false">INDEX('AC Estimate'!$AL$5:$AL$238,MATCH($A88,'AC Estimate'!$A$5:$A$238,0))</f>
        <v>Yes</v>
      </c>
    </row>
    <row r="89" customFormat="false" ht="15" hidden="false" customHeight="false" outlineLevel="0" collapsed="false">
      <c r="A89" s="17" t="n">
        <v>99</v>
      </c>
      <c r="B89" s="7" t="str">
        <f aca="false">INDEX('AC Estimate'!$B$5:$B$238,MATCH($A89,'AC Estimate'!$A$5:$A$238,0))</f>
        <v>Erode (West)</v>
      </c>
      <c r="C89" s="7" t="str">
        <f aca="false">INDEX('AC Estimate'!$C$5:$C$238,MATCH($A89,'AC Estimate'!$A$5:$A$238,0))</f>
        <v>Erode</v>
      </c>
      <c r="D89" s="7" t="n">
        <f aca="false">INDEX('AC Estimate'!$I$5:$I$238,MATCH($A89,'AC Estimate'!$A$5:$A$238,0))</f>
        <v>70</v>
      </c>
      <c r="E89" s="27" t="n">
        <f aca="false">INDEX('AC Estimate'!$J$5:$J$238,MATCH($A89,'AC Estimate'!$A$5:$A$238,0))</f>
        <v>0.442857142857143</v>
      </c>
      <c r="F89" s="27" t="n">
        <f aca="false">INDEX('AC Estimate'!$K$5:$K$238,MATCH($A89,'AC Estimate'!$A$5:$A$238,0))</f>
        <v>0.3</v>
      </c>
      <c r="G89" s="27" t="n">
        <f aca="false">INDEX('AC Estimate'!$L$5:$L$238,MATCH($A89,'AC Estimate'!$A$5:$A$238,0))</f>
        <v>0</v>
      </c>
      <c r="H89" s="27" t="n">
        <f aca="false">INDEX('AC Estimate'!$M$5:$M$238,MATCH($A89,'AC Estimate'!$A$5:$A$238,0))</f>
        <v>0.0285714285714286</v>
      </c>
      <c r="I89" s="27" t="n">
        <f aca="false">INDEX('AC Estimate'!$N$5:$N$238,MATCH($A89,'AC Estimate'!$A$5:$A$238,0))</f>
        <v>0.228571428571429</v>
      </c>
      <c r="J89" s="7" t="str">
        <f aca="false">INDEX('AC Estimate'!$P$5:$P$238,MATCH($A89,'AC Estimate'!$A$5:$A$238,0))</f>
        <v>AIADMK+</v>
      </c>
      <c r="K89" s="7" t="str">
        <f aca="false">INDEX('AC Estimate'!$AK$5:$AK$238,MATCH($A89,'AC Estimate'!$A$5:$A$238,0))</f>
        <v>TVK</v>
      </c>
      <c r="L89" s="27" t="n">
        <f aca="false">INDEX('AC Estimate'!$AM$5:$AM$238,MATCH($A89,'AC Estimate'!$A$5:$A$238,0))</f>
        <v>0.533266369764264</v>
      </c>
      <c r="M89" s="7" t="str">
        <f aca="false">INDEX('AC Estimate'!$Q$5:$Q$238,MATCH($A89,'AC Estimate'!$A$5:$A$238,0))</f>
        <v>TVK</v>
      </c>
      <c r="N89" s="7" t="str">
        <f aca="false">INDEX('AC Estimate'!$R$5:$R$238,MATCH($A89,'AC Estimate'!$A$5:$A$238,0))</f>
        <v>TVK</v>
      </c>
      <c r="O89" s="7" t="str">
        <f aca="false">INDEX('AC Estimate'!$AL$5:$AL$238,MATCH($A89,'AC Estimate'!$A$5:$A$238,0))</f>
        <v>Yes</v>
      </c>
    </row>
    <row r="90" customFormat="false" ht="15" hidden="false" customHeight="false" outlineLevel="0" collapsed="false">
      <c r="A90" s="17" t="n">
        <v>100</v>
      </c>
      <c r="B90" s="7" t="str">
        <f aca="false">INDEX('AC Estimate'!$B$5:$B$238,MATCH($A90,'AC Estimate'!$A$5:$A$238,0))</f>
        <v>Modakkurichi</v>
      </c>
      <c r="C90" s="7" t="str">
        <f aca="false">INDEX('AC Estimate'!$C$5:$C$238,MATCH($A90,'AC Estimate'!$A$5:$A$238,0))</f>
        <v>Erode</v>
      </c>
      <c r="D90" s="7" t="n">
        <f aca="false">INDEX('AC Estimate'!$I$5:$I$238,MATCH($A90,'AC Estimate'!$A$5:$A$238,0))</f>
        <v>31</v>
      </c>
      <c r="E90" s="27" t="n">
        <f aca="false">INDEX('AC Estimate'!$J$5:$J$238,MATCH($A90,'AC Estimate'!$A$5:$A$238,0))</f>
        <v>0.451612903225806</v>
      </c>
      <c r="F90" s="27" t="n">
        <f aca="false">INDEX('AC Estimate'!$K$5:$K$238,MATCH($A90,'AC Estimate'!$A$5:$A$238,0))</f>
        <v>0.193548387096774</v>
      </c>
      <c r="G90" s="27" t="n">
        <f aca="false">INDEX('AC Estimate'!$L$5:$L$238,MATCH($A90,'AC Estimate'!$A$5:$A$238,0))</f>
        <v>0</v>
      </c>
      <c r="H90" s="27" t="n">
        <f aca="false">INDEX('AC Estimate'!$M$5:$M$238,MATCH($A90,'AC Estimate'!$A$5:$A$238,0))</f>
        <v>0.193548387096774</v>
      </c>
      <c r="I90" s="27" t="n">
        <f aca="false">INDEX('AC Estimate'!$N$5:$N$238,MATCH($A90,'AC Estimate'!$A$5:$A$238,0))</f>
        <v>0.161290322580645</v>
      </c>
      <c r="J90" s="7" t="str">
        <f aca="false">INDEX('AC Estimate'!$P$5:$P$238,MATCH($A90,'AC Estimate'!$A$5:$A$238,0))</f>
        <v>AIADMK+</v>
      </c>
      <c r="K90" s="7" t="str">
        <f aca="false">INDEX('AC Estimate'!$AK$5:$AK$238,MATCH($A90,'AC Estimate'!$A$5:$A$238,0))</f>
        <v>AIADMK+</v>
      </c>
      <c r="L90" s="27" t="n">
        <f aca="false">INDEX('AC Estimate'!$AM$5:$AM$238,MATCH($A90,'AC Estimate'!$A$5:$A$238,0))</f>
        <v>0.48094062984716</v>
      </c>
      <c r="M90" s="7" t="str">
        <f aca="false">INDEX('AC Estimate'!$Q$5:$Q$238,MATCH($A90,'AC Estimate'!$A$5:$A$238,0))</f>
        <v>TVK</v>
      </c>
      <c r="N90" s="7" t="str">
        <f aca="false">INDEX('AC Estimate'!$R$5:$R$238,MATCH($A90,'AC Estimate'!$A$5:$A$238,0))</f>
        <v>TVK</v>
      </c>
      <c r="O90" s="7" t="str">
        <f aca="false">INDEX('AC Estimate'!$AL$5:$AL$238,MATCH($A90,'AC Estimate'!$A$5:$A$238,0))</f>
        <v>No</v>
      </c>
    </row>
    <row r="91" customFormat="false" ht="15" hidden="false" customHeight="false" outlineLevel="0" collapsed="false">
      <c r="A91" s="17" t="n">
        <v>103</v>
      </c>
      <c r="B91" s="7" t="str">
        <f aca="false">INDEX('AC Estimate'!$B$5:$B$238,MATCH($A91,'AC Estimate'!$A$5:$A$238,0))</f>
        <v>Perundurai</v>
      </c>
      <c r="C91" s="7" t="str">
        <f aca="false">INDEX('AC Estimate'!$C$5:$C$238,MATCH($A91,'AC Estimate'!$A$5:$A$238,0))</f>
        <v>Erode</v>
      </c>
      <c r="D91" s="7" t="n">
        <f aca="false">INDEX('AC Estimate'!$I$5:$I$238,MATCH($A91,'AC Estimate'!$A$5:$A$238,0))</f>
        <v>27</v>
      </c>
      <c r="E91" s="27" t="n">
        <f aca="false">INDEX('AC Estimate'!$J$5:$J$238,MATCH($A91,'AC Estimate'!$A$5:$A$238,0))</f>
        <v>0.481481481481481</v>
      </c>
      <c r="F91" s="27" t="n">
        <f aca="false">INDEX('AC Estimate'!$K$5:$K$238,MATCH($A91,'AC Estimate'!$A$5:$A$238,0))</f>
        <v>0.111111111111111</v>
      </c>
      <c r="G91" s="27" t="n">
        <f aca="false">INDEX('AC Estimate'!$L$5:$L$238,MATCH($A91,'AC Estimate'!$A$5:$A$238,0))</f>
        <v>0.037037037037037</v>
      </c>
      <c r="H91" s="27" t="n">
        <f aca="false">INDEX('AC Estimate'!$M$5:$M$238,MATCH($A91,'AC Estimate'!$A$5:$A$238,0))</f>
        <v>0</v>
      </c>
      <c r="I91" s="27" t="n">
        <f aca="false">INDEX('AC Estimate'!$N$5:$N$238,MATCH($A91,'AC Estimate'!$A$5:$A$238,0))</f>
        <v>0.37037037037037</v>
      </c>
      <c r="J91" s="7" t="str">
        <f aca="false">INDEX('AC Estimate'!$P$5:$P$238,MATCH($A91,'AC Estimate'!$A$5:$A$238,0))</f>
        <v>TVK</v>
      </c>
      <c r="K91" s="7" t="str">
        <f aca="false">INDEX('AC Estimate'!$AK$5:$AK$238,MATCH($A91,'AC Estimate'!$A$5:$A$238,0))</f>
        <v>AIADMK+</v>
      </c>
      <c r="L91" s="27" t="n">
        <f aca="false">INDEX('AC Estimate'!$AM$5:$AM$238,MATCH($A91,'AC Estimate'!$A$5:$A$238,0))</f>
        <v>0.527125962292819</v>
      </c>
      <c r="M91" s="7" t="str">
        <f aca="false">INDEX('AC Estimate'!$Q$5:$Q$238,MATCH($A91,'AC Estimate'!$A$5:$A$238,0))</f>
        <v>AIADMK</v>
      </c>
      <c r="N91" s="7" t="str">
        <f aca="false">INDEX('AC Estimate'!$R$5:$R$238,MATCH($A91,'AC Estimate'!$A$5:$A$238,0))</f>
        <v>AIADMK+</v>
      </c>
      <c r="O91" s="7" t="str">
        <f aca="false">INDEX('AC Estimate'!$AL$5:$AL$238,MATCH($A91,'AC Estimate'!$A$5:$A$238,0))</f>
        <v>Yes</v>
      </c>
    </row>
    <row r="92" customFormat="false" ht="15" hidden="false" customHeight="false" outlineLevel="0" collapsed="false">
      <c r="A92" s="17" t="n">
        <v>104</v>
      </c>
      <c r="B92" s="7" t="str">
        <f aca="false">INDEX('AC Estimate'!$B$5:$B$238,MATCH($A92,'AC Estimate'!$A$5:$A$238,0))</f>
        <v>Bhavani</v>
      </c>
      <c r="C92" s="7" t="str">
        <f aca="false">INDEX('AC Estimate'!$C$5:$C$238,MATCH($A92,'AC Estimate'!$A$5:$A$238,0))</f>
        <v>Erode</v>
      </c>
      <c r="D92" s="7" t="n">
        <f aca="false">INDEX('AC Estimate'!$I$5:$I$238,MATCH($A92,'AC Estimate'!$A$5:$A$238,0))</f>
        <v>53</v>
      </c>
      <c r="E92" s="27" t="n">
        <f aca="false">INDEX('AC Estimate'!$J$5:$J$238,MATCH($A92,'AC Estimate'!$A$5:$A$238,0))</f>
        <v>0.245283018867925</v>
      </c>
      <c r="F92" s="27" t="n">
        <f aca="false">INDEX('AC Estimate'!$K$5:$K$238,MATCH($A92,'AC Estimate'!$A$5:$A$238,0))</f>
        <v>0.415094339622642</v>
      </c>
      <c r="G92" s="27" t="n">
        <f aca="false">INDEX('AC Estimate'!$L$5:$L$238,MATCH($A92,'AC Estimate'!$A$5:$A$238,0))</f>
        <v>0.0188679245283019</v>
      </c>
      <c r="H92" s="27" t="n">
        <f aca="false">INDEX('AC Estimate'!$M$5:$M$238,MATCH($A92,'AC Estimate'!$A$5:$A$238,0))</f>
        <v>0.0188679245283019</v>
      </c>
      <c r="I92" s="27" t="n">
        <f aca="false">INDEX('AC Estimate'!$N$5:$N$238,MATCH($A92,'AC Estimate'!$A$5:$A$238,0))</f>
        <v>0.30188679245283</v>
      </c>
      <c r="J92" s="7" t="str">
        <f aca="false">INDEX('AC Estimate'!$P$5:$P$238,MATCH($A92,'AC Estimate'!$A$5:$A$238,0))</f>
        <v>DMK+</v>
      </c>
      <c r="K92" s="7" t="str">
        <f aca="false">INDEX('AC Estimate'!$AK$5:$AK$238,MATCH($A92,'AC Estimate'!$A$5:$A$238,0))</f>
        <v>TVK</v>
      </c>
      <c r="L92" s="27" t="n">
        <f aca="false">INDEX('AC Estimate'!$AM$5:$AM$238,MATCH($A92,'AC Estimate'!$A$5:$A$238,0))</f>
        <v>0.421783403550874</v>
      </c>
      <c r="M92" s="7" t="str">
        <f aca="false">INDEX('AC Estimate'!$Q$5:$Q$238,MATCH($A92,'AC Estimate'!$A$5:$A$238,0))</f>
        <v>AIADMK</v>
      </c>
      <c r="N92" s="7" t="str">
        <f aca="false">INDEX('AC Estimate'!$R$5:$R$238,MATCH($A92,'AC Estimate'!$A$5:$A$238,0))</f>
        <v>AIADMK+</v>
      </c>
      <c r="O92" s="7" t="str">
        <f aca="false">INDEX('AC Estimate'!$AL$5:$AL$238,MATCH($A92,'AC Estimate'!$A$5:$A$238,0))</f>
        <v>No</v>
      </c>
    </row>
    <row r="93" customFormat="false" ht="15" hidden="false" customHeight="false" outlineLevel="0" collapsed="false">
      <c r="A93" s="17" t="n">
        <v>105</v>
      </c>
      <c r="B93" s="7" t="str">
        <f aca="false">INDEX('AC Estimate'!$B$5:$B$238,MATCH($A93,'AC Estimate'!$A$5:$A$238,0))</f>
        <v>Anthiyur</v>
      </c>
      <c r="C93" s="7" t="str">
        <f aca="false">INDEX('AC Estimate'!$C$5:$C$238,MATCH($A93,'AC Estimate'!$A$5:$A$238,0))</f>
        <v>Erode</v>
      </c>
      <c r="D93" s="7" t="n">
        <f aca="false">INDEX('AC Estimate'!$I$5:$I$238,MATCH($A93,'AC Estimate'!$A$5:$A$238,0))</f>
        <v>38</v>
      </c>
      <c r="E93" s="27" t="n">
        <f aca="false">INDEX('AC Estimate'!$J$5:$J$238,MATCH($A93,'AC Estimate'!$A$5:$A$238,0))</f>
        <v>0.421052631578947</v>
      </c>
      <c r="F93" s="27" t="n">
        <f aca="false">INDEX('AC Estimate'!$K$5:$K$238,MATCH($A93,'AC Estimate'!$A$5:$A$238,0))</f>
        <v>0.131578947368421</v>
      </c>
      <c r="G93" s="27" t="n">
        <f aca="false">INDEX('AC Estimate'!$L$5:$L$238,MATCH($A93,'AC Estimate'!$A$5:$A$238,0))</f>
        <v>0</v>
      </c>
      <c r="H93" s="27" t="n">
        <f aca="false">INDEX('AC Estimate'!$M$5:$M$238,MATCH($A93,'AC Estimate'!$A$5:$A$238,0))</f>
        <v>0.105263157894737</v>
      </c>
      <c r="I93" s="27" t="n">
        <f aca="false">INDEX('AC Estimate'!$N$5:$N$238,MATCH($A93,'AC Estimate'!$A$5:$A$238,0))</f>
        <v>0.342105263157895</v>
      </c>
      <c r="J93" s="7" t="str">
        <f aca="false">INDEX('AC Estimate'!$P$5:$P$238,MATCH($A93,'AC Estimate'!$A$5:$A$238,0))</f>
        <v>AIADMK+</v>
      </c>
      <c r="K93" s="7" t="str">
        <f aca="false">INDEX('AC Estimate'!$AK$5:$AK$238,MATCH($A93,'AC Estimate'!$A$5:$A$238,0))</f>
        <v>TVK</v>
      </c>
      <c r="L93" s="27" t="n">
        <f aca="false">INDEX('AC Estimate'!$AM$5:$AM$238,MATCH($A93,'AC Estimate'!$A$5:$A$238,0))</f>
        <v>0.314783257100698</v>
      </c>
      <c r="M93" s="7" t="str">
        <f aca="false">INDEX('AC Estimate'!$Q$5:$Q$238,MATCH($A93,'AC Estimate'!$A$5:$A$238,0))</f>
        <v>AIADMK</v>
      </c>
      <c r="N93" s="7" t="str">
        <f aca="false">INDEX('AC Estimate'!$R$5:$R$238,MATCH($A93,'AC Estimate'!$A$5:$A$238,0))</f>
        <v>AIADMK+</v>
      </c>
      <c r="O93" s="7" t="str">
        <f aca="false">INDEX('AC Estimate'!$AL$5:$AL$238,MATCH($A93,'AC Estimate'!$A$5:$A$238,0))</f>
        <v>No</v>
      </c>
    </row>
    <row r="94" customFormat="false" ht="15" hidden="false" customHeight="false" outlineLevel="0" collapsed="false">
      <c r="A94" s="17" t="n">
        <v>106</v>
      </c>
      <c r="B94" s="7" t="str">
        <f aca="false">INDEX('AC Estimate'!$B$5:$B$238,MATCH($A94,'AC Estimate'!$A$5:$A$238,0))</f>
        <v>Gobichettipalayam</v>
      </c>
      <c r="C94" s="7" t="str">
        <f aca="false">INDEX('AC Estimate'!$C$5:$C$238,MATCH($A94,'AC Estimate'!$A$5:$A$238,0))</f>
        <v>Erode</v>
      </c>
      <c r="D94" s="7" t="n">
        <f aca="false">INDEX('AC Estimate'!$I$5:$I$238,MATCH($A94,'AC Estimate'!$A$5:$A$238,0))</f>
        <v>52</v>
      </c>
      <c r="E94" s="27" t="n">
        <f aca="false">INDEX('AC Estimate'!$J$5:$J$238,MATCH($A94,'AC Estimate'!$A$5:$A$238,0))</f>
        <v>0.442307692307692</v>
      </c>
      <c r="F94" s="27" t="n">
        <f aca="false">INDEX('AC Estimate'!$K$5:$K$238,MATCH($A94,'AC Estimate'!$A$5:$A$238,0))</f>
        <v>0.0576923076923077</v>
      </c>
      <c r="G94" s="27" t="n">
        <f aca="false">INDEX('AC Estimate'!$L$5:$L$238,MATCH($A94,'AC Estimate'!$A$5:$A$238,0))</f>
        <v>0</v>
      </c>
      <c r="H94" s="27" t="n">
        <f aca="false">INDEX('AC Estimate'!$M$5:$M$238,MATCH($A94,'AC Estimate'!$A$5:$A$238,0))</f>
        <v>0.0769230769230769</v>
      </c>
      <c r="I94" s="27" t="n">
        <f aca="false">INDEX('AC Estimate'!$N$5:$N$238,MATCH($A94,'AC Estimate'!$A$5:$A$238,0))</f>
        <v>0.423076923076923</v>
      </c>
      <c r="J94" s="7" t="str">
        <f aca="false">INDEX('AC Estimate'!$P$5:$P$238,MATCH($A94,'AC Estimate'!$A$5:$A$238,0))</f>
        <v>AIADMK+</v>
      </c>
      <c r="K94" s="7" t="str">
        <f aca="false">INDEX('AC Estimate'!$AK$5:$AK$238,MATCH($A94,'AC Estimate'!$A$5:$A$238,0))</f>
        <v>TVK</v>
      </c>
      <c r="L94" s="27" t="n">
        <f aca="false">INDEX('AC Estimate'!$AM$5:$AM$238,MATCH($A94,'AC Estimate'!$A$5:$A$238,0))</f>
        <v>0.457895817755872</v>
      </c>
      <c r="M94" s="7" t="str">
        <f aca="false">INDEX('AC Estimate'!$Q$5:$Q$238,MATCH($A94,'AC Estimate'!$A$5:$A$238,0))</f>
        <v>TVK</v>
      </c>
      <c r="N94" s="7" t="str">
        <f aca="false">INDEX('AC Estimate'!$R$5:$R$238,MATCH($A94,'AC Estimate'!$A$5:$A$238,0))</f>
        <v>TVK</v>
      </c>
      <c r="O94" s="7" t="str">
        <f aca="false">INDEX('AC Estimate'!$AL$5:$AL$238,MATCH($A94,'AC Estimate'!$A$5:$A$238,0))</f>
        <v>Yes</v>
      </c>
    </row>
    <row r="95" customFormat="false" ht="15" hidden="false" customHeight="false" outlineLevel="0" collapsed="false">
      <c r="A95" s="17" t="n">
        <v>107</v>
      </c>
      <c r="B95" s="7" t="str">
        <f aca="false">INDEX('AC Estimate'!$B$5:$B$238,MATCH($A95,'AC Estimate'!$A$5:$A$238,0))</f>
        <v>Bhavanisagar</v>
      </c>
      <c r="C95" s="7" t="str">
        <f aca="false">INDEX('AC Estimate'!$C$5:$C$238,MATCH($A95,'AC Estimate'!$A$5:$A$238,0))</f>
        <v>Erode</v>
      </c>
      <c r="D95" s="7" t="n">
        <f aca="false">INDEX('AC Estimate'!$I$5:$I$238,MATCH($A95,'AC Estimate'!$A$5:$A$238,0))</f>
        <v>30</v>
      </c>
      <c r="E95" s="27" t="n">
        <f aca="false">INDEX('AC Estimate'!$J$5:$J$238,MATCH($A95,'AC Estimate'!$A$5:$A$238,0))</f>
        <v>0.333333333333333</v>
      </c>
      <c r="F95" s="27" t="n">
        <f aca="false">INDEX('AC Estimate'!$K$5:$K$238,MATCH($A95,'AC Estimate'!$A$5:$A$238,0))</f>
        <v>0.2</v>
      </c>
      <c r="G95" s="27" t="n">
        <f aca="false">INDEX('AC Estimate'!$L$5:$L$238,MATCH($A95,'AC Estimate'!$A$5:$A$238,0))</f>
        <v>0</v>
      </c>
      <c r="H95" s="27" t="n">
        <f aca="false">INDEX('AC Estimate'!$M$5:$M$238,MATCH($A95,'AC Estimate'!$A$5:$A$238,0))</f>
        <v>0.1</v>
      </c>
      <c r="I95" s="27" t="n">
        <f aca="false">INDEX('AC Estimate'!$N$5:$N$238,MATCH($A95,'AC Estimate'!$A$5:$A$238,0))</f>
        <v>0.366666666666667</v>
      </c>
      <c r="J95" s="7" t="str">
        <f aca="false">INDEX('AC Estimate'!$P$5:$P$238,MATCH($A95,'AC Estimate'!$A$5:$A$238,0))</f>
        <v>TVK</v>
      </c>
      <c r="K95" s="7" t="str">
        <f aca="false">INDEX('AC Estimate'!$AK$5:$AK$238,MATCH($A95,'AC Estimate'!$A$5:$A$238,0))</f>
        <v>AIADMK+</v>
      </c>
      <c r="L95" s="27" t="n">
        <f aca="false">INDEX('AC Estimate'!$AM$5:$AM$238,MATCH($A95,'AC Estimate'!$A$5:$A$238,0))</f>
        <v>0.432000474767916</v>
      </c>
      <c r="M95" s="7" t="str">
        <f aca="false">INDEX('AC Estimate'!$Q$5:$Q$238,MATCH($A95,'AC Estimate'!$A$5:$A$238,0))</f>
        <v>TVK</v>
      </c>
      <c r="N95" s="7" t="str">
        <f aca="false">INDEX('AC Estimate'!$R$5:$R$238,MATCH($A95,'AC Estimate'!$A$5:$A$238,0))</f>
        <v>TVK</v>
      </c>
      <c r="O95" s="7" t="str">
        <f aca="false">INDEX('AC Estimate'!$AL$5:$AL$238,MATCH($A95,'AC Estimate'!$A$5:$A$238,0))</f>
        <v>No</v>
      </c>
    </row>
    <row r="96" customFormat="false" ht="15" hidden="false" customHeight="false" outlineLevel="0" collapsed="false">
      <c r="A96" s="33"/>
      <c r="B96" s="34" t="s">
        <v>107</v>
      </c>
      <c r="C96" s="33"/>
      <c r="D96" s="34" t="n">
        <f aca="false">SUM(D88:D95)</f>
        <v>353</v>
      </c>
      <c r="E96" s="33"/>
      <c r="F96" s="33"/>
      <c r="G96" s="33"/>
      <c r="H96" s="33"/>
      <c r="I96" s="33"/>
      <c r="J96" s="34" t="s">
        <v>92</v>
      </c>
      <c r="K96" s="34" t="str">
        <f aca="false">COUNTIF(K88:K95,"TVK")&amp;" / "&amp;COUNTIF(K88:K95,"AIADMK+")&amp;" / "&amp;COUNTIF(K88:K95,"DMK+")</f>
        <v>5 / 3 / 0</v>
      </c>
      <c r="L96" s="33"/>
      <c r="M96" s="34" t="s">
        <v>93</v>
      </c>
      <c r="N96" s="34" t="str">
        <f aca="false">COUNTIF(N88:N95,"TVK")&amp;" / "&amp;COUNTIF(N88:N95,"AIADMK+")&amp;" / "&amp;COUNTIF(N88:N95,"DMK+")</f>
        <v>5 / 3 / 0</v>
      </c>
      <c r="O96" s="34" t="str">
        <f aca="false">IF(AND(ABS(COUNTIF(K88:K95,"TVK")-COUNTIF(N88:N95,"TVK"))&lt;=Calibration!$B$3,ABS(COUNTIF(K88:K95,"AIADMK+")-COUNTIF(N88:N95,"AIADMK+"))&lt;=Calibration!$B$3,ABS(COUNTIF(K88:K95,"DMK+")-COUNTIF(N88:N95,"DMK+"))&lt;=Calibration!$B$3),"Within","Off")</f>
        <v>Within</v>
      </c>
    </row>
    <row r="98" customFormat="false" ht="15" hidden="false" customHeight="false" outlineLevel="0" collapsed="false">
      <c r="A98" s="31" t="s">
        <v>108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</row>
    <row r="99" customFormat="false" ht="15" hidden="false" customHeight="false" outlineLevel="0" collapsed="false">
      <c r="A99" s="17" t="n">
        <v>77</v>
      </c>
      <c r="B99" s="7" t="str">
        <f aca="false">INDEX('AC Estimate'!$B$5:$B$238,MATCH($A99,'AC Estimate'!$A$5:$A$238,0))</f>
        <v>Ulundurpettai</v>
      </c>
      <c r="C99" s="7" t="str">
        <f aca="false">INDEX('AC Estimate'!$C$5:$C$238,MATCH($A99,'AC Estimate'!$A$5:$A$238,0))</f>
        <v>Kallakurichi</v>
      </c>
      <c r="D99" s="7" t="n">
        <f aca="false">INDEX('AC Estimate'!$I$5:$I$238,MATCH($A99,'AC Estimate'!$A$5:$A$238,0))</f>
        <v>25</v>
      </c>
      <c r="E99" s="27" t="n">
        <f aca="false">INDEX('AC Estimate'!$J$5:$J$238,MATCH($A99,'AC Estimate'!$A$5:$A$238,0))</f>
        <v>0.2</v>
      </c>
      <c r="F99" s="27" t="n">
        <f aca="false">INDEX('AC Estimate'!$K$5:$K$238,MATCH($A99,'AC Estimate'!$A$5:$A$238,0))</f>
        <v>0.24</v>
      </c>
      <c r="G99" s="27" t="n">
        <f aca="false">INDEX('AC Estimate'!$L$5:$L$238,MATCH($A99,'AC Estimate'!$A$5:$A$238,0))</f>
        <v>0</v>
      </c>
      <c r="H99" s="27" t="n">
        <f aca="false">INDEX('AC Estimate'!$M$5:$M$238,MATCH($A99,'AC Estimate'!$A$5:$A$238,0))</f>
        <v>0.08</v>
      </c>
      <c r="I99" s="27" t="n">
        <f aca="false">INDEX('AC Estimate'!$N$5:$N$238,MATCH($A99,'AC Estimate'!$A$5:$A$238,0))</f>
        <v>0.48</v>
      </c>
      <c r="J99" s="7" t="str">
        <f aca="false">INDEX('AC Estimate'!$P$5:$P$238,MATCH($A99,'AC Estimate'!$A$5:$A$238,0))</f>
        <v>TVK</v>
      </c>
      <c r="K99" s="7" t="str">
        <f aca="false">INDEX('AC Estimate'!$AK$5:$AK$238,MATCH($A99,'AC Estimate'!$A$5:$A$238,0))</f>
        <v>DMK+</v>
      </c>
      <c r="L99" s="27" t="n">
        <f aca="false">INDEX('AC Estimate'!$AM$5:$AM$238,MATCH($A99,'AC Estimate'!$A$5:$A$238,0))</f>
        <v>0.437793492257295</v>
      </c>
      <c r="M99" s="7" t="str">
        <f aca="false">INDEX('AC Estimate'!$Q$5:$Q$238,MATCH($A99,'AC Estimate'!$A$5:$A$238,0))</f>
        <v>DMK</v>
      </c>
      <c r="N99" s="7" t="str">
        <f aca="false">INDEX('AC Estimate'!$R$5:$R$238,MATCH($A99,'AC Estimate'!$A$5:$A$238,0))</f>
        <v>DMK+</v>
      </c>
      <c r="O99" s="7" t="str">
        <f aca="false">INDEX('AC Estimate'!$AL$5:$AL$238,MATCH($A99,'AC Estimate'!$A$5:$A$238,0))</f>
        <v>Yes</v>
      </c>
    </row>
    <row r="100" customFormat="false" ht="15" hidden="false" customHeight="false" outlineLevel="0" collapsed="false">
      <c r="A100" s="17" t="n">
        <v>78</v>
      </c>
      <c r="B100" s="7" t="str">
        <f aca="false">INDEX('AC Estimate'!$B$5:$B$238,MATCH($A100,'AC Estimate'!$A$5:$A$238,0))</f>
        <v>Rishivandiyam</v>
      </c>
      <c r="C100" s="7" t="str">
        <f aca="false">INDEX('AC Estimate'!$C$5:$C$238,MATCH($A100,'AC Estimate'!$A$5:$A$238,0))</f>
        <v>Kallakurichi</v>
      </c>
      <c r="D100" s="7" t="n">
        <f aca="false">INDEX('AC Estimate'!$I$5:$I$238,MATCH($A100,'AC Estimate'!$A$5:$A$238,0))</f>
        <v>31</v>
      </c>
      <c r="E100" s="27" t="n">
        <f aca="false">INDEX('AC Estimate'!$J$5:$J$238,MATCH($A100,'AC Estimate'!$A$5:$A$238,0))</f>
        <v>0.0645161290322581</v>
      </c>
      <c r="F100" s="27" t="n">
        <f aca="false">INDEX('AC Estimate'!$K$5:$K$238,MATCH($A100,'AC Estimate'!$A$5:$A$238,0))</f>
        <v>0.483870967741936</v>
      </c>
      <c r="G100" s="27" t="n">
        <f aca="false">INDEX('AC Estimate'!$L$5:$L$238,MATCH($A100,'AC Estimate'!$A$5:$A$238,0))</f>
        <v>0</v>
      </c>
      <c r="H100" s="27" t="n">
        <f aca="false">INDEX('AC Estimate'!$M$5:$M$238,MATCH($A100,'AC Estimate'!$A$5:$A$238,0))</f>
        <v>0.0967741935483871</v>
      </c>
      <c r="I100" s="27" t="n">
        <f aca="false">INDEX('AC Estimate'!$N$5:$N$238,MATCH($A100,'AC Estimate'!$A$5:$A$238,0))</f>
        <v>0.354838709677419</v>
      </c>
      <c r="J100" s="7" t="str">
        <f aca="false">INDEX('AC Estimate'!$P$5:$P$238,MATCH($A100,'AC Estimate'!$A$5:$A$238,0))</f>
        <v>DMK+</v>
      </c>
      <c r="K100" s="7" t="str">
        <f aca="false">INDEX('AC Estimate'!$AK$5:$AK$238,MATCH($A100,'AC Estimate'!$A$5:$A$238,0))</f>
        <v>DMK+</v>
      </c>
      <c r="L100" s="27" t="n">
        <f aca="false">INDEX('AC Estimate'!$AM$5:$AM$238,MATCH($A100,'AC Estimate'!$A$5:$A$238,0))</f>
        <v>0.547299919013079</v>
      </c>
      <c r="M100" s="7" t="str">
        <f aca="false">INDEX('AC Estimate'!$Q$5:$Q$238,MATCH($A100,'AC Estimate'!$A$5:$A$238,0))</f>
        <v>DMK</v>
      </c>
      <c r="N100" s="7" t="str">
        <f aca="false">INDEX('AC Estimate'!$R$5:$R$238,MATCH($A100,'AC Estimate'!$A$5:$A$238,0))</f>
        <v>DMK+</v>
      </c>
      <c r="O100" s="7" t="str">
        <f aca="false">INDEX('AC Estimate'!$AL$5:$AL$238,MATCH($A100,'AC Estimate'!$A$5:$A$238,0))</f>
        <v>Yes</v>
      </c>
    </row>
    <row r="101" customFormat="false" ht="15" hidden="false" customHeight="false" outlineLevel="0" collapsed="false">
      <c r="A101" s="17" t="n">
        <v>79</v>
      </c>
      <c r="B101" s="7" t="str">
        <f aca="false">INDEX('AC Estimate'!$B$5:$B$238,MATCH($A101,'AC Estimate'!$A$5:$A$238,0))</f>
        <v>Sankarapuram</v>
      </c>
      <c r="C101" s="7" t="str">
        <f aca="false">INDEX('AC Estimate'!$C$5:$C$238,MATCH($A101,'AC Estimate'!$A$5:$A$238,0))</f>
        <v>Kallakurichi</v>
      </c>
      <c r="D101" s="7" t="n">
        <f aca="false">INDEX('AC Estimate'!$I$5:$I$238,MATCH($A101,'AC Estimate'!$A$5:$A$238,0))</f>
        <v>25</v>
      </c>
      <c r="E101" s="27" t="n">
        <f aca="false">INDEX('AC Estimate'!$J$5:$J$238,MATCH($A101,'AC Estimate'!$A$5:$A$238,0))</f>
        <v>0.16</v>
      </c>
      <c r="F101" s="27" t="n">
        <f aca="false">INDEX('AC Estimate'!$K$5:$K$238,MATCH($A101,'AC Estimate'!$A$5:$A$238,0))</f>
        <v>0.16</v>
      </c>
      <c r="G101" s="27" t="n">
        <f aca="false">INDEX('AC Estimate'!$L$5:$L$238,MATCH($A101,'AC Estimate'!$A$5:$A$238,0))</f>
        <v>0</v>
      </c>
      <c r="H101" s="27" t="n">
        <f aca="false">INDEX('AC Estimate'!$M$5:$M$238,MATCH($A101,'AC Estimate'!$A$5:$A$238,0))</f>
        <v>0.04</v>
      </c>
      <c r="I101" s="27" t="n">
        <f aca="false">INDEX('AC Estimate'!$N$5:$N$238,MATCH($A101,'AC Estimate'!$A$5:$A$238,0))</f>
        <v>0.64</v>
      </c>
      <c r="J101" s="7" t="str">
        <f aca="false">INDEX('AC Estimate'!$P$5:$P$238,MATCH($A101,'AC Estimate'!$A$5:$A$238,0))</f>
        <v>TVK</v>
      </c>
      <c r="K101" s="7" t="str">
        <f aca="false">INDEX('AC Estimate'!$AK$5:$AK$238,MATCH($A101,'AC Estimate'!$A$5:$A$238,0))</f>
        <v>AIADMK+</v>
      </c>
      <c r="L101" s="27" t="n">
        <f aca="false">INDEX('AC Estimate'!$AM$5:$AM$238,MATCH($A101,'AC Estimate'!$A$5:$A$238,0))</f>
        <v>0.330826137720874</v>
      </c>
      <c r="M101" s="7" t="str">
        <f aca="false">INDEX('AC Estimate'!$Q$5:$Q$238,MATCH($A101,'AC Estimate'!$A$5:$A$238,0))</f>
        <v>AIADMK</v>
      </c>
      <c r="N101" s="7" t="str">
        <f aca="false">INDEX('AC Estimate'!$R$5:$R$238,MATCH($A101,'AC Estimate'!$A$5:$A$238,0))</f>
        <v>AIADMK+</v>
      </c>
      <c r="O101" s="7" t="str">
        <f aca="false">INDEX('AC Estimate'!$AL$5:$AL$238,MATCH($A101,'AC Estimate'!$A$5:$A$238,0))</f>
        <v>Yes</v>
      </c>
    </row>
    <row r="102" customFormat="false" ht="15" hidden="false" customHeight="false" outlineLevel="0" collapsed="false">
      <c r="A102" s="17" t="n">
        <v>80</v>
      </c>
      <c r="B102" s="7" t="str">
        <f aca="false">INDEX('AC Estimate'!$B$5:$B$238,MATCH($A102,'AC Estimate'!$A$5:$A$238,0))</f>
        <v>Kallakurichi</v>
      </c>
      <c r="C102" s="7" t="str">
        <f aca="false">INDEX('AC Estimate'!$C$5:$C$238,MATCH($A102,'AC Estimate'!$A$5:$A$238,0))</f>
        <v>Kallakurichi</v>
      </c>
      <c r="D102" s="7" t="n">
        <f aca="false">INDEX('AC Estimate'!$I$5:$I$238,MATCH($A102,'AC Estimate'!$A$5:$A$238,0))</f>
        <v>32</v>
      </c>
      <c r="E102" s="27" t="n">
        <f aca="false">INDEX('AC Estimate'!$J$5:$J$238,MATCH($A102,'AC Estimate'!$A$5:$A$238,0))</f>
        <v>0.125</v>
      </c>
      <c r="F102" s="27" t="n">
        <f aca="false">INDEX('AC Estimate'!$K$5:$K$238,MATCH($A102,'AC Estimate'!$A$5:$A$238,0))</f>
        <v>0.21875</v>
      </c>
      <c r="G102" s="27" t="n">
        <f aca="false">INDEX('AC Estimate'!$L$5:$L$238,MATCH($A102,'AC Estimate'!$A$5:$A$238,0))</f>
        <v>0</v>
      </c>
      <c r="H102" s="27" t="n">
        <f aca="false">INDEX('AC Estimate'!$M$5:$M$238,MATCH($A102,'AC Estimate'!$A$5:$A$238,0))</f>
        <v>0.125</v>
      </c>
      <c r="I102" s="27" t="n">
        <f aca="false">INDEX('AC Estimate'!$N$5:$N$238,MATCH($A102,'AC Estimate'!$A$5:$A$238,0))</f>
        <v>0.53125</v>
      </c>
      <c r="J102" s="7" t="str">
        <f aca="false">INDEX('AC Estimate'!$P$5:$P$238,MATCH($A102,'AC Estimate'!$A$5:$A$238,0))</f>
        <v>TVK</v>
      </c>
      <c r="K102" s="7" t="str">
        <f aca="false">INDEX('AC Estimate'!$AK$5:$AK$238,MATCH($A102,'AC Estimate'!$A$5:$A$238,0))</f>
        <v>TVK</v>
      </c>
      <c r="L102" s="27" t="n">
        <f aca="false">INDEX('AC Estimate'!$AM$5:$AM$238,MATCH($A102,'AC Estimate'!$A$5:$A$238,0))</f>
        <v>0.328268634354566</v>
      </c>
      <c r="M102" s="7" t="str">
        <f aca="false">INDEX('AC Estimate'!$Q$5:$Q$238,MATCH($A102,'AC Estimate'!$A$5:$A$238,0))</f>
        <v>TVK</v>
      </c>
      <c r="N102" s="7" t="str">
        <f aca="false">INDEX('AC Estimate'!$R$5:$R$238,MATCH($A102,'AC Estimate'!$A$5:$A$238,0))</f>
        <v>TVK</v>
      </c>
      <c r="O102" s="7" t="str">
        <f aca="false">INDEX('AC Estimate'!$AL$5:$AL$238,MATCH($A102,'AC Estimate'!$A$5:$A$238,0))</f>
        <v>Yes</v>
      </c>
    </row>
    <row r="103" customFormat="false" ht="15" hidden="false" customHeight="false" outlineLevel="0" collapsed="false">
      <c r="A103" s="33"/>
      <c r="B103" s="34" t="s">
        <v>109</v>
      </c>
      <c r="C103" s="33"/>
      <c r="D103" s="34" t="n">
        <f aca="false">SUM(D99:D102)</f>
        <v>113</v>
      </c>
      <c r="E103" s="33"/>
      <c r="F103" s="33"/>
      <c r="G103" s="33"/>
      <c r="H103" s="33"/>
      <c r="I103" s="33"/>
      <c r="J103" s="34" t="s">
        <v>92</v>
      </c>
      <c r="K103" s="34" t="str">
        <f aca="false">COUNTIF(K99:K102,"TVK")&amp;" / "&amp;COUNTIF(K99:K102,"AIADMK+")&amp;" / "&amp;COUNTIF(K99:K102,"DMK+")</f>
        <v>1 / 1 / 2</v>
      </c>
      <c r="L103" s="33"/>
      <c r="M103" s="34" t="s">
        <v>93</v>
      </c>
      <c r="N103" s="34" t="str">
        <f aca="false">COUNTIF(N99:N102,"TVK")&amp;" / "&amp;COUNTIF(N99:N102,"AIADMK+")&amp;" / "&amp;COUNTIF(N99:N102,"DMK+")</f>
        <v>1 / 1 / 2</v>
      </c>
      <c r="O103" s="34" t="str">
        <f aca="false">IF(AND(ABS(COUNTIF(K99:K102,"TVK")-COUNTIF(N99:N102,"TVK"))&lt;=Calibration!$B$3,ABS(COUNTIF(K99:K102,"AIADMK+")-COUNTIF(N99:N102,"AIADMK+"))&lt;=Calibration!$B$3,ABS(COUNTIF(K99:K102,"DMK+")-COUNTIF(N99:N102,"DMK+"))&lt;=Calibration!$B$3),"Within","Off")</f>
        <v>Within</v>
      </c>
    </row>
    <row r="105" customFormat="false" ht="15" hidden="false" customHeight="false" outlineLevel="0" collapsed="false">
      <c r="A105" s="31" t="s">
        <v>110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</row>
    <row r="106" customFormat="false" ht="15" hidden="false" customHeight="false" outlineLevel="0" collapsed="false">
      <c r="A106" s="17" t="n">
        <v>29</v>
      </c>
      <c r="B106" s="7" t="str">
        <f aca="false">INDEX('AC Estimate'!$B$5:$B$238,MATCH($A106,'AC Estimate'!$A$5:$A$238,0))</f>
        <v>Sriperumbudur</v>
      </c>
      <c r="C106" s="7" t="str">
        <f aca="false">INDEX('AC Estimate'!$C$5:$C$238,MATCH($A106,'AC Estimate'!$A$5:$A$238,0))</f>
        <v>Kancheepuram</v>
      </c>
      <c r="D106" s="7" t="n">
        <f aca="false">INDEX('AC Estimate'!$I$5:$I$238,MATCH($A106,'AC Estimate'!$A$5:$A$238,0))</f>
        <v>48</v>
      </c>
      <c r="E106" s="27" t="n">
        <f aca="false">INDEX('AC Estimate'!$J$5:$J$238,MATCH($A106,'AC Estimate'!$A$5:$A$238,0))</f>
        <v>0.25</v>
      </c>
      <c r="F106" s="27" t="n">
        <f aca="false">INDEX('AC Estimate'!$K$5:$K$238,MATCH($A106,'AC Estimate'!$A$5:$A$238,0))</f>
        <v>0.333333333333333</v>
      </c>
      <c r="G106" s="27" t="n">
        <f aca="false">INDEX('AC Estimate'!$L$5:$L$238,MATCH($A106,'AC Estimate'!$A$5:$A$238,0))</f>
        <v>0</v>
      </c>
      <c r="H106" s="27" t="n">
        <f aca="false">INDEX('AC Estimate'!$M$5:$M$238,MATCH($A106,'AC Estimate'!$A$5:$A$238,0))</f>
        <v>0.0625</v>
      </c>
      <c r="I106" s="27" t="n">
        <f aca="false">INDEX('AC Estimate'!$N$5:$N$238,MATCH($A106,'AC Estimate'!$A$5:$A$238,0))</f>
        <v>0.354166666666667</v>
      </c>
      <c r="J106" s="7" t="str">
        <f aca="false">INDEX('AC Estimate'!$P$5:$P$238,MATCH($A106,'AC Estimate'!$A$5:$A$238,0))</f>
        <v>DMK+</v>
      </c>
      <c r="K106" s="7" t="str">
        <f aca="false">INDEX('AC Estimate'!$AK$5:$AK$238,MATCH($A106,'AC Estimate'!$A$5:$A$238,0))</f>
        <v>TVK</v>
      </c>
      <c r="L106" s="27" t="n">
        <f aca="false">INDEX('AC Estimate'!$AM$5:$AM$238,MATCH($A106,'AC Estimate'!$A$5:$A$238,0))</f>
        <v>0.415990335062145</v>
      </c>
      <c r="M106" s="7" t="str">
        <f aca="false">INDEX('AC Estimate'!$Q$5:$Q$238,MATCH($A106,'AC Estimate'!$A$5:$A$238,0))</f>
        <v>TVK</v>
      </c>
      <c r="N106" s="7" t="str">
        <f aca="false">INDEX('AC Estimate'!$R$5:$R$238,MATCH($A106,'AC Estimate'!$A$5:$A$238,0))</f>
        <v>TVK</v>
      </c>
      <c r="O106" s="7" t="str">
        <f aca="false">INDEX('AC Estimate'!$AL$5:$AL$238,MATCH($A106,'AC Estimate'!$A$5:$A$238,0))</f>
        <v>Yes</v>
      </c>
    </row>
    <row r="107" customFormat="false" ht="15" hidden="false" customHeight="false" outlineLevel="0" collapsed="false">
      <c r="A107" s="17" t="n">
        <v>36</v>
      </c>
      <c r="B107" s="7" t="str">
        <f aca="false">INDEX('AC Estimate'!$B$5:$B$238,MATCH($A107,'AC Estimate'!$A$5:$A$238,0))</f>
        <v>Uthiramerur</v>
      </c>
      <c r="C107" s="7" t="str">
        <f aca="false">INDEX('AC Estimate'!$C$5:$C$238,MATCH($A107,'AC Estimate'!$A$5:$A$238,0))</f>
        <v>Kancheepuram</v>
      </c>
      <c r="D107" s="7" t="n">
        <f aca="false">INDEX('AC Estimate'!$I$5:$I$238,MATCH($A107,'AC Estimate'!$A$5:$A$238,0))</f>
        <v>25</v>
      </c>
      <c r="E107" s="27" t="n">
        <f aca="false">INDEX('AC Estimate'!$J$5:$J$238,MATCH($A107,'AC Estimate'!$A$5:$A$238,0))</f>
        <v>0.44</v>
      </c>
      <c r="F107" s="27" t="n">
        <f aca="false">INDEX('AC Estimate'!$K$5:$K$238,MATCH($A107,'AC Estimate'!$A$5:$A$238,0))</f>
        <v>0.44</v>
      </c>
      <c r="G107" s="27" t="n">
        <f aca="false">INDEX('AC Estimate'!$L$5:$L$238,MATCH($A107,'AC Estimate'!$A$5:$A$238,0))</f>
        <v>0</v>
      </c>
      <c r="H107" s="27" t="n">
        <f aca="false">INDEX('AC Estimate'!$M$5:$M$238,MATCH($A107,'AC Estimate'!$A$5:$A$238,0))</f>
        <v>0</v>
      </c>
      <c r="I107" s="27" t="n">
        <f aca="false">INDEX('AC Estimate'!$N$5:$N$238,MATCH($A107,'AC Estimate'!$A$5:$A$238,0))</f>
        <v>0.12</v>
      </c>
      <c r="J107" s="7" t="str">
        <f aca="false">INDEX('AC Estimate'!$P$5:$P$238,MATCH($A107,'AC Estimate'!$A$5:$A$238,0))</f>
        <v>DMK+</v>
      </c>
      <c r="K107" s="7" t="str">
        <f aca="false">INDEX('AC Estimate'!$AK$5:$AK$238,MATCH($A107,'AC Estimate'!$A$5:$A$238,0))</f>
        <v>TVK</v>
      </c>
      <c r="L107" s="27" t="n">
        <f aca="false">INDEX('AC Estimate'!$AM$5:$AM$238,MATCH($A107,'AC Estimate'!$A$5:$A$238,0))</f>
        <v>0.15525587567133</v>
      </c>
      <c r="M107" s="7" t="str">
        <f aca="false">INDEX('AC Estimate'!$Q$5:$Q$238,MATCH($A107,'AC Estimate'!$A$5:$A$238,0))</f>
        <v>TVK</v>
      </c>
      <c r="N107" s="7" t="str">
        <f aca="false">INDEX('AC Estimate'!$R$5:$R$238,MATCH($A107,'AC Estimate'!$A$5:$A$238,0))</f>
        <v>TVK</v>
      </c>
      <c r="O107" s="7" t="str">
        <f aca="false">INDEX('AC Estimate'!$AL$5:$AL$238,MATCH($A107,'AC Estimate'!$A$5:$A$238,0))</f>
        <v>Yes</v>
      </c>
    </row>
    <row r="108" customFormat="false" ht="15" hidden="false" customHeight="false" outlineLevel="0" collapsed="false">
      <c r="A108" s="17" t="n">
        <v>37</v>
      </c>
      <c r="B108" s="7" t="str">
        <f aca="false">INDEX('AC Estimate'!$B$5:$B$238,MATCH($A108,'AC Estimate'!$A$5:$A$238,0))</f>
        <v>Kancheepuram</v>
      </c>
      <c r="C108" s="7" t="str">
        <f aca="false">INDEX('AC Estimate'!$C$5:$C$238,MATCH($A108,'AC Estimate'!$A$5:$A$238,0))</f>
        <v>Kancheepuram</v>
      </c>
      <c r="D108" s="7" t="n">
        <f aca="false">INDEX('AC Estimate'!$I$5:$I$238,MATCH($A108,'AC Estimate'!$A$5:$A$238,0))</f>
        <v>62</v>
      </c>
      <c r="E108" s="27" t="n">
        <f aca="false">INDEX('AC Estimate'!$J$5:$J$238,MATCH($A108,'AC Estimate'!$A$5:$A$238,0))</f>
        <v>0.17741935483871</v>
      </c>
      <c r="F108" s="27" t="n">
        <f aca="false">INDEX('AC Estimate'!$K$5:$K$238,MATCH($A108,'AC Estimate'!$A$5:$A$238,0))</f>
        <v>0.193548387096774</v>
      </c>
      <c r="G108" s="27" t="n">
        <f aca="false">INDEX('AC Estimate'!$L$5:$L$238,MATCH($A108,'AC Estimate'!$A$5:$A$238,0))</f>
        <v>0</v>
      </c>
      <c r="H108" s="27" t="n">
        <f aca="false">INDEX('AC Estimate'!$M$5:$M$238,MATCH($A108,'AC Estimate'!$A$5:$A$238,0))</f>
        <v>0.0806451612903226</v>
      </c>
      <c r="I108" s="27" t="n">
        <f aca="false">INDEX('AC Estimate'!$N$5:$N$238,MATCH($A108,'AC Estimate'!$A$5:$A$238,0))</f>
        <v>0.548387096774194</v>
      </c>
      <c r="J108" s="7" t="str">
        <f aca="false">INDEX('AC Estimate'!$P$5:$P$238,MATCH($A108,'AC Estimate'!$A$5:$A$238,0))</f>
        <v>TVK</v>
      </c>
      <c r="K108" s="7" t="str">
        <f aca="false">INDEX('AC Estimate'!$AK$5:$AK$238,MATCH($A108,'AC Estimate'!$A$5:$A$238,0))</f>
        <v>TVK</v>
      </c>
      <c r="L108" s="27" t="n">
        <f aca="false">INDEX('AC Estimate'!$AM$5:$AM$238,MATCH($A108,'AC Estimate'!$A$5:$A$238,0))</f>
        <v>0.58267009226251</v>
      </c>
      <c r="M108" s="7" t="str">
        <f aca="false">INDEX('AC Estimate'!$Q$5:$Q$238,MATCH($A108,'AC Estimate'!$A$5:$A$238,0))</f>
        <v>TVK</v>
      </c>
      <c r="N108" s="7" t="str">
        <f aca="false">INDEX('AC Estimate'!$R$5:$R$238,MATCH($A108,'AC Estimate'!$A$5:$A$238,0))</f>
        <v>TVK</v>
      </c>
      <c r="O108" s="7" t="str">
        <f aca="false">INDEX('AC Estimate'!$AL$5:$AL$238,MATCH($A108,'AC Estimate'!$A$5:$A$238,0))</f>
        <v>Yes</v>
      </c>
    </row>
    <row r="109" customFormat="false" ht="15" hidden="false" customHeight="false" outlineLevel="0" collapsed="false">
      <c r="A109" s="33"/>
      <c r="B109" s="34" t="s">
        <v>111</v>
      </c>
      <c r="C109" s="33"/>
      <c r="D109" s="34" t="n">
        <f aca="false">SUM(D106:D108)</f>
        <v>135</v>
      </c>
      <c r="E109" s="33"/>
      <c r="F109" s="33"/>
      <c r="G109" s="33"/>
      <c r="H109" s="33"/>
      <c r="I109" s="33"/>
      <c r="J109" s="34" t="s">
        <v>92</v>
      </c>
      <c r="K109" s="34" t="str">
        <f aca="false">COUNTIF(K106:K108,"TVK")&amp;" / "&amp;COUNTIF(K106:K108,"AIADMK+")&amp;" / "&amp;COUNTIF(K106:K108,"DMK+")</f>
        <v>3 / 0 / 0</v>
      </c>
      <c r="L109" s="33"/>
      <c r="M109" s="34" t="s">
        <v>93</v>
      </c>
      <c r="N109" s="34" t="str">
        <f aca="false">COUNTIF(N106:N108,"TVK")&amp;" / "&amp;COUNTIF(N106:N108,"AIADMK+")&amp;" / "&amp;COUNTIF(N106:N108,"DMK+")</f>
        <v>3 / 0 / 0</v>
      </c>
      <c r="O109" s="34" t="str">
        <f aca="false">IF(AND(ABS(COUNTIF(K106:K108,"TVK")-COUNTIF(N106:N108,"TVK"))&lt;=Calibration!$B$3,ABS(COUNTIF(K106:K108,"AIADMK+")-COUNTIF(N106:N108,"AIADMK+"))&lt;=Calibration!$B$3,ABS(COUNTIF(K106:K108,"DMK+")-COUNTIF(N106:N108,"DMK+"))&lt;=Calibration!$B$3),"Within","Off")</f>
        <v>Within</v>
      </c>
    </row>
    <row r="111" customFormat="false" ht="15" hidden="false" customHeight="false" outlineLevel="0" collapsed="false">
      <c r="A111" s="31" t="s">
        <v>112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  <row r="112" customFormat="false" ht="15" hidden="false" customHeight="false" outlineLevel="0" collapsed="false">
      <c r="A112" s="17" t="n">
        <v>229</v>
      </c>
      <c r="B112" s="7" t="str">
        <f aca="false">INDEX('AC Estimate'!$B$5:$B$238,MATCH($A112,'AC Estimate'!$A$5:$A$238,0))</f>
        <v>Kanniyakumari</v>
      </c>
      <c r="C112" s="7" t="str">
        <f aca="false">INDEX('AC Estimate'!$C$5:$C$238,MATCH($A112,'AC Estimate'!$A$5:$A$238,0))</f>
        <v>Kanniyakumari</v>
      </c>
      <c r="D112" s="7" t="n">
        <f aca="false">INDEX('AC Estimate'!$I$5:$I$238,MATCH($A112,'AC Estimate'!$A$5:$A$238,0))</f>
        <v>79</v>
      </c>
      <c r="E112" s="27" t="n">
        <f aca="false">INDEX('AC Estimate'!$J$5:$J$238,MATCH($A112,'AC Estimate'!$A$5:$A$238,0))</f>
        <v>0.379746835443038</v>
      </c>
      <c r="F112" s="27" t="n">
        <f aca="false">INDEX('AC Estimate'!$K$5:$K$238,MATCH($A112,'AC Estimate'!$A$5:$A$238,0))</f>
        <v>0.253164556962025</v>
      </c>
      <c r="G112" s="27" t="n">
        <f aca="false">INDEX('AC Estimate'!$L$5:$L$238,MATCH($A112,'AC Estimate'!$A$5:$A$238,0))</f>
        <v>0.0126582278481013</v>
      </c>
      <c r="H112" s="27" t="n">
        <f aca="false">INDEX('AC Estimate'!$M$5:$M$238,MATCH($A112,'AC Estimate'!$A$5:$A$238,0))</f>
        <v>0.0886075949367089</v>
      </c>
      <c r="I112" s="27" t="n">
        <f aca="false">INDEX('AC Estimate'!$N$5:$N$238,MATCH($A112,'AC Estimate'!$A$5:$A$238,0))</f>
        <v>0.265822784810127</v>
      </c>
      <c r="J112" s="7" t="str">
        <f aca="false">INDEX('AC Estimate'!$P$5:$P$238,MATCH($A112,'AC Estimate'!$A$5:$A$238,0))</f>
        <v>AIADMK+</v>
      </c>
      <c r="K112" s="7" t="str">
        <f aca="false">INDEX('AC Estimate'!$AK$5:$AK$238,MATCH($A112,'AC Estimate'!$A$5:$A$238,0))</f>
        <v>AIADMK+</v>
      </c>
      <c r="L112" s="27" t="n">
        <f aca="false">INDEX('AC Estimate'!$AM$5:$AM$238,MATCH($A112,'AC Estimate'!$A$5:$A$238,0))</f>
        <v>0.2169273194718</v>
      </c>
      <c r="M112" s="7" t="str">
        <f aca="false">INDEX('AC Estimate'!$Q$5:$Q$238,MATCH($A112,'AC Estimate'!$A$5:$A$238,0))</f>
        <v>AIADMK</v>
      </c>
      <c r="N112" s="7" t="str">
        <f aca="false">INDEX('AC Estimate'!$R$5:$R$238,MATCH($A112,'AC Estimate'!$A$5:$A$238,0))</f>
        <v>AIADMK+</v>
      </c>
      <c r="O112" s="7" t="str">
        <f aca="false">INDEX('AC Estimate'!$AL$5:$AL$238,MATCH($A112,'AC Estimate'!$A$5:$A$238,0))</f>
        <v>Yes</v>
      </c>
    </row>
    <row r="113" customFormat="false" ht="15" hidden="false" customHeight="false" outlineLevel="0" collapsed="false">
      <c r="A113" s="17" t="n">
        <v>230</v>
      </c>
      <c r="B113" s="7" t="str">
        <f aca="false">INDEX('AC Estimate'!$B$5:$B$238,MATCH($A113,'AC Estimate'!$A$5:$A$238,0))</f>
        <v>Nagercoil</v>
      </c>
      <c r="C113" s="7" t="str">
        <f aca="false">INDEX('AC Estimate'!$C$5:$C$238,MATCH($A113,'AC Estimate'!$A$5:$A$238,0))</f>
        <v>Kanniyakumari</v>
      </c>
      <c r="D113" s="7" t="n">
        <f aca="false">INDEX('AC Estimate'!$I$5:$I$238,MATCH($A113,'AC Estimate'!$A$5:$A$238,0))</f>
        <v>103</v>
      </c>
      <c r="E113" s="27" t="n">
        <f aca="false">INDEX('AC Estimate'!$J$5:$J$238,MATCH($A113,'AC Estimate'!$A$5:$A$238,0))</f>
        <v>0.349514563106796</v>
      </c>
      <c r="F113" s="27" t="n">
        <f aca="false">INDEX('AC Estimate'!$K$5:$K$238,MATCH($A113,'AC Estimate'!$A$5:$A$238,0))</f>
        <v>0.310679611650485</v>
      </c>
      <c r="G113" s="27" t="n">
        <f aca="false">INDEX('AC Estimate'!$L$5:$L$238,MATCH($A113,'AC Estimate'!$A$5:$A$238,0))</f>
        <v>0.00970873786407767</v>
      </c>
      <c r="H113" s="27" t="n">
        <f aca="false">INDEX('AC Estimate'!$M$5:$M$238,MATCH($A113,'AC Estimate'!$A$5:$A$238,0))</f>
        <v>0.0194174757281553</v>
      </c>
      <c r="I113" s="27" t="n">
        <f aca="false">INDEX('AC Estimate'!$N$5:$N$238,MATCH($A113,'AC Estimate'!$A$5:$A$238,0))</f>
        <v>0.310679611650485</v>
      </c>
      <c r="J113" s="7" t="str">
        <f aca="false">INDEX('AC Estimate'!$P$5:$P$238,MATCH($A113,'AC Estimate'!$A$5:$A$238,0))</f>
        <v>AIADMK+</v>
      </c>
      <c r="K113" s="7" t="str">
        <f aca="false">INDEX('AC Estimate'!$AK$5:$AK$238,MATCH($A113,'AC Estimate'!$A$5:$A$238,0))</f>
        <v>DMK+</v>
      </c>
      <c r="L113" s="27" t="n">
        <f aca="false">INDEX('AC Estimate'!$AM$5:$AM$238,MATCH($A113,'AC Estimate'!$A$5:$A$238,0))</f>
        <v>0.146487167994521</v>
      </c>
      <c r="M113" s="7" t="str">
        <f aca="false">INDEX('AC Estimate'!$Q$5:$Q$238,MATCH($A113,'AC Estimate'!$A$5:$A$238,0))</f>
        <v>DMK</v>
      </c>
      <c r="N113" s="7" t="str">
        <f aca="false">INDEX('AC Estimate'!$R$5:$R$238,MATCH($A113,'AC Estimate'!$A$5:$A$238,0))</f>
        <v>DMK+</v>
      </c>
      <c r="O113" s="7" t="str">
        <f aca="false">INDEX('AC Estimate'!$AL$5:$AL$238,MATCH($A113,'AC Estimate'!$A$5:$A$238,0))</f>
        <v>Yes</v>
      </c>
    </row>
    <row r="114" customFormat="false" ht="15" hidden="false" customHeight="false" outlineLevel="0" collapsed="false">
      <c r="A114" s="17" t="n">
        <v>231</v>
      </c>
      <c r="B114" s="7" t="str">
        <f aca="false">INDEX('AC Estimate'!$B$5:$B$238,MATCH($A114,'AC Estimate'!$A$5:$A$238,0))</f>
        <v>Colachal</v>
      </c>
      <c r="C114" s="7" t="str">
        <f aca="false">INDEX('AC Estimate'!$C$5:$C$238,MATCH($A114,'AC Estimate'!$A$5:$A$238,0))</f>
        <v>Kanniyakumari</v>
      </c>
      <c r="D114" s="7" t="n">
        <f aca="false">INDEX('AC Estimate'!$I$5:$I$238,MATCH($A114,'AC Estimate'!$A$5:$A$238,0))</f>
        <v>62</v>
      </c>
      <c r="E114" s="27" t="n">
        <f aca="false">INDEX('AC Estimate'!$J$5:$J$238,MATCH($A114,'AC Estimate'!$A$5:$A$238,0))</f>
        <v>0.274193548387097</v>
      </c>
      <c r="F114" s="27" t="n">
        <f aca="false">INDEX('AC Estimate'!$K$5:$K$238,MATCH($A114,'AC Estimate'!$A$5:$A$238,0))</f>
        <v>0.274193548387097</v>
      </c>
      <c r="G114" s="27" t="n">
        <f aca="false">INDEX('AC Estimate'!$L$5:$L$238,MATCH($A114,'AC Estimate'!$A$5:$A$238,0))</f>
        <v>0</v>
      </c>
      <c r="H114" s="27" t="n">
        <f aca="false">INDEX('AC Estimate'!$M$5:$M$238,MATCH($A114,'AC Estimate'!$A$5:$A$238,0))</f>
        <v>0.0645161290322581</v>
      </c>
      <c r="I114" s="27" t="n">
        <f aca="false">INDEX('AC Estimate'!$N$5:$N$238,MATCH($A114,'AC Estimate'!$A$5:$A$238,0))</f>
        <v>0.387096774193548</v>
      </c>
      <c r="J114" s="7" t="str">
        <f aca="false">INDEX('AC Estimate'!$P$5:$P$238,MATCH($A114,'AC Estimate'!$A$5:$A$238,0))</f>
        <v>TVK</v>
      </c>
      <c r="K114" s="7" t="str">
        <f aca="false">INDEX('AC Estimate'!$AK$5:$AK$238,MATCH($A114,'AC Estimate'!$A$5:$A$238,0))</f>
        <v>DMK+</v>
      </c>
      <c r="L114" s="27" t="n">
        <f aca="false">INDEX('AC Estimate'!$AM$5:$AM$238,MATCH($A114,'AC Estimate'!$A$5:$A$238,0))</f>
        <v>0.251295400116179</v>
      </c>
      <c r="M114" s="7" t="str">
        <f aca="false">INDEX('AC Estimate'!$Q$5:$Q$238,MATCH($A114,'AC Estimate'!$A$5:$A$238,0))</f>
        <v>INC</v>
      </c>
      <c r="N114" s="7" t="str">
        <f aca="false">INDEX('AC Estimate'!$R$5:$R$238,MATCH($A114,'AC Estimate'!$A$5:$A$238,0))</f>
        <v>DMK+</v>
      </c>
      <c r="O114" s="7" t="str">
        <f aca="false">INDEX('AC Estimate'!$AL$5:$AL$238,MATCH($A114,'AC Estimate'!$A$5:$A$238,0))</f>
        <v>Yes</v>
      </c>
    </row>
    <row r="115" customFormat="false" ht="15" hidden="false" customHeight="false" outlineLevel="0" collapsed="false">
      <c r="A115" s="17" t="n">
        <v>232</v>
      </c>
      <c r="B115" s="7" t="str">
        <f aca="false">INDEX('AC Estimate'!$B$5:$B$238,MATCH($A115,'AC Estimate'!$A$5:$A$238,0))</f>
        <v>Padmanabhapuram</v>
      </c>
      <c r="C115" s="7" t="str">
        <f aca="false">INDEX('AC Estimate'!$C$5:$C$238,MATCH($A115,'AC Estimate'!$A$5:$A$238,0))</f>
        <v>Kanniyakumari</v>
      </c>
      <c r="D115" s="7" t="n">
        <f aca="false">INDEX('AC Estimate'!$I$5:$I$238,MATCH($A115,'AC Estimate'!$A$5:$A$238,0))</f>
        <v>51</v>
      </c>
      <c r="E115" s="27" t="n">
        <f aca="false">INDEX('AC Estimate'!$J$5:$J$238,MATCH($A115,'AC Estimate'!$A$5:$A$238,0))</f>
        <v>0.294117647058824</v>
      </c>
      <c r="F115" s="27" t="n">
        <f aca="false">INDEX('AC Estimate'!$K$5:$K$238,MATCH($A115,'AC Estimate'!$A$5:$A$238,0))</f>
        <v>0.274509803921569</v>
      </c>
      <c r="G115" s="27" t="n">
        <f aca="false">INDEX('AC Estimate'!$L$5:$L$238,MATCH($A115,'AC Estimate'!$A$5:$A$238,0))</f>
        <v>0</v>
      </c>
      <c r="H115" s="27" t="n">
        <f aca="false">INDEX('AC Estimate'!$M$5:$M$238,MATCH($A115,'AC Estimate'!$A$5:$A$238,0))</f>
        <v>0.0588235294117647</v>
      </c>
      <c r="I115" s="27" t="n">
        <f aca="false">INDEX('AC Estimate'!$N$5:$N$238,MATCH($A115,'AC Estimate'!$A$5:$A$238,0))</f>
        <v>0.372549019607843</v>
      </c>
      <c r="J115" s="7" t="str">
        <f aca="false">INDEX('AC Estimate'!$P$5:$P$238,MATCH($A115,'AC Estimate'!$A$5:$A$238,0))</f>
        <v>TVK</v>
      </c>
      <c r="K115" s="7" t="str">
        <f aca="false">INDEX('AC Estimate'!$AK$5:$AK$238,MATCH($A115,'AC Estimate'!$A$5:$A$238,0))</f>
        <v>DMK+</v>
      </c>
      <c r="L115" s="27" t="n">
        <f aca="false">INDEX('AC Estimate'!$AM$5:$AM$238,MATCH($A115,'AC Estimate'!$A$5:$A$238,0))</f>
        <v>0.29422413998738</v>
      </c>
      <c r="M115" s="7" t="str">
        <f aca="false">INDEX('AC Estimate'!$Q$5:$Q$238,MATCH($A115,'AC Estimate'!$A$5:$A$238,0))</f>
        <v>CPM</v>
      </c>
      <c r="N115" s="7" t="str">
        <f aca="false">INDEX('AC Estimate'!$R$5:$R$238,MATCH($A115,'AC Estimate'!$A$5:$A$238,0))</f>
        <v>DMK+</v>
      </c>
      <c r="O115" s="7" t="str">
        <f aca="false">INDEX('AC Estimate'!$AL$5:$AL$238,MATCH($A115,'AC Estimate'!$A$5:$A$238,0))</f>
        <v>Yes</v>
      </c>
    </row>
    <row r="116" customFormat="false" ht="15" hidden="false" customHeight="false" outlineLevel="0" collapsed="false">
      <c r="A116" s="17" t="n">
        <v>233</v>
      </c>
      <c r="B116" s="7" t="str">
        <f aca="false">INDEX('AC Estimate'!$B$5:$B$238,MATCH($A116,'AC Estimate'!$A$5:$A$238,0))</f>
        <v>Vilavancode</v>
      </c>
      <c r="C116" s="7" t="str">
        <f aca="false">INDEX('AC Estimate'!$C$5:$C$238,MATCH($A116,'AC Estimate'!$A$5:$A$238,0))</f>
        <v>Kanniyakumari</v>
      </c>
      <c r="D116" s="7" t="n">
        <f aca="false">INDEX('AC Estimate'!$I$5:$I$238,MATCH($A116,'AC Estimate'!$A$5:$A$238,0))</f>
        <v>54</v>
      </c>
      <c r="E116" s="27" t="n">
        <f aca="false">INDEX('AC Estimate'!$J$5:$J$238,MATCH($A116,'AC Estimate'!$A$5:$A$238,0))</f>
        <v>0.296296296296296</v>
      </c>
      <c r="F116" s="27" t="n">
        <f aca="false">INDEX('AC Estimate'!$K$5:$K$238,MATCH($A116,'AC Estimate'!$A$5:$A$238,0))</f>
        <v>0.425925925925926</v>
      </c>
      <c r="G116" s="27" t="n">
        <f aca="false">INDEX('AC Estimate'!$L$5:$L$238,MATCH($A116,'AC Estimate'!$A$5:$A$238,0))</f>
        <v>0</v>
      </c>
      <c r="H116" s="27" t="n">
        <f aca="false">INDEX('AC Estimate'!$M$5:$M$238,MATCH($A116,'AC Estimate'!$A$5:$A$238,0))</f>
        <v>0.037037037037037</v>
      </c>
      <c r="I116" s="27" t="n">
        <f aca="false">INDEX('AC Estimate'!$N$5:$N$238,MATCH($A116,'AC Estimate'!$A$5:$A$238,0))</f>
        <v>0.240740740740741</v>
      </c>
      <c r="J116" s="7" t="str">
        <f aca="false">INDEX('AC Estimate'!$P$5:$P$238,MATCH($A116,'AC Estimate'!$A$5:$A$238,0))</f>
        <v>DMK+</v>
      </c>
      <c r="K116" s="7" t="str">
        <f aca="false">INDEX('AC Estimate'!$AK$5:$AK$238,MATCH($A116,'AC Estimate'!$A$5:$A$238,0))</f>
        <v>DMK+</v>
      </c>
      <c r="L116" s="27" t="n">
        <f aca="false">INDEX('AC Estimate'!$AM$5:$AM$238,MATCH($A116,'AC Estimate'!$A$5:$A$238,0))</f>
        <v>0.347246367251406</v>
      </c>
      <c r="M116" s="7" t="str">
        <f aca="false">INDEX('AC Estimate'!$Q$5:$Q$238,MATCH($A116,'AC Estimate'!$A$5:$A$238,0))</f>
        <v>INC</v>
      </c>
      <c r="N116" s="7" t="str">
        <f aca="false">INDEX('AC Estimate'!$R$5:$R$238,MATCH($A116,'AC Estimate'!$A$5:$A$238,0))</f>
        <v>DMK+</v>
      </c>
      <c r="O116" s="7" t="str">
        <f aca="false">INDEX('AC Estimate'!$AL$5:$AL$238,MATCH($A116,'AC Estimate'!$A$5:$A$238,0))</f>
        <v>Yes</v>
      </c>
    </row>
    <row r="117" customFormat="false" ht="15" hidden="false" customHeight="false" outlineLevel="0" collapsed="false">
      <c r="A117" s="17" t="n">
        <v>234</v>
      </c>
      <c r="B117" s="7" t="str">
        <f aca="false">INDEX('AC Estimate'!$B$5:$B$238,MATCH($A117,'AC Estimate'!$A$5:$A$238,0))</f>
        <v>Killiyoor</v>
      </c>
      <c r="C117" s="7" t="str">
        <f aca="false">INDEX('AC Estimate'!$C$5:$C$238,MATCH($A117,'AC Estimate'!$A$5:$A$238,0))</f>
        <v>Kanniyakumari</v>
      </c>
      <c r="D117" s="7" t="n">
        <f aca="false">INDEX('AC Estimate'!$I$5:$I$238,MATCH($A117,'AC Estimate'!$A$5:$A$238,0))</f>
        <v>44</v>
      </c>
      <c r="E117" s="27" t="n">
        <f aca="false">INDEX('AC Estimate'!$J$5:$J$238,MATCH($A117,'AC Estimate'!$A$5:$A$238,0))</f>
        <v>0.181818181818182</v>
      </c>
      <c r="F117" s="27" t="n">
        <f aca="false">INDEX('AC Estimate'!$K$5:$K$238,MATCH($A117,'AC Estimate'!$A$5:$A$238,0))</f>
        <v>0.227272727272727</v>
      </c>
      <c r="G117" s="27" t="n">
        <f aca="false">INDEX('AC Estimate'!$L$5:$L$238,MATCH($A117,'AC Estimate'!$A$5:$A$238,0))</f>
        <v>0</v>
      </c>
      <c r="H117" s="27" t="n">
        <f aca="false">INDEX('AC Estimate'!$M$5:$M$238,MATCH($A117,'AC Estimate'!$A$5:$A$238,0))</f>
        <v>0.0681818181818182</v>
      </c>
      <c r="I117" s="27" t="n">
        <f aca="false">INDEX('AC Estimate'!$N$5:$N$238,MATCH($A117,'AC Estimate'!$A$5:$A$238,0))</f>
        <v>0.522727272727273</v>
      </c>
      <c r="J117" s="7" t="str">
        <f aca="false">INDEX('AC Estimate'!$P$5:$P$238,MATCH($A117,'AC Estimate'!$A$5:$A$238,0))</f>
        <v>TVK</v>
      </c>
      <c r="K117" s="7" t="str">
        <f aca="false">INDEX('AC Estimate'!$AK$5:$AK$238,MATCH($A117,'AC Estimate'!$A$5:$A$238,0))</f>
        <v>DMK+</v>
      </c>
      <c r="L117" s="27" t="n">
        <f aca="false">INDEX('AC Estimate'!$AM$5:$AM$238,MATCH($A117,'AC Estimate'!$A$5:$A$238,0))</f>
        <v>0.32221878350706</v>
      </c>
      <c r="M117" s="7" t="str">
        <f aca="false">INDEX('AC Estimate'!$Q$5:$Q$238,MATCH($A117,'AC Estimate'!$A$5:$A$238,0))</f>
        <v>INC</v>
      </c>
      <c r="N117" s="7" t="str">
        <f aca="false">INDEX('AC Estimate'!$R$5:$R$238,MATCH($A117,'AC Estimate'!$A$5:$A$238,0))</f>
        <v>DMK+</v>
      </c>
      <c r="O117" s="7" t="str">
        <f aca="false">INDEX('AC Estimate'!$AL$5:$AL$238,MATCH($A117,'AC Estimate'!$A$5:$A$238,0))</f>
        <v>Yes</v>
      </c>
    </row>
    <row r="118" customFormat="false" ht="15" hidden="false" customHeight="false" outlineLevel="0" collapsed="false">
      <c r="A118" s="33"/>
      <c r="B118" s="34" t="s">
        <v>113</v>
      </c>
      <c r="C118" s="33"/>
      <c r="D118" s="34" t="n">
        <f aca="false">SUM(D112:D117)</f>
        <v>393</v>
      </c>
      <c r="E118" s="33"/>
      <c r="F118" s="33"/>
      <c r="G118" s="33"/>
      <c r="H118" s="33"/>
      <c r="I118" s="33"/>
      <c r="J118" s="34" t="s">
        <v>92</v>
      </c>
      <c r="K118" s="34" t="str">
        <f aca="false">COUNTIF(K112:K117,"TVK")&amp;" / "&amp;COUNTIF(K112:K117,"AIADMK+")&amp;" / "&amp;COUNTIF(K112:K117,"DMK+")</f>
        <v>0 / 1 / 5</v>
      </c>
      <c r="L118" s="33"/>
      <c r="M118" s="34" t="s">
        <v>93</v>
      </c>
      <c r="N118" s="34" t="str">
        <f aca="false">COUNTIF(N112:N117,"TVK")&amp;" / "&amp;COUNTIF(N112:N117,"AIADMK+")&amp;" / "&amp;COUNTIF(N112:N117,"DMK+")</f>
        <v>0 / 1 / 5</v>
      </c>
      <c r="O118" s="34" t="str">
        <f aca="false">IF(AND(ABS(COUNTIF(K112:K117,"TVK")-COUNTIF(N112:N117,"TVK"))&lt;=Calibration!$B$3,ABS(COUNTIF(K112:K117,"AIADMK+")-COUNTIF(N112:N117,"AIADMK+"))&lt;=Calibration!$B$3,ABS(COUNTIF(K112:K117,"DMK+")-COUNTIF(N112:N117,"DMK+"))&lt;=Calibration!$B$3),"Within","Off")</f>
        <v>Within</v>
      </c>
    </row>
    <row r="120" customFormat="false" ht="15" hidden="false" customHeight="false" outlineLevel="0" collapsed="false">
      <c r="A120" s="31" t="s">
        <v>114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customFormat="false" ht="15" hidden="false" customHeight="false" outlineLevel="0" collapsed="false">
      <c r="A121" s="17" t="n">
        <v>134</v>
      </c>
      <c r="B121" s="7" t="str">
        <f aca="false">INDEX('AC Estimate'!$B$5:$B$238,MATCH($A121,'AC Estimate'!$A$5:$A$238,0))</f>
        <v>Aravakurichi</v>
      </c>
      <c r="C121" s="7" t="str">
        <f aca="false">INDEX('AC Estimate'!$C$5:$C$238,MATCH($A121,'AC Estimate'!$A$5:$A$238,0))</f>
        <v>Karur</v>
      </c>
      <c r="D121" s="7" t="n">
        <f aca="false">INDEX('AC Estimate'!$I$5:$I$238,MATCH($A121,'AC Estimate'!$A$5:$A$238,0))</f>
        <v>35</v>
      </c>
      <c r="E121" s="27" t="n">
        <f aca="false">INDEX('AC Estimate'!$J$5:$J$238,MATCH($A121,'AC Estimate'!$A$5:$A$238,0))</f>
        <v>0.257142857142857</v>
      </c>
      <c r="F121" s="27" t="n">
        <f aca="false">INDEX('AC Estimate'!$K$5:$K$238,MATCH($A121,'AC Estimate'!$A$5:$A$238,0))</f>
        <v>0.257142857142857</v>
      </c>
      <c r="G121" s="27" t="n">
        <f aca="false">INDEX('AC Estimate'!$L$5:$L$238,MATCH($A121,'AC Estimate'!$A$5:$A$238,0))</f>
        <v>0</v>
      </c>
      <c r="H121" s="27" t="n">
        <f aca="false">INDEX('AC Estimate'!$M$5:$M$238,MATCH($A121,'AC Estimate'!$A$5:$A$238,0))</f>
        <v>0.0285714285714286</v>
      </c>
      <c r="I121" s="27" t="n">
        <f aca="false">INDEX('AC Estimate'!$N$5:$N$238,MATCH($A121,'AC Estimate'!$A$5:$A$238,0))</f>
        <v>0.457142857142857</v>
      </c>
      <c r="J121" s="7" t="str">
        <f aca="false">INDEX('AC Estimate'!$P$5:$P$238,MATCH($A121,'AC Estimate'!$A$5:$A$238,0))</f>
        <v>TVK</v>
      </c>
      <c r="K121" s="7" t="str">
        <f aca="false">INDEX('AC Estimate'!$AK$5:$AK$238,MATCH($A121,'AC Estimate'!$A$5:$A$238,0))</f>
        <v>DMK+</v>
      </c>
      <c r="L121" s="27" t="n">
        <f aca="false">INDEX('AC Estimate'!$AM$5:$AM$238,MATCH($A121,'AC Estimate'!$A$5:$A$238,0))</f>
        <v>0.317686931094022</v>
      </c>
      <c r="M121" s="7" t="str">
        <f aca="false">INDEX('AC Estimate'!$Q$5:$Q$238,MATCH($A121,'AC Estimate'!$A$5:$A$238,0))</f>
        <v>DMK</v>
      </c>
      <c r="N121" s="7" t="str">
        <f aca="false">INDEX('AC Estimate'!$R$5:$R$238,MATCH($A121,'AC Estimate'!$A$5:$A$238,0))</f>
        <v>DMK+</v>
      </c>
      <c r="O121" s="7" t="str">
        <f aca="false">INDEX('AC Estimate'!$AL$5:$AL$238,MATCH($A121,'AC Estimate'!$A$5:$A$238,0))</f>
        <v>Yes</v>
      </c>
    </row>
    <row r="122" customFormat="false" ht="15" hidden="false" customHeight="false" outlineLevel="0" collapsed="false">
      <c r="A122" s="17" t="n">
        <v>135</v>
      </c>
      <c r="B122" s="7" t="str">
        <f aca="false">INDEX('AC Estimate'!$B$5:$B$238,MATCH($A122,'AC Estimate'!$A$5:$A$238,0))</f>
        <v>Karur</v>
      </c>
      <c r="C122" s="7" t="str">
        <f aca="false">INDEX('AC Estimate'!$C$5:$C$238,MATCH($A122,'AC Estimate'!$A$5:$A$238,0))</f>
        <v>Karur</v>
      </c>
      <c r="D122" s="7" t="n">
        <f aca="false">INDEX('AC Estimate'!$I$5:$I$238,MATCH($A122,'AC Estimate'!$A$5:$A$238,0))</f>
        <v>100</v>
      </c>
      <c r="E122" s="27" t="n">
        <f aca="false">INDEX('AC Estimate'!$J$5:$J$238,MATCH($A122,'AC Estimate'!$A$5:$A$238,0))</f>
        <v>0.24</v>
      </c>
      <c r="F122" s="27" t="n">
        <f aca="false">INDEX('AC Estimate'!$K$5:$K$238,MATCH($A122,'AC Estimate'!$A$5:$A$238,0))</f>
        <v>0.14</v>
      </c>
      <c r="G122" s="27" t="n">
        <f aca="false">INDEX('AC Estimate'!$L$5:$L$238,MATCH($A122,'AC Estimate'!$A$5:$A$238,0))</f>
        <v>0.03</v>
      </c>
      <c r="H122" s="27" t="n">
        <f aca="false">INDEX('AC Estimate'!$M$5:$M$238,MATCH($A122,'AC Estimate'!$A$5:$A$238,0))</f>
        <v>0.09</v>
      </c>
      <c r="I122" s="27" t="n">
        <f aca="false">INDEX('AC Estimate'!$N$5:$N$238,MATCH($A122,'AC Estimate'!$A$5:$A$238,0))</f>
        <v>0.5</v>
      </c>
      <c r="J122" s="7" t="str">
        <f aca="false">INDEX('AC Estimate'!$P$5:$P$238,MATCH($A122,'AC Estimate'!$A$5:$A$238,0))</f>
        <v>TVK</v>
      </c>
      <c r="K122" s="7" t="str">
        <f aca="false">INDEX('AC Estimate'!$AK$5:$AK$238,MATCH($A122,'AC Estimate'!$A$5:$A$238,0))</f>
        <v>TVK</v>
      </c>
      <c r="L122" s="27" t="n">
        <f aca="false">INDEX('AC Estimate'!$AM$5:$AM$238,MATCH($A122,'AC Estimate'!$A$5:$A$238,0))</f>
        <v>0.770828549080235</v>
      </c>
      <c r="M122" s="7" t="str">
        <f aca="false">INDEX('AC Estimate'!$Q$5:$Q$238,MATCH($A122,'AC Estimate'!$A$5:$A$238,0))</f>
        <v>AIADMK</v>
      </c>
      <c r="N122" s="7" t="str">
        <f aca="false">INDEX('AC Estimate'!$R$5:$R$238,MATCH($A122,'AC Estimate'!$A$5:$A$238,0))</f>
        <v>AIADMK+</v>
      </c>
      <c r="O122" s="7" t="str">
        <f aca="false">INDEX('AC Estimate'!$AL$5:$AL$238,MATCH($A122,'AC Estimate'!$A$5:$A$238,0))</f>
        <v>No</v>
      </c>
    </row>
    <row r="123" customFormat="false" ht="15" hidden="false" customHeight="false" outlineLevel="0" collapsed="false">
      <c r="A123" s="17" t="n">
        <v>136</v>
      </c>
      <c r="B123" s="7" t="str">
        <f aca="false">INDEX('AC Estimate'!$B$5:$B$238,MATCH($A123,'AC Estimate'!$A$5:$A$238,0))</f>
        <v>Krishnarayapuram</v>
      </c>
      <c r="C123" s="7" t="str">
        <f aca="false">INDEX('AC Estimate'!$C$5:$C$238,MATCH($A123,'AC Estimate'!$A$5:$A$238,0))</f>
        <v>Karur</v>
      </c>
      <c r="D123" s="7" t="n">
        <f aca="false">INDEX('AC Estimate'!$I$5:$I$238,MATCH($A123,'AC Estimate'!$A$5:$A$238,0))</f>
        <v>39</v>
      </c>
      <c r="E123" s="27" t="n">
        <f aca="false">INDEX('AC Estimate'!$J$5:$J$238,MATCH($A123,'AC Estimate'!$A$5:$A$238,0))</f>
        <v>0.282051282051282</v>
      </c>
      <c r="F123" s="27" t="n">
        <f aca="false">INDEX('AC Estimate'!$K$5:$K$238,MATCH($A123,'AC Estimate'!$A$5:$A$238,0))</f>
        <v>0.230769230769231</v>
      </c>
      <c r="G123" s="27" t="n">
        <f aca="false">INDEX('AC Estimate'!$L$5:$L$238,MATCH($A123,'AC Estimate'!$A$5:$A$238,0))</f>
        <v>0.0512820512820513</v>
      </c>
      <c r="H123" s="27" t="n">
        <f aca="false">INDEX('AC Estimate'!$M$5:$M$238,MATCH($A123,'AC Estimate'!$A$5:$A$238,0))</f>
        <v>0.0769230769230769</v>
      </c>
      <c r="I123" s="27" t="n">
        <f aca="false">INDEX('AC Estimate'!$N$5:$N$238,MATCH($A123,'AC Estimate'!$A$5:$A$238,0))</f>
        <v>0.358974358974359</v>
      </c>
      <c r="J123" s="7" t="str">
        <f aca="false">INDEX('AC Estimate'!$P$5:$P$238,MATCH($A123,'AC Estimate'!$A$5:$A$238,0))</f>
        <v>TVK</v>
      </c>
      <c r="K123" s="7" t="str">
        <f aca="false">INDEX('AC Estimate'!$AK$5:$AK$238,MATCH($A123,'AC Estimate'!$A$5:$A$238,0))</f>
        <v>DMK+</v>
      </c>
      <c r="L123" s="27" t="n">
        <f aca="false">INDEX('AC Estimate'!$AM$5:$AM$238,MATCH($A123,'AC Estimate'!$A$5:$A$238,0))</f>
        <v>0.292363720821941</v>
      </c>
      <c r="M123" s="7" t="str">
        <f aca="false">INDEX('AC Estimate'!$Q$5:$Q$238,MATCH($A123,'AC Estimate'!$A$5:$A$238,0))</f>
        <v>TVK</v>
      </c>
      <c r="N123" s="7" t="str">
        <f aca="false">INDEX('AC Estimate'!$R$5:$R$238,MATCH($A123,'AC Estimate'!$A$5:$A$238,0))</f>
        <v>TVK</v>
      </c>
      <c r="O123" s="7" t="str">
        <f aca="false">INDEX('AC Estimate'!$AL$5:$AL$238,MATCH($A123,'AC Estimate'!$A$5:$A$238,0))</f>
        <v>No</v>
      </c>
    </row>
    <row r="124" customFormat="false" ht="15" hidden="false" customHeight="false" outlineLevel="0" collapsed="false">
      <c r="A124" s="17" t="n">
        <v>137</v>
      </c>
      <c r="B124" s="7" t="str">
        <f aca="false">INDEX('AC Estimate'!$B$5:$B$238,MATCH($A124,'AC Estimate'!$A$5:$A$238,0))</f>
        <v>Kulithalai</v>
      </c>
      <c r="C124" s="7" t="str">
        <f aca="false">INDEX('AC Estimate'!$C$5:$C$238,MATCH($A124,'AC Estimate'!$A$5:$A$238,0))</f>
        <v>Karur</v>
      </c>
      <c r="D124" s="7" t="n">
        <f aca="false">INDEX('AC Estimate'!$I$5:$I$238,MATCH($A124,'AC Estimate'!$A$5:$A$238,0))</f>
        <v>32</v>
      </c>
      <c r="E124" s="27" t="n">
        <f aca="false">INDEX('AC Estimate'!$J$5:$J$238,MATCH($A124,'AC Estimate'!$A$5:$A$238,0))</f>
        <v>0.34375</v>
      </c>
      <c r="F124" s="27" t="n">
        <f aca="false">INDEX('AC Estimate'!$K$5:$K$238,MATCH($A124,'AC Estimate'!$A$5:$A$238,0))</f>
        <v>0.09375</v>
      </c>
      <c r="G124" s="27" t="n">
        <f aca="false">INDEX('AC Estimate'!$L$5:$L$238,MATCH($A124,'AC Estimate'!$A$5:$A$238,0))</f>
        <v>0.03125</v>
      </c>
      <c r="H124" s="27" t="n">
        <f aca="false">INDEX('AC Estimate'!$M$5:$M$238,MATCH($A124,'AC Estimate'!$A$5:$A$238,0))</f>
        <v>0.09375</v>
      </c>
      <c r="I124" s="27" t="n">
        <f aca="false">INDEX('AC Estimate'!$N$5:$N$238,MATCH($A124,'AC Estimate'!$A$5:$A$238,0))</f>
        <v>0.4375</v>
      </c>
      <c r="J124" s="7" t="str">
        <f aca="false">INDEX('AC Estimate'!$P$5:$P$238,MATCH($A124,'AC Estimate'!$A$5:$A$238,0))</f>
        <v>TVK</v>
      </c>
      <c r="K124" s="7" t="str">
        <f aca="false">INDEX('AC Estimate'!$AK$5:$AK$238,MATCH($A124,'AC Estimate'!$A$5:$A$238,0))</f>
        <v>AIADMK+</v>
      </c>
      <c r="L124" s="27" t="n">
        <f aca="false">INDEX('AC Estimate'!$AM$5:$AM$238,MATCH($A124,'AC Estimate'!$A$5:$A$238,0))</f>
        <v>0.427065444299097</v>
      </c>
      <c r="M124" s="7" t="str">
        <f aca="false">INDEX('AC Estimate'!$Q$5:$Q$238,MATCH($A124,'AC Estimate'!$A$5:$A$238,0))</f>
        <v>DMK</v>
      </c>
      <c r="N124" s="7" t="str">
        <f aca="false">INDEX('AC Estimate'!$R$5:$R$238,MATCH($A124,'AC Estimate'!$A$5:$A$238,0))</f>
        <v>DMK+</v>
      </c>
      <c r="O124" s="7" t="str">
        <f aca="false">INDEX('AC Estimate'!$AL$5:$AL$238,MATCH($A124,'AC Estimate'!$A$5:$A$238,0))</f>
        <v>No</v>
      </c>
    </row>
    <row r="125" customFormat="false" ht="15" hidden="false" customHeight="false" outlineLevel="0" collapsed="false">
      <c r="A125" s="33"/>
      <c r="B125" s="34" t="s">
        <v>115</v>
      </c>
      <c r="C125" s="33"/>
      <c r="D125" s="34" t="n">
        <f aca="false">SUM(D121:D124)</f>
        <v>206</v>
      </c>
      <c r="E125" s="33"/>
      <c r="F125" s="33"/>
      <c r="G125" s="33"/>
      <c r="H125" s="33"/>
      <c r="I125" s="33"/>
      <c r="J125" s="34" t="s">
        <v>92</v>
      </c>
      <c r="K125" s="34" t="str">
        <f aca="false">COUNTIF(K121:K124,"TVK")&amp;" / "&amp;COUNTIF(K121:K124,"AIADMK+")&amp;" / "&amp;COUNTIF(K121:K124,"DMK+")</f>
        <v>1 / 1 / 2</v>
      </c>
      <c r="L125" s="33"/>
      <c r="M125" s="34" t="s">
        <v>93</v>
      </c>
      <c r="N125" s="34" t="str">
        <f aca="false">COUNTIF(N121:N124,"TVK")&amp;" / "&amp;COUNTIF(N121:N124,"AIADMK+")&amp;" / "&amp;COUNTIF(N121:N124,"DMK+")</f>
        <v>1 / 1 / 2</v>
      </c>
      <c r="O125" s="34" t="str">
        <f aca="false">IF(AND(ABS(COUNTIF(K121:K124,"TVK")-COUNTIF(N121:N124,"TVK"))&lt;=Calibration!$B$3,ABS(COUNTIF(K121:K124,"AIADMK+")-COUNTIF(N121:N124,"AIADMK+"))&lt;=Calibration!$B$3,ABS(COUNTIF(K121:K124,"DMK+")-COUNTIF(N121:N124,"DMK+"))&lt;=Calibration!$B$3),"Within","Off")</f>
        <v>Within</v>
      </c>
    </row>
    <row r="127" customFormat="false" ht="15" hidden="false" customHeight="false" outlineLevel="0" collapsed="false">
      <c r="A127" s="31" t="s">
        <v>116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customFormat="false" ht="15" hidden="false" customHeight="false" outlineLevel="0" collapsed="false">
      <c r="A128" s="17" t="n">
        <v>51</v>
      </c>
      <c r="B128" s="7" t="str">
        <f aca="false">INDEX('AC Estimate'!$B$5:$B$238,MATCH($A128,'AC Estimate'!$A$5:$A$238,0))</f>
        <v>Uthangarai</v>
      </c>
      <c r="C128" s="7" t="str">
        <f aca="false">INDEX('AC Estimate'!$C$5:$C$238,MATCH($A128,'AC Estimate'!$A$5:$A$238,0))</f>
        <v>Krishnagiri</v>
      </c>
      <c r="D128" s="7" t="n">
        <f aca="false">INDEX('AC Estimate'!$I$5:$I$238,MATCH($A128,'AC Estimate'!$A$5:$A$238,0))</f>
        <v>33</v>
      </c>
      <c r="E128" s="27" t="n">
        <f aca="false">INDEX('AC Estimate'!$J$5:$J$238,MATCH($A128,'AC Estimate'!$A$5:$A$238,0))</f>
        <v>0.363636363636364</v>
      </c>
      <c r="F128" s="27" t="n">
        <f aca="false">INDEX('AC Estimate'!$K$5:$K$238,MATCH($A128,'AC Estimate'!$A$5:$A$238,0))</f>
        <v>0.151515151515152</v>
      </c>
      <c r="G128" s="27" t="n">
        <f aca="false">INDEX('AC Estimate'!$L$5:$L$238,MATCH($A128,'AC Estimate'!$A$5:$A$238,0))</f>
        <v>0</v>
      </c>
      <c r="H128" s="27" t="n">
        <f aca="false">INDEX('AC Estimate'!$M$5:$M$238,MATCH($A128,'AC Estimate'!$A$5:$A$238,0))</f>
        <v>0.0303030303030303</v>
      </c>
      <c r="I128" s="27" t="n">
        <f aca="false">INDEX('AC Estimate'!$N$5:$N$238,MATCH($A128,'AC Estimate'!$A$5:$A$238,0))</f>
        <v>0.454545454545455</v>
      </c>
      <c r="J128" s="7" t="str">
        <f aca="false">INDEX('AC Estimate'!$P$5:$P$238,MATCH($A128,'AC Estimate'!$A$5:$A$238,0))</f>
        <v>TVK</v>
      </c>
      <c r="K128" s="7" t="str">
        <f aca="false">INDEX('AC Estimate'!$AK$5:$AK$238,MATCH($A128,'AC Estimate'!$A$5:$A$238,0))</f>
        <v>AIADMK+</v>
      </c>
      <c r="L128" s="27" t="n">
        <f aca="false">INDEX('AC Estimate'!$AM$5:$AM$238,MATCH($A128,'AC Estimate'!$A$5:$A$238,0))</f>
        <v>0.415844622515558</v>
      </c>
      <c r="M128" s="7" t="str">
        <f aca="false">INDEX('AC Estimate'!$Q$5:$Q$238,MATCH($A128,'AC Estimate'!$A$5:$A$238,0))</f>
        <v>TVK</v>
      </c>
      <c r="N128" s="7" t="str">
        <f aca="false">INDEX('AC Estimate'!$R$5:$R$238,MATCH($A128,'AC Estimate'!$A$5:$A$238,0))</f>
        <v>TVK</v>
      </c>
      <c r="O128" s="7" t="str">
        <f aca="false">INDEX('AC Estimate'!$AL$5:$AL$238,MATCH($A128,'AC Estimate'!$A$5:$A$238,0))</f>
        <v>No</v>
      </c>
    </row>
    <row r="129" customFormat="false" ht="15" hidden="false" customHeight="false" outlineLevel="0" collapsed="false">
      <c r="A129" s="17" t="n">
        <v>52</v>
      </c>
      <c r="B129" s="7" t="str">
        <f aca="false">INDEX('AC Estimate'!$B$5:$B$238,MATCH($A129,'AC Estimate'!$A$5:$A$238,0))</f>
        <v>Bargur</v>
      </c>
      <c r="C129" s="7" t="str">
        <f aca="false">INDEX('AC Estimate'!$C$5:$C$238,MATCH($A129,'AC Estimate'!$A$5:$A$238,0))</f>
        <v>Krishnagiri</v>
      </c>
      <c r="D129" s="7" t="n">
        <f aca="false">INDEX('AC Estimate'!$I$5:$I$238,MATCH($A129,'AC Estimate'!$A$5:$A$238,0))</f>
        <v>41</v>
      </c>
      <c r="E129" s="27" t="n">
        <f aca="false">INDEX('AC Estimate'!$J$5:$J$238,MATCH($A129,'AC Estimate'!$A$5:$A$238,0))</f>
        <v>0.292682926829268</v>
      </c>
      <c r="F129" s="27" t="n">
        <f aca="false">INDEX('AC Estimate'!$K$5:$K$238,MATCH($A129,'AC Estimate'!$A$5:$A$238,0))</f>
        <v>0.24390243902439</v>
      </c>
      <c r="G129" s="27" t="n">
        <f aca="false">INDEX('AC Estimate'!$L$5:$L$238,MATCH($A129,'AC Estimate'!$A$5:$A$238,0))</f>
        <v>0</v>
      </c>
      <c r="H129" s="27" t="n">
        <f aca="false">INDEX('AC Estimate'!$M$5:$M$238,MATCH($A129,'AC Estimate'!$A$5:$A$238,0))</f>
        <v>0.0731707317073171</v>
      </c>
      <c r="I129" s="27" t="n">
        <f aca="false">INDEX('AC Estimate'!$N$5:$N$238,MATCH($A129,'AC Estimate'!$A$5:$A$238,0))</f>
        <v>0.390243902439024</v>
      </c>
      <c r="J129" s="7" t="str">
        <f aca="false">INDEX('AC Estimate'!$P$5:$P$238,MATCH($A129,'AC Estimate'!$A$5:$A$238,0))</f>
        <v>TVK</v>
      </c>
      <c r="K129" s="7" t="str">
        <f aca="false">INDEX('AC Estimate'!$AK$5:$AK$238,MATCH($A129,'AC Estimate'!$A$5:$A$238,0))</f>
        <v>DMK+</v>
      </c>
      <c r="L129" s="27" t="n">
        <f aca="false">INDEX('AC Estimate'!$AM$5:$AM$238,MATCH($A129,'AC Estimate'!$A$5:$A$238,0))</f>
        <v>0.28803393250426</v>
      </c>
      <c r="M129" s="7" t="str">
        <f aca="false">INDEX('AC Estimate'!$Q$5:$Q$238,MATCH($A129,'AC Estimate'!$A$5:$A$238,0))</f>
        <v>AIADMK</v>
      </c>
      <c r="N129" s="7" t="str">
        <f aca="false">INDEX('AC Estimate'!$R$5:$R$238,MATCH($A129,'AC Estimate'!$A$5:$A$238,0))</f>
        <v>AIADMK+</v>
      </c>
      <c r="O129" s="7" t="str">
        <f aca="false">INDEX('AC Estimate'!$AL$5:$AL$238,MATCH($A129,'AC Estimate'!$A$5:$A$238,0))</f>
        <v>No</v>
      </c>
    </row>
    <row r="130" customFormat="false" ht="15" hidden="false" customHeight="false" outlineLevel="0" collapsed="false">
      <c r="A130" s="17" t="n">
        <v>53</v>
      </c>
      <c r="B130" s="7" t="str">
        <f aca="false">INDEX('AC Estimate'!$B$5:$B$238,MATCH($A130,'AC Estimate'!$A$5:$A$238,0))</f>
        <v>Krishnagiri</v>
      </c>
      <c r="C130" s="7" t="str">
        <f aca="false">INDEX('AC Estimate'!$C$5:$C$238,MATCH($A130,'AC Estimate'!$A$5:$A$238,0))</f>
        <v>Krishnagiri</v>
      </c>
      <c r="D130" s="7" t="n">
        <f aca="false">INDEX('AC Estimate'!$I$5:$I$238,MATCH($A130,'AC Estimate'!$A$5:$A$238,0))</f>
        <v>80</v>
      </c>
      <c r="E130" s="27" t="n">
        <f aca="false">INDEX('AC Estimate'!$J$5:$J$238,MATCH($A130,'AC Estimate'!$A$5:$A$238,0))</f>
        <v>0.2125</v>
      </c>
      <c r="F130" s="27" t="n">
        <f aca="false">INDEX('AC Estimate'!$K$5:$K$238,MATCH($A130,'AC Estimate'!$A$5:$A$238,0))</f>
        <v>0.1875</v>
      </c>
      <c r="G130" s="27" t="n">
        <f aca="false">INDEX('AC Estimate'!$L$5:$L$238,MATCH($A130,'AC Estimate'!$A$5:$A$238,0))</f>
        <v>0</v>
      </c>
      <c r="H130" s="27" t="n">
        <f aca="false">INDEX('AC Estimate'!$M$5:$M$238,MATCH($A130,'AC Estimate'!$A$5:$A$238,0))</f>
        <v>0.1</v>
      </c>
      <c r="I130" s="27" t="n">
        <f aca="false">INDEX('AC Estimate'!$N$5:$N$238,MATCH($A130,'AC Estimate'!$A$5:$A$238,0))</f>
        <v>0.5</v>
      </c>
      <c r="J130" s="7" t="str">
        <f aca="false">INDEX('AC Estimate'!$P$5:$P$238,MATCH($A130,'AC Estimate'!$A$5:$A$238,0))</f>
        <v>TVK</v>
      </c>
      <c r="K130" s="7" t="str">
        <f aca="false">INDEX('AC Estimate'!$AK$5:$AK$238,MATCH($A130,'AC Estimate'!$A$5:$A$238,0))</f>
        <v>TVK</v>
      </c>
      <c r="L130" s="27" t="n">
        <f aca="false">INDEX('AC Estimate'!$AM$5:$AM$238,MATCH($A130,'AC Estimate'!$A$5:$A$238,0))</f>
        <v>0.681868450956751</v>
      </c>
      <c r="M130" s="7" t="str">
        <f aca="false">INDEX('AC Estimate'!$Q$5:$Q$238,MATCH($A130,'AC Estimate'!$A$5:$A$238,0))</f>
        <v>TVK</v>
      </c>
      <c r="N130" s="7" t="str">
        <f aca="false">INDEX('AC Estimate'!$R$5:$R$238,MATCH($A130,'AC Estimate'!$A$5:$A$238,0))</f>
        <v>TVK</v>
      </c>
      <c r="O130" s="7" t="str">
        <f aca="false">INDEX('AC Estimate'!$AL$5:$AL$238,MATCH($A130,'AC Estimate'!$A$5:$A$238,0))</f>
        <v>Yes</v>
      </c>
    </row>
    <row r="131" customFormat="false" ht="15" hidden="false" customHeight="false" outlineLevel="0" collapsed="false">
      <c r="A131" s="17" t="n">
        <v>54</v>
      </c>
      <c r="B131" s="7" t="str">
        <f aca="false">INDEX('AC Estimate'!$B$5:$B$238,MATCH($A131,'AC Estimate'!$A$5:$A$238,0))</f>
        <v>Veppanahalli</v>
      </c>
      <c r="C131" s="7" t="str">
        <f aca="false">INDEX('AC Estimate'!$C$5:$C$238,MATCH($A131,'AC Estimate'!$A$5:$A$238,0))</f>
        <v>Krishnagiri</v>
      </c>
      <c r="D131" s="7" t="n">
        <f aca="false">INDEX('AC Estimate'!$I$5:$I$238,MATCH($A131,'AC Estimate'!$A$5:$A$238,0))</f>
        <v>35</v>
      </c>
      <c r="E131" s="27" t="n">
        <f aca="false">INDEX('AC Estimate'!$J$5:$J$238,MATCH($A131,'AC Estimate'!$A$5:$A$238,0))</f>
        <v>0.2</v>
      </c>
      <c r="F131" s="27" t="n">
        <f aca="false">INDEX('AC Estimate'!$K$5:$K$238,MATCH($A131,'AC Estimate'!$A$5:$A$238,0))</f>
        <v>0.257142857142857</v>
      </c>
      <c r="G131" s="27" t="n">
        <f aca="false">INDEX('AC Estimate'!$L$5:$L$238,MATCH($A131,'AC Estimate'!$A$5:$A$238,0))</f>
        <v>0</v>
      </c>
      <c r="H131" s="27" t="n">
        <f aca="false">INDEX('AC Estimate'!$M$5:$M$238,MATCH($A131,'AC Estimate'!$A$5:$A$238,0))</f>
        <v>0.0857142857142857</v>
      </c>
      <c r="I131" s="27" t="n">
        <f aca="false">INDEX('AC Estimate'!$N$5:$N$238,MATCH($A131,'AC Estimate'!$A$5:$A$238,0))</f>
        <v>0.457142857142857</v>
      </c>
      <c r="J131" s="7" t="str">
        <f aca="false">INDEX('AC Estimate'!$P$5:$P$238,MATCH($A131,'AC Estimate'!$A$5:$A$238,0))</f>
        <v>TVK</v>
      </c>
      <c r="K131" s="7" t="str">
        <f aca="false">INDEX('AC Estimate'!$AK$5:$AK$238,MATCH($A131,'AC Estimate'!$A$5:$A$238,0))</f>
        <v>DMK+</v>
      </c>
      <c r="L131" s="27" t="n">
        <f aca="false">INDEX('AC Estimate'!$AM$5:$AM$238,MATCH($A131,'AC Estimate'!$A$5:$A$238,0))</f>
        <v>0.34273598767659</v>
      </c>
      <c r="M131" s="7" t="str">
        <f aca="false">INDEX('AC Estimate'!$Q$5:$Q$238,MATCH($A131,'AC Estimate'!$A$5:$A$238,0))</f>
        <v>DMK</v>
      </c>
      <c r="N131" s="7" t="str">
        <f aca="false">INDEX('AC Estimate'!$R$5:$R$238,MATCH($A131,'AC Estimate'!$A$5:$A$238,0))</f>
        <v>DMK+</v>
      </c>
      <c r="O131" s="7" t="str">
        <f aca="false">INDEX('AC Estimate'!$AL$5:$AL$238,MATCH($A131,'AC Estimate'!$A$5:$A$238,0))</f>
        <v>Yes</v>
      </c>
    </row>
    <row r="132" customFormat="false" ht="15" hidden="false" customHeight="false" outlineLevel="0" collapsed="false">
      <c r="A132" s="17" t="n">
        <v>55</v>
      </c>
      <c r="B132" s="7" t="str">
        <f aca="false">INDEX('AC Estimate'!$B$5:$B$238,MATCH($A132,'AC Estimate'!$A$5:$A$238,0))</f>
        <v>Hosur</v>
      </c>
      <c r="C132" s="7" t="str">
        <f aca="false">INDEX('AC Estimate'!$C$5:$C$238,MATCH($A132,'AC Estimate'!$A$5:$A$238,0))</f>
        <v>Krishnagiri</v>
      </c>
      <c r="D132" s="7" t="n">
        <f aca="false">INDEX('AC Estimate'!$I$5:$I$238,MATCH($A132,'AC Estimate'!$A$5:$A$238,0))</f>
        <v>105</v>
      </c>
      <c r="E132" s="27" t="n">
        <f aca="false">INDEX('AC Estimate'!$J$5:$J$238,MATCH($A132,'AC Estimate'!$A$5:$A$238,0))</f>
        <v>0.390476190476191</v>
      </c>
      <c r="F132" s="27" t="n">
        <f aca="false">INDEX('AC Estimate'!$K$5:$K$238,MATCH($A132,'AC Estimate'!$A$5:$A$238,0))</f>
        <v>0.142857142857143</v>
      </c>
      <c r="G132" s="27" t="n">
        <f aca="false">INDEX('AC Estimate'!$L$5:$L$238,MATCH($A132,'AC Estimate'!$A$5:$A$238,0))</f>
        <v>0.00952380952380953</v>
      </c>
      <c r="H132" s="27" t="n">
        <f aca="false">INDEX('AC Estimate'!$M$5:$M$238,MATCH($A132,'AC Estimate'!$A$5:$A$238,0))</f>
        <v>0.0571428571428571</v>
      </c>
      <c r="I132" s="27" t="n">
        <f aca="false">INDEX('AC Estimate'!$N$5:$N$238,MATCH($A132,'AC Estimate'!$A$5:$A$238,0))</f>
        <v>0.4</v>
      </c>
      <c r="J132" s="7" t="str">
        <f aca="false">INDEX('AC Estimate'!$P$5:$P$238,MATCH($A132,'AC Estimate'!$A$5:$A$238,0))</f>
        <v>AIADMK+</v>
      </c>
      <c r="K132" s="7" t="str">
        <f aca="false">INDEX('AC Estimate'!$AK$5:$AK$238,MATCH($A132,'AC Estimate'!$A$5:$A$238,0))</f>
        <v>TVK</v>
      </c>
      <c r="L132" s="27" t="n">
        <f aca="false">INDEX('AC Estimate'!$AM$5:$AM$238,MATCH($A132,'AC Estimate'!$A$5:$A$238,0))</f>
        <v>0.755403586810526</v>
      </c>
      <c r="M132" s="7" t="str">
        <f aca="false">INDEX('AC Estimate'!$Q$5:$Q$238,MATCH($A132,'AC Estimate'!$A$5:$A$238,0))</f>
        <v>AIADMK</v>
      </c>
      <c r="N132" s="7" t="str">
        <f aca="false">INDEX('AC Estimate'!$R$5:$R$238,MATCH($A132,'AC Estimate'!$A$5:$A$238,0))</f>
        <v>AIADMK+</v>
      </c>
      <c r="O132" s="7" t="str">
        <f aca="false">INDEX('AC Estimate'!$AL$5:$AL$238,MATCH($A132,'AC Estimate'!$A$5:$A$238,0))</f>
        <v>No</v>
      </c>
    </row>
    <row r="133" customFormat="false" ht="15" hidden="false" customHeight="false" outlineLevel="0" collapsed="false">
      <c r="A133" s="17" t="n">
        <v>56</v>
      </c>
      <c r="B133" s="7" t="str">
        <f aca="false">INDEX('AC Estimate'!$B$5:$B$238,MATCH($A133,'AC Estimate'!$A$5:$A$238,0))</f>
        <v>Thalli</v>
      </c>
      <c r="C133" s="7" t="str">
        <f aca="false">INDEX('AC Estimate'!$C$5:$C$238,MATCH($A133,'AC Estimate'!$A$5:$A$238,0))</f>
        <v>Krishnagiri</v>
      </c>
      <c r="D133" s="7" t="n">
        <f aca="false">INDEX('AC Estimate'!$I$5:$I$238,MATCH($A133,'AC Estimate'!$A$5:$A$238,0))</f>
        <v>33</v>
      </c>
      <c r="E133" s="27" t="n">
        <f aca="false">INDEX('AC Estimate'!$J$5:$J$238,MATCH($A133,'AC Estimate'!$A$5:$A$238,0))</f>
        <v>0.333333333333333</v>
      </c>
      <c r="F133" s="27" t="n">
        <f aca="false">INDEX('AC Estimate'!$K$5:$K$238,MATCH($A133,'AC Estimate'!$A$5:$A$238,0))</f>
        <v>0.181818181818182</v>
      </c>
      <c r="G133" s="27" t="n">
        <f aca="false">INDEX('AC Estimate'!$L$5:$L$238,MATCH($A133,'AC Estimate'!$A$5:$A$238,0))</f>
        <v>0.0606060606060606</v>
      </c>
      <c r="H133" s="27" t="n">
        <f aca="false">INDEX('AC Estimate'!$M$5:$M$238,MATCH($A133,'AC Estimate'!$A$5:$A$238,0))</f>
        <v>0.151515151515152</v>
      </c>
      <c r="I133" s="27" t="n">
        <f aca="false">INDEX('AC Estimate'!$N$5:$N$238,MATCH($A133,'AC Estimate'!$A$5:$A$238,0))</f>
        <v>0.272727272727273</v>
      </c>
      <c r="J133" s="7" t="str">
        <f aca="false">INDEX('AC Estimate'!$P$5:$P$238,MATCH($A133,'AC Estimate'!$A$5:$A$238,0))</f>
        <v>AIADMK+</v>
      </c>
      <c r="K133" s="7" t="str">
        <f aca="false">INDEX('AC Estimate'!$AK$5:$AK$238,MATCH($A133,'AC Estimate'!$A$5:$A$238,0))</f>
        <v>AIADMK+</v>
      </c>
      <c r="L133" s="27" t="n">
        <f aca="false">INDEX('AC Estimate'!$AM$5:$AM$238,MATCH($A133,'AC Estimate'!$A$5:$A$238,0))</f>
        <v>0.413936996029428</v>
      </c>
      <c r="M133" s="7" t="str">
        <f aca="false">INDEX('AC Estimate'!$Q$5:$Q$238,MATCH($A133,'AC Estimate'!$A$5:$A$238,0))</f>
        <v>CPI</v>
      </c>
      <c r="N133" s="7" t="str">
        <f aca="false">INDEX('AC Estimate'!$R$5:$R$238,MATCH($A133,'AC Estimate'!$A$5:$A$238,0))</f>
        <v>DMK+</v>
      </c>
      <c r="O133" s="7" t="str">
        <f aca="false">INDEX('AC Estimate'!$AL$5:$AL$238,MATCH($A133,'AC Estimate'!$A$5:$A$238,0))</f>
        <v>No</v>
      </c>
    </row>
    <row r="134" customFormat="false" ht="15" hidden="false" customHeight="false" outlineLevel="0" collapsed="false">
      <c r="A134" s="33"/>
      <c r="B134" s="34" t="s">
        <v>117</v>
      </c>
      <c r="C134" s="33"/>
      <c r="D134" s="34" t="n">
        <f aca="false">SUM(D128:D133)</f>
        <v>327</v>
      </c>
      <c r="E134" s="33"/>
      <c r="F134" s="33"/>
      <c r="G134" s="33"/>
      <c r="H134" s="33"/>
      <c r="I134" s="33"/>
      <c r="J134" s="34" t="s">
        <v>92</v>
      </c>
      <c r="K134" s="34" t="str">
        <f aca="false">COUNTIF(K128:K133,"TVK")&amp;" / "&amp;COUNTIF(K128:K133,"AIADMK+")&amp;" / "&amp;COUNTIF(K128:K133,"DMK+")</f>
        <v>2 / 2 / 2</v>
      </c>
      <c r="L134" s="33"/>
      <c r="M134" s="34" t="s">
        <v>93</v>
      </c>
      <c r="N134" s="34" t="str">
        <f aca="false">COUNTIF(N128:N133,"TVK")&amp;" / "&amp;COUNTIF(N128:N133,"AIADMK+")&amp;" / "&amp;COUNTIF(N128:N133,"DMK+")</f>
        <v>2 / 2 / 2</v>
      </c>
      <c r="O134" s="34" t="str">
        <f aca="false">IF(AND(ABS(COUNTIF(K128:K133,"TVK")-COUNTIF(N128:N133,"TVK"))&lt;=Calibration!$B$3,ABS(COUNTIF(K128:K133,"AIADMK+")-COUNTIF(N128:N133,"AIADMK+"))&lt;=Calibration!$B$3,ABS(COUNTIF(K128:K133,"DMK+")-COUNTIF(N128:N133,"DMK+"))&lt;=Calibration!$B$3),"Within","Off")</f>
        <v>Within</v>
      </c>
    </row>
    <row r="136" customFormat="false" ht="15" hidden="false" customHeight="false" outlineLevel="0" collapsed="false">
      <c r="A136" s="31" t="s">
        <v>118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customFormat="false" ht="15" hidden="false" customHeight="false" outlineLevel="0" collapsed="false">
      <c r="A137" s="17" t="n">
        <v>188</v>
      </c>
      <c r="B137" s="7" t="str">
        <f aca="false">INDEX('AC Estimate'!$B$5:$B$238,MATCH($A137,'AC Estimate'!$A$5:$A$238,0))</f>
        <v>Melur</v>
      </c>
      <c r="C137" s="7" t="str">
        <f aca="false">INDEX('AC Estimate'!$C$5:$C$238,MATCH($A137,'AC Estimate'!$A$5:$A$238,0))</f>
        <v>Madurai</v>
      </c>
      <c r="D137" s="7" t="n">
        <f aca="false">INDEX('AC Estimate'!$I$5:$I$238,MATCH($A137,'AC Estimate'!$A$5:$A$238,0))</f>
        <v>17</v>
      </c>
      <c r="E137" s="27" t="n">
        <f aca="false">INDEX('AC Estimate'!$J$5:$J$238,MATCH($A137,'AC Estimate'!$A$5:$A$238,0))</f>
        <v>0.0588235294117647</v>
      </c>
      <c r="F137" s="27" t="n">
        <f aca="false">INDEX('AC Estimate'!$K$5:$K$238,MATCH($A137,'AC Estimate'!$A$5:$A$238,0))</f>
        <v>0.411764705882353</v>
      </c>
      <c r="G137" s="27" t="n">
        <f aca="false">INDEX('AC Estimate'!$L$5:$L$238,MATCH($A137,'AC Estimate'!$A$5:$A$238,0))</f>
        <v>0</v>
      </c>
      <c r="H137" s="27" t="n">
        <f aca="false">INDEX('AC Estimate'!$M$5:$M$238,MATCH($A137,'AC Estimate'!$A$5:$A$238,0))</f>
        <v>0.294117647058824</v>
      </c>
      <c r="I137" s="27" t="n">
        <f aca="false">INDEX('AC Estimate'!$N$5:$N$238,MATCH($A137,'AC Estimate'!$A$5:$A$238,0))</f>
        <v>0.235294117647059</v>
      </c>
      <c r="J137" s="7" t="str">
        <f aca="false">INDEX('AC Estimate'!$P$5:$P$238,MATCH($A137,'AC Estimate'!$A$5:$A$238,0))</f>
        <v>DMK+</v>
      </c>
      <c r="K137" s="7" t="str">
        <f aca="false">INDEX('AC Estimate'!$AK$5:$AK$238,MATCH($A137,'AC Estimate'!$A$5:$A$238,0))</f>
        <v>DMK+</v>
      </c>
      <c r="L137" s="27" t="n">
        <f aca="false">INDEX('AC Estimate'!$AM$5:$AM$238,MATCH($A137,'AC Estimate'!$A$5:$A$238,0))</f>
        <v>0.671078245398513</v>
      </c>
      <c r="M137" s="7" t="str">
        <f aca="false">INDEX('AC Estimate'!$Q$5:$Q$238,MATCH($A137,'AC Estimate'!$A$5:$A$238,0))</f>
        <v>INC</v>
      </c>
      <c r="N137" s="7" t="str">
        <f aca="false">INDEX('AC Estimate'!$R$5:$R$238,MATCH($A137,'AC Estimate'!$A$5:$A$238,0))</f>
        <v>DMK+</v>
      </c>
      <c r="O137" s="7" t="str">
        <f aca="false">INDEX('AC Estimate'!$AL$5:$AL$238,MATCH($A137,'AC Estimate'!$A$5:$A$238,0))</f>
        <v>Yes</v>
      </c>
    </row>
    <row r="138" customFormat="false" ht="15" hidden="false" customHeight="false" outlineLevel="0" collapsed="false">
      <c r="A138" s="17" t="n">
        <v>189</v>
      </c>
      <c r="B138" s="7" t="str">
        <f aca="false">INDEX('AC Estimate'!$B$5:$B$238,MATCH($A138,'AC Estimate'!$A$5:$A$238,0))</f>
        <v>Madurai East</v>
      </c>
      <c r="C138" s="7" t="str">
        <f aca="false">INDEX('AC Estimate'!$C$5:$C$238,MATCH($A138,'AC Estimate'!$A$5:$A$238,0))</f>
        <v>Madurai</v>
      </c>
      <c r="D138" s="7" t="n">
        <f aca="false">INDEX('AC Estimate'!$I$5:$I$238,MATCH($A138,'AC Estimate'!$A$5:$A$238,0))</f>
        <v>82</v>
      </c>
      <c r="E138" s="27" t="n">
        <f aca="false">INDEX('AC Estimate'!$J$5:$J$238,MATCH($A138,'AC Estimate'!$A$5:$A$238,0))</f>
        <v>0.182926829268293</v>
      </c>
      <c r="F138" s="27" t="n">
        <f aca="false">INDEX('AC Estimate'!$K$5:$K$238,MATCH($A138,'AC Estimate'!$A$5:$A$238,0))</f>
        <v>0.390243902439024</v>
      </c>
      <c r="G138" s="27" t="n">
        <f aca="false">INDEX('AC Estimate'!$L$5:$L$238,MATCH($A138,'AC Estimate'!$A$5:$A$238,0))</f>
        <v>0</v>
      </c>
      <c r="H138" s="27" t="n">
        <f aca="false">INDEX('AC Estimate'!$M$5:$M$238,MATCH($A138,'AC Estimate'!$A$5:$A$238,0))</f>
        <v>0.0731707317073171</v>
      </c>
      <c r="I138" s="27" t="n">
        <f aca="false">INDEX('AC Estimate'!$N$5:$N$238,MATCH($A138,'AC Estimate'!$A$5:$A$238,0))</f>
        <v>0.353658536585366</v>
      </c>
      <c r="J138" s="7" t="str">
        <f aca="false">INDEX('AC Estimate'!$P$5:$P$238,MATCH($A138,'AC Estimate'!$A$5:$A$238,0))</f>
        <v>DMK+</v>
      </c>
      <c r="K138" s="7" t="str">
        <f aca="false">INDEX('AC Estimate'!$AK$5:$AK$238,MATCH($A138,'AC Estimate'!$A$5:$A$238,0))</f>
        <v>TVK</v>
      </c>
      <c r="L138" s="27" t="n">
        <f aca="false">INDEX('AC Estimate'!$AM$5:$AM$238,MATCH($A138,'AC Estimate'!$A$5:$A$238,0))</f>
        <v>0.610259022264223</v>
      </c>
      <c r="M138" s="7" t="str">
        <f aca="false">INDEX('AC Estimate'!$Q$5:$Q$238,MATCH($A138,'AC Estimate'!$A$5:$A$238,0))</f>
        <v>TVK</v>
      </c>
      <c r="N138" s="7" t="str">
        <f aca="false">INDEX('AC Estimate'!$R$5:$R$238,MATCH($A138,'AC Estimate'!$A$5:$A$238,0))</f>
        <v>TVK</v>
      </c>
      <c r="O138" s="7" t="str">
        <f aca="false">INDEX('AC Estimate'!$AL$5:$AL$238,MATCH($A138,'AC Estimate'!$A$5:$A$238,0))</f>
        <v>Yes</v>
      </c>
    </row>
    <row r="139" customFormat="false" ht="15" hidden="false" customHeight="false" outlineLevel="0" collapsed="false">
      <c r="A139" s="17" t="n">
        <v>190</v>
      </c>
      <c r="B139" s="7" t="str">
        <f aca="false">INDEX('AC Estimate'!$B$5:$B$238,MATCH($A139,'AC Estimate'!$A$5:$A$238,0))</f>
        <v>Sholavandan</v>
      </c>
      <c r="C139" s="7" t="str">
        <f aca="false">INDEX('AC Estimate'!$C$5:$C$238,MATCH($A139,'AC Estimate'!$A$5:$A$238,0))</f>
        <v>Madurai</v>
      </c>
      <c r="D139" s="7" t="n">
        <f aca="false">INDEX('AC Estimate'!$I$5:$I$238,MATCH($A139,'AC Estimate'!$A$5:$A$238,0))</f>
        <v>45</v>
      </c>
      <c r="E139" s="27" t="n">
        <f aca="false">INDEX('AC Estimate'!$J$5:$J$238,MATCH($A139,'AC Estimate'!$A$5:$A$238,0))</f>
        <v>0.266666666666667</v>
      </c>
      <c r="F139" s="27" t="n">
        <f aca="false">INDEX('AC Estimate'!$K$5:$K$238,MATCH($A139,'AC Estimate'!$A$5:$A$238,0))</f>
        <v>0.333333333333333</v>
      </c>
      <c r="G139" s="27" t="n">
        <f aca="false">INDEX('AC Estimate'!$L$5:$L$238,MATCH($A139,'AC Estimate'!$A$5:$A$238,0))</f>
        <v>0</v>
      </c>
      <c r="H139" s="27" t="n">
        <f aca="false">INDEX('AC Estimate'!$M$5:$M$238,MATCH($A139,'AC Estimate'!$A$5:$A$238,0))</f>
        <v>0.111111111111111</v>
      </c>
      <c r="I139" s="27" t="n">
        <f aca="false">INDEX('AC Estimate'!$N$5:$N$238,MATCH($A139,'AC Estimate'!$A$5:$A$238,0))</f>
        <v>0.288888888888889</v>
      </c>
      <c r="J139" s="7" t="str">
        <f aca="false">INDEX('AC Estimate'!$P$5:$P$238,MATCH($A139,'AC Estimate'!$A$5:$A$238,0))</f>
        <v>DMK+</v>
      </c>
      <c r="K139" s="7" t="str">
        <f aca="false">INDEX('AC Estimate'!$AK$5:$AK$238,MATCH($A139,'AC Estimate'!$A$5:$A$238,0))</f>
        <v>TVK</v>
      </c>
      <c r="L139" s="27" t="n">
        <f aca="false">INDEX('AC Estimate'!$AM$5:$AM$238,MATCH($A139,'AC Estimate'!$A$5:$A$238,0))</f>
        <v>0.354835447650883</v>
      </c>
      <c r="M139" s="7" t="str">
        <f aca="false">INDEX('AC Estimate'!$Q$5:$Q$238,MATCH($A139,'AC Estimate'!$A$5:$A$238,0))</f>
        <v>TVK</v>
      </c>
      <c r="N139" s="7" t="str">
        <f aca="false">INDEX('AC Estimate'!$R$5:$R$238,MATCH($A139,'AC Estimate'!$A$5:$A$238,0))</f>
        <v>TVK</v>
      </c>
      <c r="O139" s="7" t="str">
        <f aca="false">INDEX('AC Estimate'!$AL$5:$AL$238,MATCH($A139,'AC Estimate'!$A$5:$A$238,0))</f>
        <v>Yes</v>
      </c>
    </row>
    <row r="140" customFormat="false" ht="15" hidden="false" customHeight="false" outlineLevel="0" collapsed="false">
      <c r="A140" s="17" t="n">
        <v>191</v>
      </c>
      <c r="B140" s="7" t="str">
        <f aca="false">INDEX('AC Estimate'!$B$5:$B$238,MATCH($A140,'AC Estimate'!$A$5:$A$238,0))</f>
        <v>Madurai North</v>
      </c>
      <c r="C140" s="7" t="str">
        <f aca="false">INDEX('AC Estimate'!$C$5:$C$238,MATCH($A140,'AC Estimate'!$A$5:$A$238,0))</f>
        <v>Madurai</v>
      </c>
      <c r="D140" s="7" t="n">
        <f aca="false">INDEX('AC Estimate'!$I$5:$I$238,MATCH($A140,'AC Estimate'!$A$5:$A$238,0))</f>
        <v>75</v>
      </c>
      <c r="E140" s="27" t="n">
        <f aca="false">INDEX('AC Estimate'!$J$5:$J$238,MATCH($A140,'AC Estimate'!$A$5:$A$238,0))</f>
        <v>0.16</v>
      </c>
      <c r="F140" s="27" t="n">
        <f aca="false">INDEX('AC Estimate'!$K$5:$K$238,MATCH($A140,'AC Estimate'!$A$5:$A$238,0))</f>
        <v>0.28</v>
      </c>
      <c r="G140" s="27" t="n">
        <f aca="false">INDEX('AC Estimate'!$L$5:$L$238,MATCH($A140,'AC Estimate'!$A$5:$A$238,0))</f>
        <v>0.0266666666666667</v>
      </c>
      <c r="H140" s="27" t="n">
        <f aca="false">INDEX('AC Estimate'!$M$5:$M$238,MATCH($A140,'AC Estimate'!$A$5:$A$238,0))</f>
        <v>0.0666666666666667</v>
      </c>
      <c r="I140" s="27" t="n">
        <f aca="false">INDEX('AC Estimate'!$N$5:$N$238,MATCH($A140,'AC Estimate'!$A$5:$A$238,0))</f>
        <v>0.466666666666667</v>
      </c>
      <c r="J140" s="7" t="str">
        <f aca="false">INDEX('AC Estimate'!$P$5:$P$238,MATCH($A140,'AC Estimate'!$A$5:$A$238,0))</f>
        <v>TVK</v>
      </c>
      <c r="K140" s="7" t="str">
        <f aca="false">INDEX('AC Estimate'!$AK$5:$AK$238,MATCH($A140,'AC Estimate'!$A$5:$A$238,0))</f>
        <v>TVK</v>
      </c>
      <c r="L140" s="27" t="n">
        <f aca="false">INDEX('AC Estimate'!$AM$5:$AM$238,MATCH($A140,'AC Estimate'!$A$5:$A$238,0))</f>
        <v>0.613855746353921</v>
      </c>
      <c r="M140" s="7" t="str">
        <f aca="false">INDEX('AC Estimate'!$Q$5:$Q$238,MATCH($A140,'AC Estimate'!$A$5:$A$238,0))</f>
        <v>TVK</v>
      </c>
      <c r="N140" s="7" t="str">
        <f aca="false">INDEX('AC Estimate'!$R$5:$R$238,MATCH($A140,'AC Estimate'!$A$5:$A$238,0))</f>
        <v>TVK</v>
      </c>
      <c r="O140" s="7" t="str">
        <f aca="false">INDEX('AC Estimate'!$AL$5:$AL$238,MATCH($A140,'AC Estimate'!$A$5:$A$238,0))</f>
        <v>Yes</v>
      </c>
    </row>
    <row r="141" customFormat="false" ht="15" hidden="false" customHeight="false" outlineLevel="0" collapsed="false">
      <c r="A141" s="17" t="n">
        <v>192</v>
      </c>
      <c r="B141" s="7" t="str">
        <f aca="false">INDEX('AC Estimate'!$B$5:$B$238,MATCH($A141,'AC Estimate'!$A$5:$A$238,0))</f>
        <v>Madurai South</v>
      </c>
      <c r="C141" s="7" t="str">
        <f aca="false">INDEX('AC Estimate'!$C$5:$C$238,MATCH($A141,'AC Estimate'!$A$5:$A$238,0))</f>
        <v>Madurai</v>
      </c>
      <c r="D141" s="7" t="n">
        <f aca="false">INDEX('AC Estimate'!$I$5:$I$238,MATCH($A141,'AC Estimate'!$A$5:$A$238,0))</f>
        <v>79</v>
      </c>
      <c r="E141" s="27" t="n">
        <f aca="false">INDEX('AC Estimate'!$J$5:$J$238,MATCH($A141,'AC Estimate'!$A$5:$A$238,0))</f>
        <v>0.367088607594937</v>
      </c>
      <c r="F141" s="27" t="n">
        <f aca="false">INDEX('AC Estimate'!$K$5:$K$238,MATCH($A141,'AC Estimate'!$A$5:$A$238,0))</f>
        <v>0.20253164556962</v>
      </c>
      <c r="G141" s="27" t="n">
        <f aca="false">INDEX('AC Estimate'!$L$5:$L$238,MATCH($A141,'AC Estimate'!$A$5:$A$238,0))</f>
        <v>0</v>
      </c>
      <c r="H141" s="27" t="n">
        <f aca="false">INDEX('AC Estimate'!$M$5:$M$238,MATCH($A141,'AC Estimate'!$A$5:$A$238,0))</f>
        <v>0.113924050632911</v>
      </c>
      <c r="I141" s="27" t="n">
        <f aca="false">INDEX('AC Estimate'!$N$5:$N$238,MATCH($A141,'AC Estimate'!$A$5:$A$238,0))</f>
        <v>0.316455696202532</v>
      </c>
      <c r="J141" s="7" t="str">
        <f aca="false">INDEX('AC Estimate'!$P$5:$P$238,MATCH($A141,'AC Estimate'!$A$5:$A$238,0))</f>
        <v>AIADMK+</v>
      </c>
      <c r="K141" s="7" t="str">
        <f aca="false">INDEX('AC Estimate'!$AK$5:$AK$238,MATCH($A141,'AC Estimate'!$A$5:$A$238,0))</f>
        <v>TVK</v>
      </c>
      <c r="L141" s="27" t="n">
        <f aca="false">INDEX('AC Estimate'!$AM$5:$AM$238,MATCH($A141,'AC Estimate'!$A$5:$A$238,0))</f>
        <v>0.612970055234239</v>
      </c>
      <c r="M141" s="7" t="str">
        <f aca="false">INDEX('AC Estimate'!$Q$5:$Q$238,MATCH($A141,'AC Estimate'!$A$5:$A$238,0))</f>
        <v>TVK</v>
      </c>
      <c r="N141" s="7" t="str">
        <f aca="false">INDEX('AC Estimate'!$R$5:$R$238,MATCH($A141,'AC Estimate'!$A$5:$A$238,0))</f>
        <v>TVK</v>
      </c>
      <c r="O141" s="7" t="str">
        <f aca="false">INDEX('AC Estimate'!$AL$5:$AL$238,MATCH($A141,'AC Estimate'!$A$5:$A$238,0))</f>
        <v>Yes</v>
      </c>
    </row>
    <row r="142" customFormat="false" ht="15" hidden="false" customHeight="false" outlineLevel="0" collapsed="false">
      <c r="A142" s="17" t="n">
        <v>193</v>
      </c>
      <c r="B142" s="7" t="str">
        <f aca="false">INDEX('AC Estimate'!$B$5:$B$238,MATCH($A142,'AC Estimate'!$A$5:$A$238,0))</f>
        <v>Madurai Central</v>
      </c>
      <c r="C142" s="7" t="str">
        <f aca="false">INDEX('AC Estimate'!$C$5:$C$238,MATCH($A142,'AC Estimate'!$A$5:$A$238,0))</f>
        <v>Madurai</v>
      </c>
      <c r="D142" s="7" t="n">
        <f aca="false">INDEX('AC Estimate'!$I$5:$I$238,MATCH($A142,'AC Estimate'!$A$5:$A$238,0))</f>
        <v>44</v>
      </c>
      <c r="E142" s="27" t="n">
        <f aca="false">INDEX('AC Estimate'!$J$5:$J$238,MATCH($A142,'AC Estimate'!$A$5:$A$238,0))</f>
        <v>0.272727272727273</v>
      </c>
      <c r="F142" s="27" t="n">
        <f aca="false">INDEX('AC Estimate'!$K$5:$K$238,MATCH($A142,'AC Estimate'!$A$5:$A$238,0))</f>
        <v>0.386363636363636</v>
      </c>
      <c r="G142" s="27" t="n">
        <f aca="false">INDEX('AC Estimate'!$L$5:$L$238,MATCH($A142,'AC Estimate'!$A$5:$A$238,0))</f>
        <v>0</v>
      </c>
      <c r="H142" s="27" t="n">
        <f aca="false">INDEX('AC Estimate'!$M$5:$M$238,MATCH($A142,'AC Estimate'!$A$5:$A$238,0))</f>
        <v>0.0909090909090909</v>
      </c>
      <c r="I142" s="27" t="n">
        <f aca="false">INDEX('AC Estimate'!$N$5:$N$238,MATCH($A142,'AC Estimate'!$A$5:$A$238,0))</f>
        <v>0.25</v>
      </c>
      <c r="J142" s="7" t="str">
        <f aca="false">INDEX('AC Estimate'!$P$5:$P$238,MATCH($A142,'AC Estimate'!$A$5:$A$238,0))</f>
        <v>DMK+</v>
      </c>
      <c r="K142" s="7" t="str">
        <f aca="false">INDEX('AC Estimate'!$AK$5:$AK$238,MATCH($A142,'AC Estimate'!$A$5:$A$238,0))</f>
        <v>TVK</v>
      </c>
      <c r="L142" s="27" t="n">
        <f aca="false">INDEX('AC Estimate'!$AM$5:$AM$238,MATCH($A142,'AC Estimate'!$A$5:$A$238,0))</f>
        <v>0.332038215182593</v>
      </c>
      <c r="M142" s="7" t="str">
        <f aca="false">INDEX('AC Estimate'!$Q$5:$Q$238,MATCH($A142,'AC Estimate'!$A$5:$A$238,0))</f>
        <v>TVK</v>
      </c>
      <c r="N142" s="7" t="str">
        <f aca="false">INDEX('AC Estimate'!$R$5:$R$238,MATCH($A142,'AC Estimate'!$A$5:$A$238,0))</f>
        <v>TVK</v>
      </c>
      <c r="O142" s="7" t="str">
        <f aca="false">INDEX('AC Estimate'!$AL$5:$AL$238,MATCH($A142,'AC Estimate'!$A$5:$A$238,0))</f>
        <v>Yes</v>
      </c>
    </row>
    <row r="143" customFormat="false" ht="15" hidden="false" customHeight="false" outlineLevel="0" collapsed="false">
      <c r="A143" s="17" t="n">
        <v>194</v>
      </c>
      <c r="B143" s="7" t="str">
        <f aca="false">INDEX('AC Estimate'!$B$5:$B$238,MATCH($A143,'AC Estimate'!$A$5:$A$238,0))</f>
        <v>Madurai West</v>
      </c>
      <c r="C143" s="7" t="str">
        <f aca="false">INDEX('AC Estimate'!$C$5:$C$238,MATCH($A143,'AC Estimate'!$A$5:$A$238,0))</f>
        <v>Madurai</v>
      </c>
      <c r="D143" s="7" t="n">
        <f aca="false">INDEX('AC Estimate'!$I$5:$I$238,MATCH($A143,'AC Estimate'!$A$5:$A$238,0))</f>
        <v>39</v>
      </c>
      <c r="E143" s="27" t="n">
        <f aca="false">INDEX('AC Estimate'!$J$5:$J$238,MATCH($A143,'AC Estimate'!$A$5:$A$238,0))</f>
        <v>0.256410256410256</v>
      </c>
      <c r="F143" s="27" t="n">
        <f aca="false">INDEX('AC Estimate'!$K$5:$K$238,MATCH($A143,'AC Estimate'!$A$5:$A$238,0))</f>
        <v>0.41025641025641</v>
      </c>
      <c r="G143" s="27" t="n">
        <f aca="false">INDEX('AC Estimate'!$L$5:$L$238,MATCH($A143,'AC Estimate'!$A$5:$A$238,0))</f>
        <v>0</v>
      </c>
      <c r="H143" s="27" t="n">
        <f aca="false">INDEX('AC Estimate'!$M$5:$M$238,MATCH($A143,'AC Estimate'!$A$5:$A$238,0))</f>
        <v>0</v>
      </c>
      <c r="I143" s="27" t="n">
        <f aca="false">INDEX('AC Estimate'!$N$5:$N$238,MATCH($A143,'AC Estimate'!$A$5:$A$238,0))</f>
        <v>0.333333333333333</v>
      </c>
      <c r="J143" s="7" t="str">
        <f aca="false">INDEX('AC Estimate'!$P$5:$P$238,MATCH($A143,'AC Estimate'!$A$5:$A$238,0))</f>
        <v>DMK+</v>
      </c>
      <c r="K143" s="7" t="str">
        <f aca="false">INDEX('AC Estimate'!$AK$5:$AK$238,MATCH($A143,'AC Estimate'!$A$5:$A$238,0))</f>
        <v>DMK+</v>
      </c>
      <c r="L143" s="27" t="n">
        <f aca="false">INDEX('AC Estimate'!$AM$5:$AM$238,MATCH($A143,'AC Estimate'!$A$5:$A$238,0))</f>
        <v>0.436960601406465</v>
      </c>
      <c r="M143" s="7" t="str">
        <f aca="false">INDEX('AC Estimate'!$Q$5:$Q$238,MATCH($A143,'AC Estimate'!$A$5:$A$238,0))</f>
        <v>TVK</v>
      </c>
      <c r="N143" s="7" t="str">
        <f aca="false">INDEX('AC Estimate'!$R$5:$R$238,MATCH($A143,'AC Estimate'!$A$5:$A$238,0))</f>
        <v>TVK</v>
      </c>
      <c r="O143" s="7" t="str">
        <f aca="false">INDEX('AC Estimate'!$AL$5:$AL$238,MATCH($A143,'AC Estimate'!$A$5:$A$238,0))</f>
        <v>No</v>
      </c>
    </row>
    <row r="144" customFormat="false" ht="15" hidden="false" customHeight="false" outlineLevel="0" collapsed="false">
      <c r="A144" s="17" t="n">
        <v>195</v>
      </c>
      <c r="B144" s="7" t="str">
        <f aca="false">INDEX('AC Estimate'!$B$5:$B$238,MATCH($A144,'AC Estimate'!$A$5:$A$238,0))</f>
        <v>Thiruparankundram</v>
      </c>
      <c r="C144" s="7" t="str">
        <f aca="false">INDEX('AC Estimate'!$C$5:$C$238,MATCH($A144,'AC Estimate'!$A$5:$A$238,0))</f>
        <v>Madurai</v>
      </c>
      <c r="D144" s="7" t="n">
        <f aca="false">INDEX('AC Estimate'!$I$5:$I$238,MATCH($A144,'AC Estimate'!$A$5:$A$238,0))</f>
        <v>61</v>
      </c>
      <c r="E144" s="27" t="n">
        <f aca="false">INDEX('AC Estimate'!$J$5:$J$238,MATCH($A144,'AC Estimate'!$A$5:$A$238,0))</f>
        <v>0.163934426229508</v>
      </c>
      <c r="F144" s="27" t="n">
        <f aca="false">INDEX('AC Estimate'!$K$5:$K$238,MATCH($A144,'AC Estimate'!$A$5:$A$238,0))</f>
        <v>0.262295081967213</v>
      </c>
      <c r="G144" s="27" t="n">
        <f aca="false">INDEX('AC Estimate'!$L$5:$L$238,MATCH($A144,'AC Estimate'!$A$5:$A$238,0))</f>
        <v>0</v>
      </c>
      <c r="H144" s="27" t="n">
        <f aca="false">INDEX('AC Estimate'!$M$5:$M$238,MATCH($A144,'AC Estimate'!$A$5:$A$238,0))</f>
        <v>0.0983606557377049</v>
      </c>
      <c r="I144" s="27" t="n">
        <f aca="false">INDEX('AC Estimate'!$N$5:$N$238,MATCH($A144,'AC Estimate'!$A$5:$A$238,0))</f>
        <v>0.475409836065574</v>
      </c>
      <c r="J144" s="7" t="str">
        <f aca="false">INDEX('AC Estimate'!$P$5:$P$238,MATCH($A144,'AC Estimate'!$A$5:$A$238,0))</f>
        <v>TVK</v>
      </c>
      <c r="K144" s="7" t="str">
        <f aca="false">INDEX('AC Estimate'!$AK$5:$AK$238,MATCH($A144,'AC Estimate'!$A$5:$A$238,0))</f>
        <v>TVK</v>
      </c>
      <c r="L144" s="27" t="n">
        <f aca="false">INDEX('AC Estimate'!$AM$5:$AM$238,MATCH($A144,'AC Estimate'!$A$5:$A$238,0))</f>
        <v>0.52991139948821</v>
      </c>
      <c r="M144" s="7" t="str">
        <f aca="false">INDEX('AC Estimate'!$Q$5:$Q$238,MATCH($A144,'AC Estimate'!$A$5:$A$238,0))</f>
        <v>TVK</v>
      </c>
      <c r="N144" s="7" t="str">
        <f aca="false">INDEX('AC Estimate'!$R$5:$R$238,MATCH($A144,'AC Estimate'!$A$5:$A$238,0))</f>
        <v>TVK</v>
      </c>
      <c r="O144" s="7" t="str">
        <f aca="false">INDEX('AC Estimate'!$AL$5:$AL$238,MATCH($A144,'AC Estimate'!$A$5:$A$238,0))</f>
        <v>Yes</v>
      </c>
    </row>
    <row r="145" customFormat="false" ht="15" hidden="false" customHeight="false" outlineLevel="0" collapsed="false">
      <c r="A145" s="17" t="n">
        <v>196</v>
      </c>
      <c r="B145" s="7" t="str">
        <f aca="false">INDEX('AC Estimate'!$B$5:$B$238,MATCH($A145,'AC Estimate'!$A$5:$A$238,0))</f>
        <v>Thirumangalam</v>
      </c>
      <c r="C145" s="7" t="str">
        <f aca="false">INDEX('AC Estimate'!$C$5:$C$238,MATCH($A145,'AC Estimate'!$A$5:$A$238,0))</f>
        <v>Madurai</v>
      </c>
      <c r="D145" s="7" t="n">
        <f aca="false">INDEX('AC Estimate'!$I$5:$I$238,MATCH($A145,'AC Estimate'!$A$5:$A$238,0))</f>
        <v>35</v>
      </c>
      <c r="E145" s="27" t="n">
        <f aca="false">INDEX('AC Estimate'!$J$5:$J$238,MATCH($A145,'AC Estimate'!$A$5:$A$238,0))</f>
        <v>0.2</v>
      </c>
      <c r="F145" s="27" t="n">
        <f aca="false">INDEX('AC Estimate'!$K$5:$K$238,MATCH($A145,'AC Estimate'!$A$5:$A$238,0))</f>
        <v>0.257142857142857</v>
      </c>
      <c r="G145" s="27" t="n">
        <f aca="false">INDEX('AC Estimate'!$L$5:$L$238,MATCH($A145,'AC Estimate'!$A$5:$A$238,0))</f>
        <v>0</v>
      </c>
      <c r="H145" s="27" t="n">
        <f aca="false">INDEX('AC Estimate'!$M$5:$M$238,MATCH($A145,'AC Estimate'!$A$5:$A$238,0))</f>
        <v>0.0857142857142857</v>
      </c>
      <c r="I145" s="27" t="n">
        <f aca="false">INDEX('AC Estimate'!$N$5:$N$238,MATCH($A145,'AC Estimate'!$A$5:$A$238,0))</f>
        <v>0.457142857142857</v>
      </c>
      <c r="J145" s="7" t="str">
        <f aca="false">INDEX('AC Estimate'!$P$5:$P$238,MATCH($A145,'AC Estimate'!$A$5:$A$238,0))</f>
        <v>TVK</v>
      </c>
      <c r="K145" s="7" t="str">
        <f aca="false">INDEX('AC Estimate'!$AK$5:$AK$238,MATCH($A145,'AC Estimate'!$A$5:$A$238,0))</f>
        <v>TVK</v>
      </c>
      <c r="L145" s="27" t="n">
        <f aca="false">INDEX('AC Estimate'!$AM$5:$AM$238,MATCH($A145,'AC Estimate'!$A$5:$A$238,0))</f>
        <v>0.301256372397446</v>
      </c>
      <c r="M145" s="7" t="str">
        <f aca="false">INDEX('AC Estimate'!$Q$5:$Q$238,MATCH($A145,'AC Estimate'!$A$5:$A$238,0))</f>
        <v>DMK</v>
      </c>
      <c r="N145" s="7" t="str">
        <f aca="false">INDEX('AC Estimate'!$R$5:$R$238,MATCH($A145,'AC Estimate'!$A$5:$A$238,0))</f>
        <v>DMK+</v>
      </c>
      <c r="O145" s="7" t="str">
        <f aca="false">INDEX('AC Estimate'!$AL$5:$AL$238,MATCH($A145,'AC Estimate'!$A$5:$A$238,0))</f>
        <v>No</v>
      </c>
    </row>
    <row r="146" customFormat="false" ht="15" hidden="false" customHeight="false" outlineLevel="0" collapsed="false">
      <c r="A146" s="17" t="n">
        <v>197</v>
      </c>
      <c r="B146" s="7" t="str">
        <f aca="false">INDEX('AC Estimate'!$B$5:$B$238,MATCH($A146,'AC Estimate'!$A$5:$A$238,0))</f>
        <v>Usilampatti</v>
      </c>
      <c r="C146" s="7" t="str">
        <f aca="false">INDEX('AC Estimate'!$C$5:$C$238,MATCH($A146,'AC Estimate'!$A$5:$A$238,0))</f>
        <v>Madurai</v>
      </c>
      <c r="D146" s="7" t="n">
        <f aca="false">INDEX('AC Estimate'!$I$5:$I$238,MATCH($A146,'AC Estimate'!$A$5:$A$238,0))</f>
        <v>37</v>
      </c>
      <c r="E146" s="27" t="n">
        <f aca="false">INDEX('AC Estimate'!$J$5:$J$238,MATCH($A146,'AC Estimate'!$A$5:$A$238,0))</f>
        <v>0.27027027027027</v>
      </c>
      <c r="F146" s="27" t="n">
        <f aca="false">INDEX('AC Estimate'!$K$5:$K$238,MATCH($A146,'AC Estimate'!$A$5:$A$238,0))</f>
        <v>0.189189189189189</v>
      </c>
      <c r="G146" s="27" t="n">
        <f aca="false">INDEX('AC Estimate'!$L$5:$L$238,MATCH($A146,'AC Estimate'!$A$5:$A$238,0))</f>
        <v>0</v>
      </c>
      <c r="H146" s="27" t="n">
        <f aca="false">INDEX('AC Estimate'!$M$5:$M$238,MATCH($A146,'AC Estimate'!$A$5:$A$238,0))</f>
        <v>0.297297297297297</v>
      </c>
      <c r="I146" s="27" t="n">
        <f aca="false">INDEX('AC Estimate'!$N$5:$N$238,MATCH($A146,'AC Estimate'!$A$5:$A$238,0))</f>
        <v>0.243243243243243</v>
      </c>
      <c r="J146" s="7" t="str">
        <f aca="false">INDEX('AC Estimate'!$P$5:$P$238,MATCH($A146,'AC Estimate'!$A$5:$A$238,0))</f>
        <v>DMK+</v>
      </c>
      <c r="K146" s="7" t="str">
        <f aca="false">INDEX('AC Estimate'!$AK$5:$AK$238,MATCH($A146,'AC Estimate'!$A$5:$A$238,0))</f>
        <v>TVK</v>
      </c>
      <c r="L146" s="27" t="n">
        <f aca="false">INDEX('AC Estimate'!$AM$5:$AM$238,MATCH($A146,'AC Estimate'!$A$5:$A$238,0))</f>
        <v>0.283363565632339</v>
      </c>
      <c r="M146" s="7" t="str">
        <f aca="false">INDEX('AC Estimate'!$Q$5:$Q$238,MATCH($A146,'AC Estimate'!$A$5:$A$238,0))</f>
        <v>TVK</v>
      </c>
      <c r="N146" s="7" t="str">
        <f aca="false">INDEX('AC Estimate'!$R$5:$R$238,MATCH($A146,'AC Estimate'!$A$5:$A$238,0))</f>
        <v>TVK</v>
      </c>
      <c r="O146" s="7" t="str">
        <f aca="false">INDEX('AC Estimate'!$AL$5:$AL$238,MATCH($A146,'AC Estimate'!$A$5:$A$238,0))</f>
        <v>Yes</v>
      </c>
    </row>
    <row r="147" customFormat="false" ht="15" hidden="false" customHeight="false" outlineLevel="0" collapsed="false">
      <c r="A147" s="33"/>
      <c r="B147" s="34" t="s">
        <v>119</v>
      </c>
      <c r="C147" s="33"/>
      <c r="D147" s="34" t="n">
        <f aca="false">SUM(D137:D146)</f>
        <v>514</v>
      </c>
      <c r="E147" s="33"/>
      <c r="F147" s="33"/>
      <c r="G147" s="33"/>
      <c r="H147" s="33"/>
      <c r="I147" s="33"/>
      <c r="J147" s="34" t="s">
        <v>92</v>
      </c>
      <c r="K147" s="34" t="str">
        <f aca="false">COUNTIF(K137:K146,"TVK")&amp;" / "&amp;COUNTIF(K137:K146,"AIADMK+")&amp;" / "&amp;COUNTIF(K137:K146,"DMK+")</f>
        <v>8 / 0 / 2</v>
      </c>
      <c r="L147" s="33"/>
      <c r="M147" s="34" t="s">
        <v>93</v>
      </c>
      <c r="N147" s="34" t="str">
        <f aca="false">COUNTIF(N137:N146,"TVK")&amp;" / "&amp;COUNTIF(N137:N146,"AIADMK+")&amp;" / "&amp;COUNTIF(N137:N146,"DMK+")</f>
        <v>8 / 0 / 2</v>
      </c>
      <c r="O147" s="34" t="str">
        <f aca="false">IF(AND(ABS(COUNTIF(K137:K146,"TVK")-COUNTIF(N137:N146,"TVK"))&lt;=Calibration!$B$3,ABS(COUNTIF(K137:K146,"AIADMK+")-COUNTIF(N137:N146,"AIADMK+"))&lt;=Calibration!$B$3,ABS(COUNTIF(K137:K146,"DMK+")-COUNTIF(N137:N146,"DMK+"))&lt;=Calibration!$B$3),"Within","Off")</f>
        <v>Within</v>
      </c>
    </row>
    <row r="149" customFormat="false" ht="15" hidden="false" customHeight="false" outlineLevel="0" collapsed="false">
      <c r="A149" s="31" t="s">
        <v>120</v>
      </c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customFormat="false" ht="15" hidden="false" customHeight="false" outlineLevel="0" collapsed="false">
      <c r="A150" s="17" t="n">
        <v>160</v>
      </c>
      <c r="B150" s="7" t="str">
        <f aca="false">INDEX('AC Estimate'!$B$5:$B$238,MATCH($A150,'AC Estimate'!$A$5:$A$238,0))</f>
        <v>Sirkazhi</v>
      </c>
      <c r="C150" s="7" t="str">
        <f aca="false">INDEX('AC Estimate'!$C$5:$C$238,MATCH($A150,'AC Estimate'!$A$5:$A$238,0))</f>
        <v>Mayiladuthurai</v>
      </c>
      <c r="D150" s="7" t="n">
        <f aca="false">INDEX('AC Estimate'!$I$5:$I$238,MATCH($A150,'AC Estimate'!$A$5:$A$238,0))</f>
        <v>30</v>
      </c>
      <c r="E150" s="27" t="n">
        <f aca="false">INDEX('AC Estimate'!$J$5:$J$238,MATCH($A150,'AC Estimate'!$A$5:$A$238,0))</f>
        <v>0.433333333333333</v>
      </c>
      <c r="F150" s="27" t="n">
        <f aca="false">INDEX('AC Estimate'!$K$5:$K$238,MATCH($A150,'AC Estimate'!$A$5:$A$238,0))</f>
        <v>0.133333333333333</v>
      </c>
      <c r="G150" s="27" t="n">
        <f aca="false">INDEX('AC Estimate'!$L$5:$L$238,MATCH($A150,'AC Estimate'!$A$5:$A$238,0))</f>
        <v>0</v>
      </c>
      <c r="H150" s="27" t="n">
        <f aca="false">INDEX('AC Estimate'!$M$5:$M$238,MATCH($A150,'AC Estimate'!$A$5:$A$238,0))</f>
        <v>0.133333333333333</v>
      </c>
      <c r="I150" s="27" t="n">
        <f aca="false">INDEX('AC Estimate'!$N$5:$N$238,MATCH($A150,'AC Estimate'!$A$5:$A$238,0))</f>
        <v>0.3</v>
      </c>
      <c r="J150" s="7" t="str">
        <f aca="false">INDEX('AC Estimate'!$P$5:$P$238,MATCH($A150,'AC Estimate'!$A$5:$A$238,0))</f>
        <v>AIADMK+</v>
      </c>
      <c r="K150" s="7" t="str">
        <f aca="false">INDEX('AC Estimate'!$AK$5:$AK$238,MATCH($A150,'AC Estimate'!$A$5:$A$238,0))</f>
        <v>DMK+</v>
      </c>
      <c r="L150" s="27" t="n">
        <f aca="false">INDEX('AC Estimate'!$AM$5:$AM$238,MATCH($A150,'AC Estimate'!$A$5:$A$238,0))</f>
        <v>0.312742772717201</v>
      </c>
      <c r="M150" s="7" t="str">
        <f aca="false">INDEX('AC Estimate'!$Q$5:$Q$238,MATCH($A150,'AC Estimate'!$A$5:$A$238,0))</f>
        <v>DMK</v>
      </c>
      <c r="N150" s="7" t="str">
        <f aca="false">INDEX('AC Estimate'!$R$5:$R$238,MATCH($A150,'AC Estimate'!$A$5:$A$238,0))</f>
        <v>DMK+</v>
      </c>
      <c r="O150" s="7" t="str">
        <f aca="false">INDEX('AC Estimate'!$AL$5:$AL$238,MATCH($A150,'AC Estimate'!$A$5:$A$238,0))</f>
        <v>Yes</v>
      </c>
    </row>
    <row r="151" customFormat="false" ht="15" hidden="false" customHeight="false" outlineLevel="0" collapsed="false">
      <c r="A151" s="17" t="n">
        <v>161</v>
      </c>
      <c r="B151" s="7" t="str">
        <f aca="false">INDEX('AC Estimate'!$B$5:$B$238,MATCH($A151,'AC Estimate'!$A$5:$A$238,0))</f>
        <v>Mayiladuturai</v>
      </c>
      <c r="C151" s="7" t="str">
        <f aca="false">INDEX('AC Estimate'!$C$5:$C$238,MATCH($A151,'AC Estimate'!$A$5:$A$238,0))</f>
        <v>Mayiladuthurai</v>
      </c>
      <c r="D151" s="7" t="n">
        <f aca="false">INDEX('AC Estimate'!$I$5:$I$238,MATCH($A151,'AC Estimate'!$A$5:$A$238,0))</f>
        <v>59</v>
      </c>
      <c r="E151" s="27" t="n">
        <f aca="false">INDEX('AC Estimate'!$J$5:$J$238,MATCH($A151,'AC Estimate'!$A$5:$A$238,0))</f>
        <v>0.389830508474576</v>
      </c>
      <c r="F151" s="27" t="n">
        <f aca="false">INDEX('AC Estimate'!$K$5:$K$238,MATCH($A151,'AC Estimate'!$A$5:$A$238,0))</f>
        <v>0.372881355932203</v>
      </c>
      <c r="G151" s="27" t="n">
        <f aca="false">INDEX('AC Estimate'!$L$5:$L$238,MATCH($A151,'AC Estimate'!$A$5:$A$238,0))</f>
        <v>0.0169491525423729</v>
      </c>
      <c r="H151" s="27" t="n">
        <f aca="false">INDEX('AC Estimate'!$M$5:$M$238,MATCH($A151,'AC Estimate'!$A$5:$A$238,0))</f>
        <v>0.0508474576271187</v>
      </c>
      <c r="I151" s="27" t="n">
        <f aca="false">INDEX('AC Estimate'!$N$5:$N$238,MATCH($A151,'AC Estimate'!$A$5:$A$238,0))</f>
        <v>0.169491525423729</v>
      </c>
      <c r="J151" s="7" t="str">
        <f aca="false">INDEX('AC Estimate'!$P$5:$P$238,MATCH($A151,'AC Estimate'!$A$5:$A$238,0))</f>
        <v>AIADMK+</v>
      </c>
      <c r="K151" s="7" t="str">
        <f aca="false">INDEX('AC Estimate'!$AK$5:$AK$238,MATCH($A151,'AC Estimate'!$A$5:$A$238,0))</f>
        <v>DMK+</v>
      </c>
      <c r="L151" s="27" t="n">
        <f aca="false">INDEX('AC Estimate'!$AM$5:$AM$238,MATCH($A151,'AC Estimate'!$A$5:$A$238,0))</f>
        <v>0.299245400162255</v>
      </c>
      <c r="M151" s="7" t="str">
        <f aca="false">INDEX('AC Estimate'!$Q$5:$Q$238,MATCH($A151,'AC Estimate'!$A$5:$A$238,0))</f>
        <v>INC</v>
      </c>
      <c r="N151" s="7" t="str">
        <f aca="false">INDEX('AC Estimate'!$R$5:$R$238,MATCH($A151,'AC Estimate'!$A$5:$A$238,0))</f>
        <v>DMK+</v>
      </c>
      <c r="O151" s="7" t="str">
        <f aca="false">INDEX('AC Estimate'!$AL$5:$AL$238,MATCH($A151,'AC Estimate'!$A$5:$A$238,0))</f>
        <v>Yes</v>
      </c>
    </row>
    <row r="152" customFormat="false" ht="15" hidden="false" customHeight="false" outlineLevel="0" collapsed="false">
      <c r="A152" s="17" t="n">
        <v>162</v>
      </c>
      <c r="B152" s="7" t="str">
        <f aca="false">INDEX('AC Estimate'!$B$5:$B$238,MATCH($A152,'AC Estimate'!$A$5:$A$238,0))</f>
        <v>Poompuhar</v>
      </c>
      <c r="C152" s="7" t="str">
        <f aca="false">INDEX('AC Estimate'!$C$5:$C$238,MATCH($A152,'AC Estimate'!$A$5:$A$238,0))</f>
        <v>Mayiladuthurai</v>
      </c>
      <c r="D152" s="7" t="n">
        <f aca="false">INDEX('AC Estimate'!$I$5:$I$238,MATCH($A152,'AC Estimate'!$A$5:$A$238,0))</f>
        <v>32</v>
      </c>
      <c r="E152" s="27" t="n">
        <f aca="false">INDEX('AC Estimate'!$J$5:$J$238,MATCH($A152,'AC Estimate'!$A$5:$A$238,0))</f>
        <v>0.4375</v>
      </c>
      <c r="F152" s="27" t="n">
        <f aca="false">INDEX('AC Estimate'!$K$5:$K$238,MATCH($A152,'AC Estimate'!$A$5:$A$238,0))</f>
        <v>0.125</v>
      </c>
      <c r="G152" s="27" t="n">
        <f aca="false">INDEX('AC Estimate'!$L$5:$L$238,MATCH($A152,'AC Estimate'!$A$5:$A$238,0))</f>
        <v>0</v>
      </c>
      <c r="H152" s="27" t="n">
        <f aca="false">INDEX('AC Estimate'!$M$5:$M$238,MATCH($A152,'AC Estimate'!$A$5:$A$238,0))</f>
        <v>0.09375</v>
      </c>
      <c r="I152" s="27" t="n">
        <f aca="false">INDEX('AC Estimate'!$N$5:$N$238,MATCH($A152,'AC Estimate'!$A$5:$A$238,0))</f>
        <v>0.34375</v>
      </c>
      <c r="J152" s="7" t="str">
        <f aca="false">INDEX('AC Estimate'!$P$5:$P$238,MATCH($A152,'AC Estimate'!$A$5:$A$238,0))</f>
        <v>AIADMK+</v>
      </c>
      <c r="K152" s="7" t="str">
        <f aca="false">INDEX('AC Estimate'!$AK$5:$AK$238,MATCH($A152,'AC Estimate'!$A$5:$A$238,0))</f>
        <v>DMK+</v>
      </c>
      <c r="L152" s="27" t="n">
        <f aca="false">INDEX('AC Estimate'!$AM$5:$AM$238,MATCH($A152,'AC Estimate'!$A$5:$A$238,0))</f>
        <v>0.295255751611054</v>
      </c>
      <c r="M152" s="7" t="str">
        <f aca="false">INDEX('AC Estimate'!$Q$5:$Q$238,MATCH($A152,'AC Estimate'!$A$5:$A$238,0))</f>
        <v>DMK</v>
      </c>
      <c r="N152" s="7" t="str">
        <f aca="false">INDEX('AC Estimate'!$R$5:$R$238,MATCH($A152,'AC Estimate'!$A$5:$A$238,0))</f>
        <v>DMK+</v>
      </c>
      <c r="O152" s="7" t="str">
        <f aca="false">INDEX('AC Estimate'!$AL$5:$AL$238,MATCH($A152,'AC Estimate'!$A$5:$A$238,0))</f>
        <v>Yes</v>
      </c>
    </row>
    <row r="153" customFormat="false" ht="15" hidden="false" customHeight="false" outlineLevel="0" collapsed="false">
      <c r="A153" s="33"/>
      <c r="B153" s="34" t="s">
        <v>121</v>
      </c>
      <c r="C153" s="33"/>
      <c r="D153" s="34" t="n">
        <f aca="false">SUM(D150:D152)</f>
        <v>121</v>
      </c>
      <c r="E153" s="33"/>
      <c r="F153" s="33"/>
      <c r="G153" s="33"/>
      <c r="H153" s="33"/>
      <c r="I153" s="33"/>
      <c r="J153" s="34" t="s">
        <v>92</v>
      </c>
      <c r="K153" s="34" t="str">
        <f aca="false">COUNTIF(K150:K152,"TVK")&amp;" / "&amp;COUNTIF(K150:K152,"AIADMK+")&amp;" / "&amp;COUNTIF(K150:K152,"DMK+")</f>
        <v>0 / 0 / 3</v>
      </c>
      <c r="L153" s="33"/>
      <c r="M153" s="34" t="s">
        <v>93</v>
      </c>
      <c r="N153" s="34" t="str">
        <f aca="false">COUNTIF(N150:N152,"TVK")&amp;" / "&amp;COUNTIF(N150:N152,"AIADMK+")&amp;" / "&amp;COUNTIF(N150:N152,"DMK+")</f>
        <v>0 / 0 / 3</v>
      </c>
      <c r="O153" s="34" t="str">
        <f aca="false">IF(AND(ABS(COUNTIF(K150:K152,"TVK")-COUNTIF(N150:N152,"TVK"))&lt;=Calibration!$B$3,ABS(COUNTIF(K150:K152,"AIADMK+")-COUNTIF(N150:N152,"AIADMK+"))&lt;=Calibration!$B$3,ABS(COUNTIF(K150:K152,"DMK+")-COUNTIF(N150:N152,"DMK+"))&lt;=Calibration!$B$3),"Within","Off")</f>
        <v>Within</v>
      </c>
    </row>
    <row r="155" customFormat="false" ht="15" hidden="false" customHeight="false" outlineLevel="0" collapsed="false">
      <c r="A155" s="31" t="s">
        <v>122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customFormat="false" ht="15" hidden="false" customHeight="false" outlineLevel="0" collapsed="false">
      <c r="A156" s="17" t="n">
        <v>163</v>
      </c>
      <c r="B156" s="7" t="str">
        <f aca="false">INDEX('AC Estimate'!$B$5:$B$238,MATCH($A156,'AC Estimate'!$A$5:$A$238,0))</f>
        <v>Nagapattinam</v>
      </c>
      <c r="C156" s="7" t="str">
        <f aca="false">INDEX('AC Estimate'!$C$5:$C$238,MATCH($A156,'AC Estimate'!$A$5:$A$238,0))</f>
        <v>Nagapattinam</v>
      </c>
      <c r="D156" s="7" t="n">
        <f aca="false">INDEX('AC Estimate'!$I$5:$I$238,MATCH($A156,'AC Estimate'!$A$5:$A$238,0))</f>
        <v>48</v>
      </c>
      <c r="E156" s="27" t="n">
        <f aca="false">INDEX('AC Estimate'!$J$5:$J$238,MATCH($A156,'AC Estimate'!$A$5:$A$238,0))</f>
        <v>0.145833333333333</v>
      </c>
      <c r="F156" s="27" t="n">
        <f aca="false">INDEX('AC Estimate'!$K$5:$K$238,MATCH($A156,'AC Estimate'!$A$5:$A$238,0))</f>
        <v>0.395833333333333</v>
      </c>
      <c r="G156" s="27" t="n">
        <f aca="false">INDEX('AC Estimate'!$L$5:$L$238,MATCH($A156,'AC Estimate'!$A$5:$A$238,0))</f>
        <v>0</v>
      </c>
      <c r="H156" s="27" t="n">
        <f aca="false">INDEX('AC Estimate'!$M$5:$M$238,MATCH($A156,'AC Estimate'!$A$5:$A$238,0))</f>
        <v>0.0833333333333333</v>
      </c>
      <c r="I156" s="27" t="n">
        <f aca="false">INDEX('AC Estimate'!$N$5:$N$238,MATCH($A156,'AC Estimate'!$A$5:$A$238,0))</f>
        <v>0.375</v>
      </c>
      <c r="J156" s="7" t="str">
        <f aca="false">INDEX('AC Estimate'!$P$5:$P$238,MATCH($A156,'AC Estimate'!$A$5:$A$238,0))</f>
        <v>DMK+</v>
      </c>
      <c r="K156" s="7" t="str">
        <f aca="false">INDEX('AC Estimate'!$AK$5:$AK$238,MATCH($A156,'AC Estimate'!$A$5:$A$238,0))</f>
        <v>DMK+</v>
      </c>
      <c r="L156" s="27" t="n">
        <f aca="false">INDEX('AC Estimate'!$AM$5:$AM$238,MATCH($A156,'AC Estimate'!$A$5:$A$238,0))</f>
        <v>0.466127729345061</v>
      </c>
      <c r="M156" s="7" t="str">
        <f aca="false">INDEX('AC Estimate'!$Q$5:$Q$238,MATCH($A156,'AC Estimate'!$A$5:$A$238,0))</f>
        <v>DMK</v>
      </c>
      <c r="N156" s="7" t="str">
        <f aca="false">INDEX('AC Estimate'!$R$5:$R$238,MATCH($A156,'AC Estimate'!$A$5:$A$238,0))</f>
        <v>DMK+</v>
      </c>
      <c r="O156" s="7" t="str">
        <f aca="false">INDEX('AC Estimate'!$AL$5:$AL$238,MATCH($A156,'AC Estimate'!$A$5:$A$238,0))</f>
        <v>Yes</v>
      </c>
    </row>
    <row r="157" customFormat="false" ht="15" hidden="false" customHeight="false" outlineLevel="0" collapsed="false">
      <c r="A157" s="17" t="n">
        <v>164</v>
      </c>
      <c r="B157" s="7" t="str">
        <f aca="false">INDEX('AC Estimate'!$B$5:$B$238,MATCH($A157,'AC Estimate'!$A$5:$A$238,0))</f>
        <v>Kilvelur</v>
      </c>
      <c r="C157" s="7" t="str">
        <f aca="false">INDEX('AC Estimate'!$C$5:$C$238,MATCH($A157,'AC Estimate'!$A$5:$A$238,0))</f>
        <v>Nagapattinam</v>
      </c>
      <c r="D157" s="7" t="n">
        <f aca="false">INDEX('AC Estimate'!$I$5:$I$238,MATCH($A157,'AC Estimate'!$A$5:$A$238,0))</f>
        <v>61</v>
      </c>
      <c r="E157" s="27" t="n">
        <f aca="false">INDEX('AC Estimate'!$J$5:$J$238,MATCH($A157,'AC Estimate'!$A$5:$A$238,0))</f>
        <v>0.19672131147541</v>
      </c>
      <c r="F157" s="27" t="n">
        <f aca="false">INDEX('AC Estimate'!$K$5:$K$238,MATCH($A157,'AC Estimate'!$A$5:$A$238,0))</f>
        <v>0.508196721311475</v>
      </c>
      <c r="G157" s="27" t="n">
        <f aca="false">INDEX('AC Estimate'!$L$5:$L$238,MATCH($A157,'AC Estimate'!$A$5:$A$238,0))</f>
        <v>0</v>
      </c>
      <c r="H157" s="27" t="n">
        <f aca="false">INDEX('AC Estimate'!$M$5:$M$238,MATCH($A157,'AC Estimate'!$A$5:$A$238,0))</f>
        <v>0.0655737704918033</v>
      </c>
      <c r="I157" s="27" t="n">
        <f aca="false">INDEX('AC Estimate'!$N$5:$N$238,MATCH($A157,'AC Estimate'!$A$5:$A$238,0))</f>
        <v>0.229508196721311</v>
      </c>
      <c r="J157" s="7" t="str">
        <f aca="false">INDEX('AC Estimate'!$P$5:$P$238,MATCH($A157,'AC Estimate'!$A$5:$A$238,0))</f>
        <v>DMK+</v>
      </c>
      <c r="K157" s="7" t="str">
        <f aca="false">INDEX('AC Estimate'!$AK$5:$AK$238,MATCH($A157,'AC Estimate'!$A$5:$A$238,0))</f>
        <v>DMK+</v>
      </c>
      <c r="L157" s="27" t="n">
        <f aca="false">INDEX('AC Estimate'!$AM$5:$AM$238,MATCH($A157,'AC Estimate'!$A$5:$A$238,0))</f>
        <v>0.44525339626722</v>
      </c>
      <c r="M157" s="7" t="str">
        <f aca="false">INDEX('AC Estimate'!$Q$5:$Q$238,MATCH($A157,'AC Estimate'!$A$5:$A$238,0))</f>
        <v>CPM</v>
      </c>
      <c r="N157" s="7" t="str">
        <f aca="false">INDEX('AC Estimate'!$R$5:$R$238,MATCH($A157,'AC Estimate'!$A$5:$A$238,0))</f>
        <v>DMK+</v>
      </c>
      <c r="O157" s="7" t="str">
        <f aca="false">INDEX('AC Estimate'!$AL$5:$AL$238,MATCH($A157,'AC Estimate'!$A$5:$A$238,0))</f>
        <v>Yes</v>
      </c>
    </row>
    <row r="158" customFormat="false" ht="15" hidden="false" customHeight="false" outlineLevel="0" collapsed="false">
      <c r="A158" s="17" t="n">
        <v>165</v>
      </c>
      <c r="B158" s="7" t="str">
        <f aca="false">INDEX('AC Estimate'!$B$5:$B$238,MATCH($A158,'AC Estimate'!$A$5:$A$238,0))</f>
        <v>Vedaranyam</v>
      </c>
      <c r="C158" s="7" t="str">
        <f aca="false">INDEX('AC Estimate'!$C$5:$C$238,MATCH($A158,'AC Estimate'!$A$5:$A$238,0))</f>
        <v>Nagapattinam</v>
      </c>
      <c r="D158" s="7" t="n">
        <f aca="false">INDEX('AC Estimate'!$I$5:$I$238,MATCH($A158,'AC Estimate'!$A$5:$A$238,0))</f>
        <v>35</v>
      </c>
      <c r="E158" s="27" t="n">
        <f aca="false">INDEX('AC Estimate'!$J$5:$J$238,MATCH($A158,'AC Estimate'!$A$5:$A$238,0))</f>
        <v>0.285714285714286</v>
      </c>
      <c r="F158" s="27" t="n">
        <f aca="false">INDEX('AC Estimate'!$K$5:$K$238,MATCH($A158,'AC Estimate'!$A$5:$A$238,0))</f>
        <v>0.114285714285714</v>
      </c>
      <c r="G158" s="27" t="n">
        <f aca="false">INDEX('AC Estimate'!$L$5:$L$238,MATCH($A158,'AC Estimate'!$A$5:$A$238,0))</f>
        <v>0</v>
      </c>
      <c r="H158" s="27" t="n">
        <f aca="false">INDEX('AC Estimate'!$M$5:$M$238,MATCH($A158,'AC Estimate'!$A$5:$A$238,0))</f>
        <v>0.4</v>
      </c>
      <c r="I158" s="27" t="n">
        <f aca="false">INDEX('AC Estimate'!$N$5:$N$238,MATCH($A158,'AC Estimate'!$A$5:$A$238,0))</f>
        <v>0.2</v>
      </c>
      <c r="J158" s="7" t="str">
        <f aca="false">INDEX('AC Estimate'!$P$5:$P$238,MATCH($A158,'AC Estimate'!$A$5:$A$238,0))</f>
        <v>DMK+</v>
      </c>
      <c r="K158" s="7" t="str">
        <f aca="false">INDEX('AC Estimate'!$AK$5:$AK$238,MATCH($A158,'AC Estimate'!$A$5:$A$238,0))</f>
        <v>AIADMK+</v>
      </c>
      <c r="L158" s="27" t="n">
        <f aca="false">INDEX('AC Estimate'!$AM$5:$AM$238,MATCH($A158,'AC Estimate'!$A$5:$A$238,0))</f>
        <v>0.342141190955495</v>
      </c>
      <c r="M158" s="7" t="str">
        <f aca="false">INDEX('AC Estimate'!$Q$5:$Q$238,MATCH($A158,'AC Estimate'!$A$5:$A$238,0))</f>
        <v>AIADMK</v>
      </c>
      <c r="N158" s="7" t="str">
        <f aca="false">INDEX('AC Estimate'!$R$5:$R$238,MATCH($A158,'AC Estimate'!$A$5:$A$238,0))</f>
        <v>AIADMK+</v>
      </c>
      <c r="O158" s="7" t="str">
        <f aca="false">INDEX('AC Estimate'!$AL$5:$AL$238,MATCH($A158,'AC Estimate'!$A$5:$A$238,0))</f>
        <v>Yes</v>
      </c>
    </row>
    <row r="159" customFormat="false" ht="15" hidden="false" customHeight="false" outlineLevel="0" collapsed="false">
      <c r="A159" s="33"/>
      <c r="B159" s="34" t="s">
        <v>123</v>
      </c>
      <c r="C159" s="33"/>
      <c r="D159" s="34" t="n">
        <f aca="false">SUM(D156:D158)</f>
        <v>144</v>
      </c>
      <c r="E159" s="33"/>
      <c r="F159" s="33"/>
      <c r="G159" s="33"/>
      <c r="H159" s="33"/>
      <c r="I159" s="33"/>
      <c r="J159" s="34" t="s">
        <v>92</v>
      </c>
      <c r="K159" s="34" t="str">
        <f aca="false">COUNTIF(K156:K158,"TVK")&amp;" / "&amp;COUNTIF(K156:K158,"AIADMK+")&amp;" / "&amp;COUNTIF(K156:K158,"DMK+")</f>
        <v>0 / 1 / 2</v>
      </c>
      <c r="L159" s="33"/>
      <c r="M159" s="34" t="s">
        <v>93</v>
      </c>
      <c r="N159" s="34" t="str">
        <f aca="false">COUNTIF(N156:N158,"TVK")&amp;" / "&amp;COUNTIF(N156:N158,"AIADMK+")&amp;" / "&amp;COUNTIF(N156:N158,"DMK+")</f>
        <v>0 / 1 / 2</v>
      </c>
      <c r="O159" s="34" t="str">
        <f aca="false">IF(AND(ABS(COUNTIF(K156:K158,"TVK")-COUNTIF(N156:N158,"TVK"))&lt;=Calibration!$B$3,ABS(COUNTIF(K156:K158,"AIADMK+")-COUNTIF(N156:N158,"AIADMK+"))&lt;=Calibration!$B$3,ABS(COUNTIF(K156:K158,"DMK+")-COUNTIF(N156:N158,"DMK+"))&lt;=Calibration!$B$3),"Within","Off")</f>
        <v>Within</v>
      </c>
    </row>
    <row r="161" customFormat="false" ht="15" hidden="false" customHeight="false" outlineLevel="0" collapsed="false">
      <c r="A161" s="31" t="s">
        <v>124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customFormat="false" ht="15" hidden="false" customHeight="false" outlineLevel="0" collapsed="false">
      <c r="A162" s="17" t="n">
        <v>92</v>
      </c>
      <c r="B162" s="7" t="str">
        <f aca="false">INDEX('AC Estimate'!$B$5:$B$238,MATCH($A162,'AC Estimate'!$A$5:$A$238,0))</f>
        <v>Rasipuram</v>
      </c>
      <c r="C162" s="7" t="str">
        <f aca="false">INDEX('AC Estimate'!$C$5:$C$238,MATCH($A162,'AC Estimate'!$A$5:$A$238,0))</f>
        <v>Namakkal</v>
      </c>
      <c r="D162" s="7" t="n">
        <f aca="false">INDEX('AC Estimate'!$I$5:$I$238,MATCH($A162,'AC Estimate'!$A$5:$A$238,0))</f>
        <v>51</v>
      </c>
      <c r="E162" s="27" t="n">
        <f aca="false">INDEX('AC Estimate'!$J$5:$J$238,MATCH($A162,'AC Estimate'!$A$5:$A$238,0))</f>
        <v>0.372549019607843</v>
      </c>
      <c r="F162" s="27" t="n">
        <f aca="false">INDEX('AC Estimate'!$K$5:$K$238,MATCH($A162,'AC Estimate'!$A$5:$A$238,0))</f>
        <v>0.176470588235294</v>
      </c>
      <c r="G162" s="27" t="n">
        <f aca="false">INDEX('AC Estimate'!$L$5:$L$238,MATCH($A162,'AC Estimate'!$A$5:$A$238,0))</f>
        <v>0</v>
      </c>
      <c r="H162" s="27" t="n">
        <f aca="false">INDEX('AC Estimate'!$M$5:$M$238,MATCH($A162,'AC Estimate'!$A$5:$A$238,0))</f>
        <v>0.0588235294117647</v>
      </c>
      <c r="I162" s="27" t="n">
        <f aca="false">INDEX('AC Estimate'!$N$5:$N$238,MATCH($A162,'AC Estimate'!$A$5:$A$238,0))</f>
        <v>0.392156862745098</v>
      </c>
      <c r="J162" s="7" t="str">
        <f aca="false">INDEX('AC Estimate'!$P$5:$P$238,MATCH($A162,'AC Estimate'!$A$5:$A$238,0))</f>
        <v>TVK</v>
      </c>
      <c r="K162" s="7" t="str">
        <f aca="false">INDEX('AC Estimate'!$AK$5:$AK$238,MATCH($A162,'AC Estimate'!$A$5:$A$238,0))</f>
        <v>TVK</v>
      </c>
      <c r="L162" s="27" t="n">
        <f aca="false">INDEX('AC Estimate'!$AM$5:$AM$238,MATCH($A162,'AC Estimate'!$A$5:$A$238,0))</f>
        <v>0.453535797742269</v>
      </c>
      <c r="M162" s="7" t="str">
        <f aca="false">INDEX('AC Estimate'!$Q$5:$Q$238,MATCH($A162,'AC Estimate'!$A$5:$A$238,0))</f>
        <v>TVK</v>
      </c>
      <c r="N162" s="7" t="str">
        <f aca="false">INDEX('AC Estimate'!$R$5:$R$238,MATCH($A162,'AC Estimate'!$A$5:$A$238,0))</f>
        <v>TVK</v>
      </c>
      <c r="O162" s="7" t="str">
        <f aca="false">INDEX('AC Estimate'!$AL$5:$AL$238,MATCH($A162,'AC Estimate'!$A$5:$A$238,0))</f>
        <v>Yes</v>
      </c>
    </row>
    <row r="163" customFormat="false" ht="15" hidden="false" customHeight="false" outlineLevel="0" collapsed="false">
      <c r="A163" s="17" t="n">
        <v>93</v>
      </c>
      <c r="B163" s="7" t="str">
        <f aca="false">INDEX('AC Estimate'!$B$5:$B$238,MATCH($A163,'AC Estimate'!$A$5:$A$238,0))</f>
        <v>Senthamangalam</v>
      </c>
      <c r="C163" s="7" t="str">
        <f aca="false">INDEX('AC Estimate'!$C$5:$C$238,MATCH($A163,'AC Estimate'!$A$5:$A$238,0))</f>
        <v>Namakkal</v>
      </c>
      <c r="D163" s="7" t="n">
        <f aca="false">INDEX('AC Estimate'!$I$5:$I$238,MATCH($A163,'AC Estimate'!$A$5:$A$238,0))</f>
        <v>20</v>
      </c>
      <c r="E163" s="27" t="n">
        <f aca="false">INDEX('AC Estimate'!$J$5:$J$238,MATCH($A163,'AC Estimate'!$A$5:$A$238,0))</f>
        <v>0.5</v>
      </c>
      <c r="F163" s="27" t="n">
        <f aca="false">INDEX('AC Estimate'!$K$5:$K$238,MATCH($A163,'AC Estimate'!$A$5:$A$238,0))</f>
        <v>0.25</v>
      </c>
      <c r="G163" s="27" t="n">
        <f aca="false">INDEX('AC Estimate'!$L$5:$L$238,MATCH($A163,'AC Estimate'!$A$5:$A$238,0))</f>
        <v>0.05</v>
      </c>
      <c r="H163" s="27" t="n">
        <f aca="false">INDEX('AC Estimate'!$M$5:$M$238,MATCH($A163,'AC Estimate'!$A$5:$A$238,0))</f>
        <v>0.1</v>
      </c>
      <c r="I163" s="27" t="n">
        <f aca="false">INDEX('AC Estimate'!$N$5:$N$238,MATCH($A163,'AC Estimate'!$A$5:$A$238,0))</f>
        <v>0.1</v>
      </c>
      <c r="J163" s="7" t="str">
        <f aca="false">INDEX('AC Estimate'!$P$5:$P$238,MATCH($A163,'AC Estimate'!$A$5:$A$238,0))</f>
        <v>AIADMK+</v>
      </c>
      <c r="K163" s="7" t="str">
        <f aca="false">INDEX('AC Estimate'!$AK$5:$AK$238,MATCH($A163,'AC Estimate'!$A$5:$A$238,0))</f>
        <v>AIADMK+</v>
      </c>
      <c r="L163" s="27" t="n">
        <f aca="false">INDEX('AC Estimate'!$AM$5:$AM$238,MATCH($A163,'AC Estimate'!$A$5:$A$238,0))</f>
        <v>0.533498809749404</v>
      </c>
      <c r="M163" s="7" t="str">
        <f aca="false">INDEX('AC Estimate'!$Q$5:$Q$238,MATCH($A163,'AC Estimate'!$A$5:$A$238,0))</f>
        <v>TVK</v>
      </c>
      <c r="N163" s="7" t="str">
        <f aca="false">INDEX('AC Estimate'!$R$5:$R$238,MATCH($A163,'AC Estimate'!$A$5:$A$238,0))</f>
        <v>TVK</v>
      </c>
      <c r="O163" s="7" t="str">
        <f aca="false">INDEX('AC Estimate'!$AL$5:$AL$238,MATCH($A163,'AC Estimate'!$A$5:$A$238,0))</f>
        <v>No</v>
      </c>
    </row>
    <row r="164" customFormat="false" ht="15" hidden="false" customHeight="false" outlineLevel="0" collapsed="false">
      <c r="A164" s="17" t="n">
        <v>94</v>
      </c>
      <c r="B164" s="7" t="str">
        <f aca="false">INDEX('AC Estimate'!$B$5:$B$238,MATCH($A164,'AC Estimate'!$A$5:$A$238,0))</f>
        <v>Namakkal</v>
      </c>
      <c r="C164" s="7" t="str">
        <f aca="false">INDEX('AC Estimate'!$C$5:$C$238,MATCH($A164,'AC Estimate'!$A$5:$A$238,0))</f>
        <v>Namakkal</v>
      </c>
      <c r="D164" s="7" t="n">
        <f aca="false">INDEX('AC Estimate'!$I$5:$I$238,MATCH($A164,'AC Estimate'!$A$5:$A$238,0))</f>
        <v>47</v>
      </c>
      <c r="E164" s="27" t="n">
        <f aca="false">INDEX('AC Estimate'!$J$5:$J$238,MATCH($A164,'AC Estimate'!$A$5:$A$238,0))</f>
        <v>0.340425531914894</v>
      </c>
      <c r="F164" s="27" t="n">
        <f aca="false">INDEX('AC Estimate'!$K$5:$K$238,MATCH($A164,'AC Estimate'!$A$5:$A$238,0))</f>
        <v>0.191489361702128</v>
      </c>
      <c r="G164" s="27" t="n">
        <f aca="false">INDEX('AC Estimate'!$L$5:$L$238,MATCH($A164,'AC Estimate'!$A$5:$A$238,0))</f>
        <v>0</v>
      </c>
      <c r="H164" s="27" t="n">
        <f aca="false">INDEX('AC Estimate'!$M$5:$M$238,MATCH($A164,'AC Estimate'!$A$5:$A$238,0))</f>
        <v>0.0851063829787234</v>
      </c>
      <c r="I164" s="27" t="n">
        <f aca="false">INDEX('AC Estimate'!$N$5:$N$238,MATCH($A164,'AC Estimate'!$A$5:$A$238,0))</f>
        <v>0.382978723404255</v>
      </c>
      <c r="J164" s="7" t="str">
        <f aca="false">INDEX('AC Estimate'!$P$5:$P$238,MATCH($A164,'AC Estimate'!$A$5:$A$238,0))</f>
        <v>AIADMK+</v>
      </c>
      <c r="K164" s="7" t="str">
        <f aca="false">INDEX('AC Estimate'!$AK$5:$AK$238,MATCH($A164,'AC Estimate'!$A$5:$A$238,0))</f>
        <v>TVK</v>
      </c>
      <c r="L164" s="27" t="n">
        <f aca="false">INDEX('AC Estimate'!$AM$5:$AM$238,MATCH($A164,'AC Estimate'!$A$5:$A$238,0))</f>
        <v>0.416912428235325</v>
      </c>
      <c r="M164" s="7" t="str">
        <f aca="false">INDEX('AC Estimate'!$Q$5:$Q$238,MATCH($A164,'AC Estimate'!$A$5:$A$238,0))</f>
        <v>TVK</v>
      </c>
      <c r="N164" s="7" t="str">
        <f aca="false">INDEX('AC Estimate'!$R$5:$R$238,MATCH($A164,'AC Estimate'!$A$5:$A$238,0))</f>
        <v>TVK</v>
      </c>
      <c r="O164" s="7" t="str">
        <f aca="false">INDEX('AC Estimate'!$AL$5:$AL$238,MATCH($A164,'AC Estimate'!$A$5:$A$238,0))</f>
        <v>Yes</v>
      </c>
    </row>
    <row r="165" customFormat="false" ht="15" hidden="false" customHeight="false" outlineLevel="0" collapsed="false">
      <c r="A165" s="17" t="n">
        <v>95</v>
      </c>
      <c r="B165" s="7" t="str">
        <f aca="false">INDEX('AC Estimate'!$B$5:$B$238,MATCH($A165,'AC Estimate'!$A$5:$A$238,0))</f>
        <v>Paramathi Velur</v>
      </c>
      <c r="C165" s="7" t="str">
        <f aca="false">INDEX('AC Estimate'!$C$5:$C$238,MATCH($A165,'AC Estimate'!$A$5:$A$238,0))</f>
        <v>Namakkal</v>
      </c>
      <c r="D165" s="7" t="n">
        <f aca="false">INDEX('AC Estimate'!$I$5:$I$238,MATCH($A165,'AC Estimate'!$A$5:$A$238,0))</f>
        <v>19</v>
      </c>
      <c r="E165" s="27" t="n">
        <f aca="false">INDEX('AC Estimate'!$J$5:$J$238,MATCH($A165,'AC Estimate'!$A$5:$A$238,0))</f>
        <v>0.368421052631579</v>
      </c>
      <c r="F165" s="27" t="n">
        <f aca="false">INDEX('AC Estimate'!$K$5:$K$238,MATCH($A165,'AC Estimate'!$A$5:$A$238,0))</f>
        <v>0.105263157894737</v>
      </c>
      <c r="G165" s="27" t="n">
        <f aca="false">INDEX('AC Estimate'!$L$5:$L$238,MATCH($A165,'AC Estimate'!$A$5:$A$238,0))</f>
        <v>0</v>
      </c>
      <c r="H165" s="27" t="n">
        <f aca="false">INDEX('AC Estimate'!$M$5:$M$238,MATCH($A165,'AC Estimate'!$A$5:$A$238,0))</f>
        <v>0.0526315789473684</v>
      </c>
      <c r="I165" s="27" t="n">
        <f aca="false">INDEX('AC Estimate'!$N$5:$N$238,MATCH($A165,'AC Estimate'!$A$5:$A$238,0))</f>
        <v>0.473684210526316</v>
      </c>
      <c r="J165" s="7" t="str">
        <f aca="false">INDEX('AC Estimate'!$P$5:$P$238,MATCH($A165,'AC Estimate'!$A$5:$A$238,0))</f>
        <v>TVK</v>
      </c>
      <c r="K165" s="7" t="str">
        <f aca="false">INDEX('AC Estimate'!$AK$5:$AK$238,MATCH($A165,'AC Estimate'!$A$5:$A$238,0))</f>
        <v>TVK</v>
      </c>
      <c r="L165" s="27" t="n">
        <f aca="false">INDEX('AC Estimate'!$AM$5:$AM$238,MATCH($A165,'AC Estimate'!$A$5:$A$238,0))</f>
        <v>0.144545419766769</v>
      </c>
      <c r="M165" s="7" t="str">
        <f aca="false">INDEX('AC Estimate'!$Q$5:$Q$238,MATCH($A165,'AC Estimate'!$A$5:$A$238,0))</f>
        <v>AIADMK</v>
      </c>
      <c r="N165" s="7" t="str">
        <f aca="false">INDEX('AC Estimate'!$R$5:$R$238,MATCH($A165,'AC Estimate'!$A$5:$A$238,0))</f>
        <v>AIADMK+</v>
      </c>
      <c r="O165" s="7" t="str">
        <f aca="false">INDEX('AC Estimate'!$AL$5:$AL$238,MATCH($A165,'AC Estimate'!$A$5:$A$238,0))</f>
        <v>No</v>
      </c>
    </row>
    <row r="166" customFormat="false" ht="15" hidden="false" customHeight="false" outlineLevel="0" collapsed="false">
      <c r="A166" s="17" t="n">
        <v>96</v>
      </c>
      <c r="B166" s="7" t="str">
        <f aca="false">INDEX('AC Estimate'!$B$5:$B$238,MATCH($A166,'AC Estimate'!$A$5:$A$238,0))</f>
        <v>Tiruchengodu</v>
      </c>
      <c r="C166" s="7" t="str">
        <f aca="false">INDEX('AC Estimate'!$C$5:$C$238,MATCH($A166,'AC Estimate'!$A$5:$A$238,0))</f>
        <v>Namakkal</v>
      </c>
      <c r="D166" s="7" t="n">
        <f aca="false">INDEX('AC Estimate'!$I$5:$I$238,MATCH($A166,'AC Estimate'!$A$5:$A$238,0))</f>
        <v>39</v>
      </c>
      <c r="E166" s="27" t="n">
        <f aca="false">INDEX('AC Estimate'!$J$5:$J$238,MATCH($A166,'AC Estimate'!$A$5:$A$238,0))</f>
        <v>0.358974358974359</v>
      </c>
      <c r="F166" s="27" t="n">
        <f aca="false">INDEX('AC Estimate'!$K$5:$K$238,MATCH($A166,'AC Estimate'!$A$5:$A$238,0))</f>
        <v>0.230769230769231</v>
      </c>
      <c r="G166" s="27" t="n">
        <f aca="false">INDEX('AC Estimate'!$L$5:$L$238,MATCH($A166,'AC Estimate'!$A$5:$A$238,0))</f>
        <v>0</v>
      </c>
      <c r="H166" s="27" t="n">
        <f aca="false">INDEX('AC Estimate'!$M$5:$M$238,MATCH($A166,'AC Estimate'!$A$5:$A$238,0))</f>
        <v>0.0769230769230769</v>
      </c>
      <c r="I166" s="27" t="n">
        <f aca="false">INDEX('AC Estimate'!$N$5:$N$238,MATCH($A166,'AC Estimate'!$A$5:$A$238,0))</f>
        <v>0.333333333333333</v>
      </c>
      <c r="J166" s="7" t="str">
        <f aca="false">INDEX('AC Estimate'!$P$5:$P$238,MATCH($A166,'AC Estimate'!$A$5:$A$238,0))</f>
        <v>AIADMK+</v>
      </c>
      <c r="K166" s="7" t="str">
        <f aca="false">INDEX('AC Estimate'!$AK$5:$AK$238,MATCH($A166,'AC Estimate'!$A$5:$A$238,0))</f>
        <v>TVK</v>
      </c>
      <c r="L166" s="27" t="n">
        <f aca="false">INDEX('AC Estimate'!$AM$5:$AM$238,MATCH($A166,'AC Estimate'!$A$5:$A$238,0))</f>
        <v>0.329909400519672</v>
      </c>
      <c r="M166" s="7" t="str">
        <f aca="false">INDEX('AC Estimate'!$Q$5:$Q$238,MATCH($A166,'AC Estimate'!$A$5:$A$238,0))</f>
        <v>TVK</v>
      </c>
      <c r="N166" s="7" t="str">
        <f aca="false">INDEX('AC Estimate'!$R$5:$R$238,MATCH($A166,'AC Estimate'!$A$5:$A$238,0))</f>
        <v>TVK</v>
      </c>
      <c r="O166" s="7" t="str">
        <f aca="false">INDEX('AC Estimate'!$AL$5:$AL$238,MATCH($A166,'AC Estimate'!$A$5:$A$238,0))</f>
        <v>Yes</v>
      </c>
    </row>
    <row r="167" customFormat="false" ht="15" hidden="false" customHeight="false" outlineLevel="0" collapsed="false">
      <c r="A167" s="17" t="n">
        <v>97</v>
      </c>
      <c r="B167" s="7" t="str">
        <f aca="false">INDEX('AC Estimate'!$B$5:$B$238,MATCH($A167,'AC Estimate'!$A$5:$A$238,0))</f>
        <v>Kumarapalayam</v>
      </c>
      <c r="C167" s="7" t="str">
        <f aca="false">INDEX('AC Estimate'!$C$5:$C$238,MATCH($A167,'AC Estimate'!$A$5:$A$238,0))</f>
        <v>Namakkal</v>
      </c>
      <c r="D167" s="7" t="n">
        <f aca="false">INDEX('AC Estimate'!$I$5:$I$238,MATCH($A167,'AC Estimate'!$A$5:$A$238,0))</f>
        <v>38</v>
      </c>
      <c r="E167" s="27" t="n">
        <f aca="false">INDEX('AC Estimate'!$J$5:$J$238,MATCH($A167,'AC Estimate'!$A$5:$A$238,0))</f>
        <v>0.342105263157895</v>
      </c>
      <c r="F167" s="27" t="n">
        <f aca="false">INDEX('AC Estimate'!$K$5:$K$238,MATCH($A167,'AC Estimate'!$A$5:$A$238,0))</f>
        <v>0.184210526315789</v>
      </c>
      <c r="G167" s="27" t="n">
        <f aca="false">INDEX('AC Estimate'!$L$5:$L$238,MATCH($A167,'AC Estimate'!$A$5:$A$238,0))</f>
        <v>0</v>
      </c>
      <c r="H167" s="27" t="n">
        <f aca="false">INDEX('AC Estimate'!$M$5:$M$238,MATCH($A167,'AC Estimate'!$A$5:$A$238,0))</f>
        <v>0.0263157894736842</v>
      </c>
      <c r="I167" s="27" t="n">
        <f aca="false">INDEX('AC Estimate'!$N$5:$N$238,MATCH($A167,'AC Estimate'!$A$5:$A$238,0))</f>
        <v>0.447368421052632</v>
      </c>
      <c r="J167" s="7" t="str">
        <f aca="false">INDEX('AC Estimate'!$P$5:$P$238,MATCH($A167,'AC Estimate'!$A$5:$A$238,0))</f>
        <v>TVK</v>
      </c>
      <c r="K167" s="7" t="str">
        <f aca="false">INDEX('AC Estimate'!$AK$5:$AK$238,MATCH($A167,'AC Estimate'!$A$5:$A$238,0))</f>
        <v>TVK</v>
      </c>
      <c r="L167" s="27" t="n">
        <f aca="false">INDEX('AC Estimate'!$AM$5:$AM$238,MATCH($A167,'AC Estimate'!$A$5:$A$238,0))</f>
        <v>0.34726163865333</v>
      </c>
      <c r="M167" s="7" t="str">
        <f aca="false">INDEX('AC Estimate'!$Q$5:$Q$238,MATCH($A167,'AC Estimate'!$A$5:$A$238,0))</f>
        <v>TVK</v>
      </c>
      <c r="N167" s="7" t="str">
        <f aca="false">INDEX('AC Estimate'!$R$5:$R$238,MATCH($A167,'AC Estimate'!$A$5:$A$238,0))</f>
        <v>TVK</v>
      </c>
      <c r="O167" s="7" t="str">
        <f aca="false">INDEX('AC Estimate'!$AL$5:$AL$238,MATCH($A167,'AC Estimate'!$A$5:$A$238,0))</f>
        <v>Yes</v>
      </c>
    </row>
    <row r="168" customFormat="false" ht="15" hidden="false" customHeight="false" outlineLevel="0" collapsed="false">
      <c r="A168" s="33"/>
      <c r="B168" s="34" t="s">
        <v>125</v>
      </c>
      <c r="C168" s="33"/>
      <c r="D168" s="34" t="n">
        <f aca="false">SUM(D162:D167)</f>
        <v>214</v>
      </c>
      <c r="E168" s="33"/>
      <c r="F168" s="33"/>
      <c r="G168" s="33"/>
      <c r="H168" s="33"/>
      <c r="I168" s="33"/>
      <c r="J168" s="34" t="s">
        <v>92</v>
      </c>
      <c r="K168" s="34" t="str">
        <f aca="false">COUNTIF(K162:K167,"TVK")&amp;" / "&amp;COUNTIF(K162:K167,"AIADMK+")&amp;" / "&amp;COUNTIF(K162:K167,"DMK+")</f>
        <v>5 / 1 / 0</v>
      </c>
      <c r="L168" s="33"/>
      <c r="M168" s="34" t="s">
        <v>93</v>
      </c>
      <c r="N168" s="34" t="str">
        <f aca="false">COUNTIF(N162:N167,"TVK")&amp;" / "&amp;COUNTIF(N162:N167,"AIADMK+")&amp;" / "&amp;COUNTIF(N162:N167,"DMK+")</f>
        <v>5 / 1 / 0</v>
      </c>
      <c r="O168" s="34" t="str">
        <f aca="false">IF(AND(ABS(COUNTIF(K162:K167,"TVK")-COUNTIF(N162:N167,"TVK"))&lt;=Calibration!$B$3,ABS(COUNTIF(K162:K167,"AIADMK+")-COUNTIF(N162:N167,"AIADMK+"))&lt;=Calibration!$B$3,ABS(COUNTIF(K162:K167,"DMK+")-COUNTIF(N162:N167,"DMK+"))&lt;=Calibration!$B$3),"Within","Off")</f>
        <v>Within</v>
      </c>
    </row>
    <row r="170" customFormat="false" ht="15" hidden="false" customHeight="false" outlineLevel="0" collapsed="false">
      <c r="A170" s="31" t="s">
        <v>126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customFormat="false" ht="15" hidden="false" customHeight="false" outlineLevel="0" collapsed="false">
      <c r="A171" s="17" t="n">
        <v>147</v>
      </c>
      <c r="B171" s="7" t="str">
        <f aca="false">INDEX('AC Estimate'!$B$5:$B$238,MATCH($A171,'AC Estimate'!$A$5:$A$238,0))</f>
        <v>Perambalur</v>
      </c>
      <c r="C171" s="7" t="str">
        <f aca="false">INDEX('AC Estimate'!$C$5:$C$238,MATCH($A171,'AC Estimate'!$A$5:$A$238,0))</f>
        <v>Perambalur</v>
      </c>
      <c r="D171" s="7" t="n">
        <f aca="false">INDEX('AC Estimate'!$I$5:$I$238,MATCH($A171,'AC Estimate'!$A$5:$A$238,0))</f>
        <v>45</v>
      </c>
      <c r="E171" s="27" t="n">
        <f aca="false">INDEX('AC Estimate'!$J$5:$J$238,MATCH($A171,'AC Estimate'!$A$5:$A$238,0))</f>
        <v>0.266666666666667</v>
      </c>
      <c r="F171" s="27" t="n">
        <f aca="false">INDEX('AC Estimate'!$K$5:$K$238,MATCH($A171,'AC Estimate'!$A$5:$A$238,0))</f>
        <v>0.222222222222222</v>
      </c>
      <c r="G171" s="27" t="n">
        <f aca="false">INDEX('AC Estimate'!$L$5:$L$238,MATCH($A171,'AC Estimate'!$A$5:$A$238,0))</f>
        <v>0</v>
      </c>
      <c r="H171" s="27" t="n">
        <f aca="false">INDEX('AC Estimate'!$M$5:$M$238,MATCH($A171,'AC Estimate'!$A$5:$A$238,0))</f>
        <v>0.0888888888888889</v>
      </c>
      <c r="I171" s="27" t="n">
        <f aca="false">INDEX('AC Estimate'!$N$5:$N$238,MATCH($A171,'AC Estimate'!$A$5:$A$238,0))</f>
        <v>0.422222222222222</v>
      </c>
      <c r="J171" s="7" t="str">
        <f aca="false">INDEX('AC Estimate'!$P$5:$P$238,MATCH($A171,'AC Estimate'!$A$5:$A$238,0))</f>
        <v>TVK</v>
      </c>
      <c r="K171" s="7" t="str">
        <f aca="false">INDEX('AC Estimate'!$AK$5:$AK$238,MATCH($A171,'AC Estimate'!$A$5:$A$238,0))</f>
        <v>TVK</v>
      </c>
      <c r="L171" s="27" t="n">
        <f aca="false">INDEX('AC Estimate'!$AM$5:$AM$238,MATCH($A171,'AC Estimate'!$A$5:$A$238,0))</f>
        <v>0.391058074507023</v>
      </c>
      <c r="M171" s="7" t="str">
        <f aca="false">INDEX('AC Estimate'!$Q$5:$Q$238,MATCH($A171,'AC Estimate'!$A$5:$A$238,0))</f>
        <v>TVK</v>
      </c>
      <c r="N171" s="7" t="str">
        <f aca="false">INDEX('AC Estimate'!$R$5:$R$238,MATCH($A171,'AC Estimate'!$A$5:$A$238,0))</f>
        <v>TVK</v>
      </c>
      <c r="O171" s="7" t="str">
        <f aca="false">INDEX('AC Estimate'!$AL$5:$AL$238,MATCH($A171,'AC Estimate'!$A$5:$A$238,0))</f>
        <v>Yes</v>
      </c>
    </row>
    <row r="172" customFormat="false" ht="15" hidden="false" customHeight="false" outlineLevel="0" collapsed="false">
      <c r="A172" s="17" t="n">
        <v>148</v>
      </c>
      <c r="B172" s="7" t="str">
        <f aca="false">INDEX('AC Estimate'!$B$5:$B$238,MATCH($A172,'AC Estimate'!$A$5:$A$238,0))</f>
        <v>Kunnam</v>
      </c>
      <c r="C172" s="7" t="str">
        <f aca="false">INDEX('AC Estimate'!$C$5:$C$238,MATCH($A172,'AC Estimate'!$A$5:$A$238,0))</f>
        <v>Perambalur</v>
      </c>
      <c r="D172" s="7" t="n">
        <f aca="false">INDEX('AC Estimate'!$I$5:$I$238,MATCH($A172,'AC Estimate'!$A$5:$A$238,0))</f>
        <v>33</v>
      </c>
      <c r="E172" s="27" t="n">
        <f aca="false">INDEX('AC Estimate'!$J$5:$J$238,MATCH($A172,'AC Estimate'!$A$5:$A$238,0))</f>
        <v>0.303030303030303</v>
      </c>
      <c r="F172" s="27" t="n">
        <f aca="false">INDEX('AC Estimate'!$K$5:$K$238,MATCH($A172,'AC Estimate'!$A$5:$A$238,0))</f>
        <v>0.424242424242424</v>
      </c>
      <c r="G172" s="27" t="n">
        <f aca="false">INDEX('AC Estimate'!$L$5:$L$238,MATCH($A172,'AC Estimate'!$A$5:$A$238,0))</f>
        <v>0</v>
      </c>
      <c r="H172" s="27" t="n">
        <f aca="false">INDEX('AC Estimate'!$M$5:$M$238,MATCH($A172,'AC Estimate'!$A$5:$A$238,0))</f>
        <v>0.0606060606060606</v>
      </c>
      <c r="I172" s="27" t="n">
        <f aca="false">INDEX('AC Estimate'!$N$5:$N$238,MATCH($A172,'AC Estimate'!$A$5:$A$238,0))</f>
        <v>0.212121212121212</v>
      </c>
      <c r="J172" s="7" t="str">
        <f aca="false">INDEX('AC Estimate'!$P$5:$P$238,MATCH($A172,'AC Estimate'!$A$5:$A$238,0))</f>
        <v>DMK+</v>
      </c>
      <c r="K172" s="7" t="str">
        <f aca="false">INDEX('AC Estimate'!$AK$5:$AK$238,MATCH($A172,'AC Estimate'!$A$5:$A$238,0))</f>
        <v>DMK+</v>
      </c>
      <c r="L172" s="27" t="n">
        <f aca="false">INDEX('AC Estimate'!$AM$5:$AM$238,MATCH($A172,'AC Estimate'!$A$5:$A$238,0))</f>
        <v>0.476866021232319</v>
      </c>
      <c r="M172" s="7" t="str">
        <f aca="false">INDEX('AC Estimate'!$Q$5:$Q$238,MATCH($A172,'AC Estimate'!$A$5:$A$238,0))</f>
        <v>DMK</v>
      </c>
      <c r="N172" s="7" t="str">
        <f aca="false">INDEX('AC Estimate'!$R$5:$R$238,MATCH($A172,'AC Estimate'!$A$5:$A$238,0))</f>
        <v>DMK+</v>
      </c>
      <c r="O172" s="7" t="str">
        <f aca="false">INDEX('AC Estimate'!$AL$5:$AL$238,MATCH($A172,'AC Estimate'!$A$5:$A$238,0))</f>
        <v>Yes</v>
      </c>
    </row>
    <row r="173" customFormat="false" ht="15" hidden="false" customHeight="false" outlineLevel="0" collapsed="false">
      <c r="A173" s="33"/>
      <c r="B173" s="34" t="s">
        <v>127</v>
      </c>
      <c r="C173" s="33"/>
      <c r="D173" s="34" t="n">
        <f aca="false">SUM(D171:D172)</f>
        <v>78</v>
      </c>
      <c r="E173" s="33"/>
      <c r="F173" s="33"/>
      <c r="G173" s="33"/>
      <c r="H173" s="33"/>
      <c r="I173" s="33"/>
      <c r="J173" s="34" t="s">
        <v>92</v>
      </c>
      <c r="K173" s="34" t="str">
        <f aca="false">COUNTIF(K171:K172,"TVK")&amp;" / "&amp;COUNTIF(K171:K172,"AIADMK+")&amp;" / "&amp;COUNTIF(K171:K172,"DMK+")</f>
        <v>1 / 0 / 1</v>
      </c>
      <c r="L173" s="33"/>
      <c r="M173" s="34" t="s">
        <v>93</v>
      </c>
      <c r="N173" s="34" t="str">
        <f aca="false">COUNTIF(N171:N172,"TVK")&amp;" / "&amp;COUNTIF(N171:N172,"AIADMK+")&amp;" / "&amp;COUNTIF(N171:N172,"DMK+")</f>
        <v>1 / 0 / 1</v>
      </c>
      <c r="O173" s="34" t="str">
        <f aca="false">IF(AND(ABS(COUNTIF(K171:K172,"TVK")-COUNTIF(N171:N172,"TVK"))&lt;=Calibration!$B$3,ABS(COUNTIF(K171:K172,"AIADMK+")-COUNTIF(N171:N172,"AIADMK+"))&lt;=Calibration!$B$3,ABS(COUNTIF(K171:K172,"DMK+")-COUNTIF(N171:N172,"DMK+"))&lt;=Calibration!$B$3),"Within","Off")</f>
        <v>Within</v>
      </c>
    </row>
    <row r="175" customFormat="false" ht="15" hidden="false" customHeight="false" outlineLevel="0" collapsed="false">
      <c r="A175" s="31" t="s">
        <v>128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customFormat="false" ht="15" hidden="false" customHeight="false" outlineLevel="0" collapsed="false">
      <c r="A176" s="17" t="n">
        <v>178</v>
      </c>
      <c r="B176" s="7" t="str">
        <f aca="false">INDEX('AC Estimate'!$B$5:$B$238,MATCH($A176,'AC Estimate'!$A$5:$A$238,0))</f>
        <v>Gandarvakottai</v>
      </c>
      <c r="C176" s="7" t="str">
        <f aca="false">INDEX('AC Estimate'!$C$5:$C$238,MATCH($A176,'AC Estimate'!$A$5:$A$238,0))</f>
        <v>Pudukkottai</v>
      </c>
      <c r="D176" s="7" t="n">
        <f aca="false">INDEX('AC Estimate'!$I$5:$I$238,MATCH($A176,'AC Estimate'!$A$5:$A$238,0))</f>
        <v>19</v>
      </c>
      <c r="E176" s="27" t="n">
        <f aca="false">INDEX('AC Estimate'!$J$5:$J$238,MATCH($A176,'AC Estimate'!$A$5:$A$238,0))</f>
        <v>0.421052631578947</v>
      </c>
      <c r="F176" s="27" t="n">
        <f aca="false">INDEX('AC Estimate'!$K$5:$K$238,MATCH($A176,'AC Estimate'!$A$5:$A$238,0))</f>
        <v>0.105263157894737</v>
      </c>
      <c r="G176" s="27" t="n">
        <f aca="false">INDEX('AC Estimate'!$L$5:$L$238,MATCH($A176,'AC Estimate'!$A$5:$A$238,0))</f>
        <v>0</v>
      </c>
      <c r="H176" s="27" t="n">
        <f aca="false">INDEX('AC Estimate'!$M$5:$M$238,MATCH($A176,'AC Estimate'!$A$5:$A$238,0))</f>
        <v>0.105263157894737</v>
      </c>
      <c r="I176" s="27" t="n">
        <f aca="false">INDEX('AC Estimate'!$N$5:$N$238,MATCH($A176,'AC Estimate'!$A$5:$A$238,0))</f>
        <v>0.368421052631579</v>
      </c>
      <c r="J176" s="7" t="str">
        <f aca="false">INDEX('AC Estimate'!$P$5:$P$238,MATCH($A176,'AC Estimate'!$A$5:$A$238,0))</f>
        <v>AIADMK+</v>
      </c>
      <c r="K176" s="7" t="str">
        <f aca="false">INDEX('AC Estimate'!$AK$5:$AK$238,MATCH($A176,'AC Estimate'!$A$5:$A$238,0))</f>
        <v>AIADMK+</v>
      </c>
      <c r="L176" s="27" t="n">
        <f aca="false">INDEX('AC Estimate'!$AM$5:$AM$238,MATCH($A176,'AC Estimate'!$A$5:$A$238,0))</f>
        <v>0.507755651808862</v>
      </c>
      <c r="M176" s="7" t="str">
        <f aca="false">INDEX('AC Estimate'!$Q$5:$Q$238,MATCH($A176,'AC Estimate'!$A$5:$A$238,0))</f>
        <v>TVK</v>
      </c>
      <c r="N176" s="7" t="str">
        <f aca="false">INDEX('AC Estimate'!$R$5:$R$238,MATCH($A176,'AC Estimate'!$A$5:$A$238,0))</f>
        <v>TVK</v>
      </c>
      <c r="O176" s="7" t="str">
        <f aca="false">INDEX('AC Estimate'!$AL$5:$AL$238,MATCH($A176,'AC Estimate'!$A$5:$A$238,0))</f>
        <v>No</v>
      </c>
    </row>
    <row r="177" customFormat="false" ht="15" hidden="false" customHeight="false" outlineLevel="0" collapsed="false">
      <c r="A177" s="17" t="n">
        <v>179</v>
      </c>
      <c r="B177" s="7" t="str">
        <f aca="false">INDEX('AC Estimate'!$B$5:$B$238,MATCH($A177,'AC Estimate'!$A$5:$A$238,0))</f>
        <v>Viralimalai</v>
      </c>
      <c r="C177" s="7" t="str">
        <f aca="false">INDEX('AC Estimate'!$C$5:$C$238,MATCH($A177,'AC Estimate'!$A$5:$A$238,0))</f>
        <v>Pudukkottai</v>
      </c>
      <c r="D177" s="7" t="n">
        <f aca="false">INDEX('AC Estimate'!$I$5:$I$238,MATCH($A177,'AC Estimate'!$A$5:$A$238,0))</f>
        <v>36</v>
      </c>
      <c r="E177" s="27" t="n">
        <f aca="false">INDEX('AC Estimate'!$J$5:$J$238,MATCH($A177,'AC Estimate'!$A$5:$A$238,0))</f>
        <v>0.194444444444444</v>
      </c>
      <c r="F177" s="27" t="n">
        <f aca="false">INDEX('AC Estimate'!$K$5:$K$238,MATCH($A177,'AC Estimate'!$A$5:$A$238,0))</f>
        <v>0.277777777777778</v>
      </c>
      <c r="G177" s="27" t="n">
        <f aca="false">INDEX('AC Estimate'!$L$5:$L$238,MATCH($A177,'AC Estimate'!$A$5:$A$238,0))</f>
        <v>0</v>
      </c>
      <c r="H177" s="27" t="n">
        <f aca="false">INDEX('AC Estimate'!$M$5:$M$238,MATCH($A177,'AC Estimate'!$A$5:$A$238,0))</f>
        <v>0.138888888888889</v>
      </c>
      <c r="I177" s="27" t="n">
        <f aca="false">INDEX('AC Estimate'!$N$5:$N$238,MATCH($A177,'AC Estimate'!$A$5:$A$238,0))</f>
        <v>0.388888888888889</v>
      </c>
      <c r="J177" s="7" t="str">
        <f aca="false">INDEX('AC Estimate'!$P$5:$P$238,MATCH($A177,'AC Estimate'!$A$5:$A$238,0))</f>
        <v>TVK</v>
      </c>
      <c r="K177" s="7" t="str">
        <f aca="false">INDEX('AC Estimate'!$AK$5:$AK$238,MATCH($A177,'AC Estimate'!$A$5:$A$238,0))</f>
        <v>TVK</v>
      </c>
      <c r="L177" s="27" t="n">
        <f aca="false">INDEX('AC Estimate'!$AM$5:$AM$238,MATCH($A177,'AC Estimate'!$A$5:$A$238,0))</f>
        <v>0.315889940054118</v>
      </c>
      <c r="M177" s="7" t="str">
        <f aca="false">INDEX('AC Estimate'!$Q$5:$Q$238,MATCH($A177,'AC Estimate'!$A$5:$A$238,0))</f>
        <v>AIADMK</v>
      </c>
      <c r="N177" s="7" t="str">
        <f aca="false">INDEX('AC Estimate'!$R$5:$R$238,MATCH($A177,'AC Estimate'!$A$5:$A$238,0))</f>
        <v>AIADMK+</v>
      </c>
      <c r="O177" s="7" t="str">
        <f aca="false">INDEX('AC Estimate'!$AL$5:$AL$238,MATCH($A177,'AC Estimate'!$A$5:$A$238,0))</f>
        <v>No</v>
      </c>
    </row>
    <row r="178" customFormat="false" ht="15" hidden="false" customHeight="false" outlineLevel="0" collapsed="false">
      <c r="A178" s="17" t="n">
        <v>180</v>
      </c>
      <c r="B178" s="7" t="str">
        <f aca="false">INDEX('AC Estimate'!$B$5:$B$238,MATCH($A178,'AC Estimate'!$A$5:$A$238,0))</f>
        <v>Pudukkottai</v>
      </c>
      <c r="C178" s="7" t="str">
        <f aca="false">INDEX('AC Estimate'!$C$5:$C$238,MATCH($A178,'AC Estimate'!$A$5:$A$238,0))</f>
        <v>Pudukkottai</v>
      </c>
      <c r="D178" s="7" t="n">
        <f aca="false">INDEX('AC Estimate'!$I$5:$I$238,MATCH($A178,'AC Estimate'!$A$5:$A$238,0))</f>
        <v>47</v>
      </c>
      <c r="E178" s="27" t="n">
        <f aca="false">INDEX('AC Estimate'!$J$5:$J$238,MATCH($A178,'AC Estimate'!$A$5:$A$238,0))</f>
        <v>0.170212765957447</v>
      </c>
      <c r="F178" s="27" t="n">
        <f aca="false">INDEX('AC Estimate'!$K$5:$K$238,MATCH($A178,'AC Estimate'!$A$5:$A$238,0))</f>
        <v>0.127659574468085</v>
      </c>
      <c r="G178" s="27" t="n">
        <f aca="false">INDEX('AC Estimate'!$L$5:$L$238,MATCH($A178,'AC Estimate'!$A$5:$A$238,0))</f>
        <v>0</v>
      </c>
      <c r="H178" s="27" t="n">
        <f aca="false">INDEX('AC Estimate'!$M$5:$M$238,MATCH($A178,'AC Estimate'!$A$5:$A$238,0))</f>
        <v>0.0638297872340426</v>
      </c>
      <c r="I178" s="27" t="n">
        <f aca="false">INDEX('AC Estimate'!$N$5:$N$238,MATCH($A178,'AC Estimate'!$A$5:$A$238,0))</f>
        <v>0.638297872340426</v>
      </c>
      <c r="J178" s="7" t="str">
        <f aca="false">INDEX('AC Estimate'!$P$5:$P$238,MATCH($A178,'AC Estimate'!$A$5:$A$238,0))</f>
        <v>TVK</v>
      </c>
      <c r="K178" s="7" t="str">
        <f aca="false">INDEX('AC Estimate'!$AK$5:$AK$238,MATCH($A178,'AC Estimate'!$A$5:$A$238,0))</f>
        <v>TVK</v>
      </c>
      <c r="L178" s="27" t="n">
        <f aca="false">INDEX('AC Estimate'!$AM$5:$AM$238,MATCH($A178,'AC Estimate'!$A$5:$A$238,0))</f>
        <v>0.496948264597735</v>
      </c>
      <c r="M178" s="7" t="str">
        <f aca="false">INDEX('AC Estimate'!$Q$5:$Q$238,MATCH($A178,'AC Estimate'!$A$5:$A$238,0))</f>
        <v>DMK</v>
      </c>
      <c r="N178" s="7" t="str">
        <f aca="false">INDEX('AC Estimate'!$R$5:$R$238,MATCH($A178,'AC Estimate'!$A$5:$A$238,0))</f>
        <v>DMK+</v>
      </c>
      <c r="O178" s="7" t="str">
        <f aca="false">INDEX('AC Estimate'!$AL$5:$AL$238,MATCH($A178,'AC Estimate'!$A$5:$A$238,0))</f>
        <v>No</v>
      </c>
    </row>
    <row r="179" customFormat="false" ht="15" hidden="false" customHeight="false" outlineLevel="0" collapsed="false">
      <c r="A179" s="17" t="n">
        <v>181</v>
      </c>
      <c r="B179" s="7" t="str">
        <f aca="false">INDEX('AC Estimate'!$B$5:$B$238,MATCH($A179,'AC Estimate'!$A$5:$A$238,0))</f>
        <v>Thirumayam</v>
      </c>
      <c r="C179" s="7" t="str">
        <f aca="false">INDEX('AC Estimate'!$C$5:$C$238,MATCH($A179,'AC Estimate'!$A$5:$A$238,0))</f>
        <v>Pudukkottai</v>
      </c>
      <c r="D179" s="7" t="n">
        <f aca="false">INDEX('AC Estimate'!$I$5:$I$238,MATCH($A179,'AC Estimate'!$A$5:$A$238,0))</f>
        <v>22</v>
      </c>
      <c r="E179" s="27" t="n">
        <f aca="false">INDEX('AC Estimate'!$J$5:$J$238,MATCH($A179,'AC Estimate'!$A$5:$A$238,0))</f>
        <v>0.318181818181818</v>
      </c>
      <c r="F179" s="27" t="n">
        <f aca="false">INDEX('AC Estimate'!$K$5:$K$238,MATCH($A179,'AC Estimate'!$A$5:$A$238,0))</f>
        <v>0.227272727272727</v>
      </c>
      <c r="G179" s="27" t="n">
        <f aca="false">INDEX('AC Estimate'!$L$5:$L$238,MATCH($A179,'AC Estimate'!$A$5:$A$238,0))</f>
        <v>0</v>
      </c>
      <c r="H179" s="27" t="n">
        <f aca="false">INDEX('AC Estimate'!$M$5:$M$238,MATCH($A179,'AC Estimate'!$A$5:$A$238,0))</f>
        <v>0.136363636363636</v>
      </c>
      <c r="I179" s="27" t="n">
        <f aca="false">INDEX('AC Estimate'!$N$5:$N$238,MATCH($A179,'AC Estimate'!$A$5:$A$238,0))</f>
        <v>0.318181818181818</v>
      </c>
      <c r="J179" s="7" t="str">
        <f aca="false">INDEX('AC Estimate'!$P$5:$P$238,MATCH($A179,'AC Estimate'!$A$5:$A$238,0))</f>
        <v>AIADMK+</v>
      </c>
      <c r="K179" s="7" t="str">
        <f aca="false">INDEX('AC Estimate'!$AK$5:$AK$238,MATCH($A179,'AC Estimate'!$A$5:$A$238,0))</f>
        <v>DMK+</v>
      </c>
      <c r="L179" s="27" t="n">
        <f aca="false">INDEX('AC Estimate'!$AM$5:$AM$238,MATCH($A179,'AC Estimate'!$A$5:$A$238,0))</f>
        <v>0.424998481394556</v>
      </c>
      <c r="M179" s="7" t="str">
        <f aca="false">INDEX('AC Estimate'!$Q$5:$Q$238,MATCH($A179,'AC Estimate'!$A$5:$A$238,0))</f>
        <v>DMK</v>
      </c>
      <c r="N179" s="7" t="str">
        <f aca="false">INDEX('AC Estimate'!$R$5:$R$238,MATCH($A179,'AC Estimate'!$A$5:$A$238,0))</f>
        <v>DMK+</v>
      </c>
      <c r="O179" s="7" t="str">
        <f aca="false">INDEX('AC Estimate'!$AL$5:$AL$238,MATCH($A179,'AC Estimate'!$A$5:$A$238,0))</f>
        <v>Yes</v>
      </c>
    </row>
    <row r="180" customFormat="false" ht="15" hidden="false" customHeight="false" outlineLevel="0" collapsed="false">
      <c r="A180" s="17" t="n">
        <v>182</v>
      </c>
      <c r="B180" s="7" t="str">
        <f aca="false">INDEX('AC Estimate'!$B$5:$B$238,MATCH($A180,'AC Estimate'!$A$5:$A$238,0))</f>
        <v>Alangudi</v>
      </c>
      <c r="C180" s="7" t="str">
        <f aca="false">INDEX('AC Estimate'!$C$5:$C$238,MATCH($A180,'AC Estimate'!$A$5:$A$238,0))</f>
        <v>Pudukkottai</v>
      </c>
      <c r="D180" s="7" t="n">
        <f aca="false">INDEX('AC Estimate'!$I$5:$I$238,MATCH($A180,'AC Estimate'!$A$5:$A$238,0))</f>
        <v>39</v>
      </c>
      <c r="E180" s="27" t="n">
        <f aca="false">INDEX('AC Estimate'!$J$5:$J$238,MATCH($A180,'AC Estimate'!$A$5:$A$238,0))</f>
        <v>0.17948717948718</v>
      </c>
      <c r="F180" s="27" t="n">
        <f aca="false">INDEX('AC Estimate'!$K$5:$K$238,MATCH($A180,'AC Estimate'!$A$5:$A$238,0))</f>
        <v>0.384615384615385</v>
      </c>
      <c r="G180" s="27" t="n">
        <f aca="false">INDEX('AC Estimate'!$L$5:$L$238,MATCH($A180,'AC Estimate'!$A$5:$A$238,0))</f>
        <v>0.0256410256410256</v>
      </c>
      <c r="H180" s="27" t="n">
        <f aca="false">INDEX('AC Estimate'!$M$5:$M$238,MATCH($A180,'AC Estimate'!$A$5:$A$238,0))</f>
        <v>0.153846153846154</v>
      </c>
      <c r="I180" s="27" t="n">
        <f aca="false">INDEX('AC Estimate'!$N$5:$N$238,MATCH($A180,'AC Estimate'!$A$5:$A$238,0))</f>
        <v>0.256410256410256</v>
      </c>
      <c r="J180" s="7" t="str">
        <f aca="false">INDEX('AC Estimate'!$P$5:$P$238,MATCH($A180,'AC Estimate'!$A$5:$A$238,0))</f>
        <v>DMK+</v>
      </c>
      <c r="K180" s="7" t="str">
        <f aca="false">INDEX('AC Estimate'!$AK$5:$AK$238,MATCH($A180,'AC Estimate'!$A$5:$A$238,0))</f>
        <v>DMK+</v>
      </c>
      <c r="L180" s="27" t="n">
        <f aca="false">INDEX('AC Estimate'!$AM$5:$AM$238,MATCH($A180,'AC Estimate'!$A$5:$A$238,0))</f>
        <v>0.432712103911157</v>
      </c>
      <c r="M180" s="7" t="str">
        <f aca="false">INDEX('AC Estimate'!$Q$5:$Q$238,MATCH($A180,'AC Estimate'!$A$5:$A$238,0))</f>
        <v>DMK</v>
      </c>
      <c r="N180" s="7" t="str">
        <f aca="false">INDEX('AC Estimate'!$R$5:$R$238,MATCH($A180,'AC Estimate'!$A$5:$A$238,0))</f>
        <v>DMK+</v>
      </c>
      <c r="O180" s="7" t="str">
        <f aca="false">INDEX('AC Estimate'!$AL$5:$AL$238,MATCH($A180,'AC Estimate'!$A$5:$A$238,0))</f>
        <v>Yes</v>
      </c>
    </row>
    <row r="181" customFormat="false" ht="15" hidden="false" customHeight="false" outlineLevel="0" collapsed="false">
      <c r="A181" s="17" t="n">
        <v>183</v>
      </c>
      <c r="B181" s="7" t="str">
        <f aca="false">INDEX('AC Estimate'!$B$5:$B$238,MATCH($A181,'AC Estimate'!$A$5:$A$238,0))</f>
        <v>Aranthangi</v>
      </c>
      <c r="C181" s="7" t="str">
        <f aca="false">INDEX('AC Estimate'!$C$5:$C$238,MATCH($A181,'AC Estimate'!$A$5:$A$238,0))</f>
        <v>Pudukkottai</v>
      </c>
      <c r="D181" s="7" t="n">
        <f aca="false">INDEX('AC Estimate'!$I$5:$I$238,MATCH($A181,'AC Estimate'!$A$5:$A$238,0))</f>
        <v>25</v>
      </c>
      <c r="E181" s="27" t="n">
        <f aca="false">INDEX('AC Estimate'!$J$5:$J$238,MATCH($A181,'AC Estimate'!$A$5:$A$238,0))</f>
        <v>0.2</v>
      </c>
      <c r="F181" s="27" t="n">
        <f aca="false">INDEX('AC Estimate'!$K$5:$K$238,MATCH($A181,'AC Estimate'!$A$5:$A$238,0))</f>
        <v>0.2</v>
      </c>
      <c r="G181" s="27" t="n">
        <f aca="false">INDEX('AC Estimate'!$L$5:$L$238,MATCH($A181,'AC Estimate'!$A$5:$A$238,0))</f>
        <v>0</v>
      </c>
      <c r="H181" s="27" t="n">
        <f aca="false">INDEX('AC Estimate'!$M$5:$M$238,MATCH($A181,'AC Estimate'!$A$5:$A$238,0))</f>
        <v>0.16</v>
      </c>
      <c r="I181" s="27" t="n">
        <f aca="false">INDEX('AC Estimate'!$N$5:$N$238,MATCH($A181,'AC Estimate'!$A$5:$A$238,0))</f>
        <v>0.44</v>
      </c>
      <c r="J181" s="7" t="str">
        <f aca="false">INDEX('AC Estimate'!$P$5:$P$238,MATCH($A181,'AC Estimate'!$A$5:$A$238,0))</f>
        <v>TVK</v>
      </c>
      <c r="K181" s="7" t="str">
        <f aca="false">INDEX('AC Estimate'!$AK$5:$AK$238,MATCH($A181,'AC Estimate'!$A$5:$A$238,0))</f>
        <v>DMK+</v>
      </c>
      <c r="L181" s="27" t="n">
        <f aca="false">INDEX('AC Estimate'!$AM$5:$AM$238,MATCH($A181,'AC Estimate'!$A$5:$A$238,0))</f>
        <v>0.424326198247919</v>
      </c>
      <c r="M181" s="7" t="str">
        <f aca="false">INDEX('AC Estimate'!$Q$5:$Q$238,MATCH($A181,'AC Estimate'!$A$5:$A$238,0))</f>
        <v>TVK</v>
      </c>
      <c r="N181" s="7" t="str">
        <f aca="false">INDEX('AC Estimate'!$R$5:$R$238,MATCH($A181,'AC Estimate'!$A$5:$A$238,0))</f>
        <v>TVK</v>
      </c>
      <c r="O181" s="7" t="str">
        <f aca="false">INDEX('AC Estimate'!$AL$5:$AL$238,MATCH($A181,'AC Estimate'!$A$5:$A$238,0))</f>
        <v>No</v>
      </c>
    </row>
    <row r="182" customFormat="false" ht="15" hidden="false" customHeight="false" outlineLevel="0" collapsed="false">
      <c r="A182" s="33"/>
      <c r="B182" s="34" t="s">
        <v>129</v>
      </c>
      <c r="C182" s="33"/>
      <c r="D182" s="34" t="n">
        <f aca="false">SUM(D176:D181)</f>
        <v>188</v>
      </c>
      <c r="E182" s="33"/>
      <c r="F182" s="33"/>
      <c r="G182" s="33"/>
      <c r="H182" s="33"/>
      <c r="I182" s="33"/>
      <c r="J182" s="34" t="s">
        <v>92</v>
      </c>
      <c r="K182" s="34" t="str">
        <f aca="false">COUNTIF(K176:K181,"TVK")&amp;" / "&amp;COUNTIF(K176:K181,"AIADMK+")&amp;" / "&amp;COUNTIF(K176:K181,"DMK+")</f>
        <v>2 / 1 / 3</v>
      </c>
      <c r="L182" s="33"/>
      <c r="M182" s="34" t="s">
        <v>93</v>
      </c>
      <c r="N182" s="34" t="str">
        <f aca="false">COUNTIF(N176:N181,"TVK")&amp;" / "&amp;COUNTIF(N176:N181,"AIADMK+")&amp;" / "&amp;COUNTIF(N176:N181,"DMK+")</f>
        <v>2 / 1 / 3</v>
      </c>
      <c r="O182" s="34" t="str">
        <f aca="false">IF(AND(ABS(COUNTIF(K176:K181,"TVK")-COUNTIF(N176:N181,"TVK"))&lt;=Calibration!$B$3,ABS(COUNTIF(K176:K181,"AIADMK+")-COUNTIF(N176:N181,"AIADMK+"))&lt;=Calibration!$B$3,ABS(COUNTIF(K176:K181,"DMK+")-COUNTIF(N176:N181,"DMK+"))&lt;=Calibration!$B$3),"Within","Off")</f>
        <v>Within</v>
      </c>
    </row>
    <row r="184" customFormat="false" ht="15" hidden="false" customHeight="false" outlineLevel="0" collapsed="false">
      <c r="A184" s="31" t="s">
        <v>130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customFormat="false" ht="15" hidden="false" customHeight="false" outlineLevel="0" collapsed="false">
      <c r="A185" s="17" t="n">
        <v>209</v>
      </c>
      <c r="B185" s="7" t="str">
        <f aca="false">INDEX('AC Estimate'!$B$5:$B$238,MATCH($A185,'AC Estimate'!$A$5:$A$238,0))</f>
        <v>Paramakudi</v>
      </c>
      <c r="C185" s="7" t="str">
        <f aca="false">INDEX('AC Estimate'!$C$5:$C$238,MATCH($A185,'AC Estimate'!$A$5:$A$238,0))</f>
        <v>Ramanathapuram</v>
      </c>
      <c r="D185" s="7" t="n">
        <f aca="false">INDEX('AC Estimate'!$I$5:$I$238,MATCH($A185,'AC Estimate'!$A$5:$A$238,0))</f>
        <v>40</v>
      </c>
      <c r="E185" s="27" t="n">
        <f aca="false">INDEX('AC Estimate'!$J$5:$J$238,MATCH($A185,'AC Estimate'!$A$5:$A$238,0))</f>
        <v>0.2</v>
      </c>
      <c r="F185" s="27" t="n">
        <f aca="false">INDEX('AC Estimate'!$K$5:$K$238,MATCH($A185,'AC Estimate'!$A$5:$A$238,0))</f>
        <v>0.225</v>
      </c>
      <c r="G185" s="27" t="n">
        <f aca="false">INDEX('AC Estimate'!$L$5:$L$238,MATCH($A185,'AC Estimate'!$A$5:$A$238,0))</f>
        <v>0</v>
      </c>
      <c r="H185" s="27" t="n">
        <f aca="false">INDEX('AC Estimate'!$M$5:$M$238,MATCH($A185,'AC Estimate'!$A$5:$A$238,0))</f>
        <v>0.125</v>
      </c>
      <c r="I185" s="27" t="n">
        <f aca="false">INDEX('AC Estimate'!$N$5:$N$238,MATCH($A185,'AC Estimate'!$A$5:$A$238,0))</f>
        <v>0.45</v>
      </c>
      <c r="J185" s="7" t="str">
        <f aca="false">INDEX('AC Estimate'!$P$5:$P$238,MATCH($A185,'AC Estimate'!$A$5:$A$238,0))</f>
        <v>TVK</v>
      </c>
      <c r="K185" s="7" t="str">
        <f aca="false">INDEX('AC Estimate'!$AK$5:$AK$238,MATCH($A185,'AC Estimate'!$A$5:$A$238,0))</f>
        <v>DMK+</v>
      </c>
      <c r="L185" s="27" t="n">
        <f aca="false">INDEX('AC Estimate'!$AM$5:$AM$238,MATCH($A185,'AC Estimate'!$A$5:$A$238,0))</f>
        <v>0.384476724976648</v>
      </c>
      <c r="M185" s="7" t="str">
        <f aca="false">INDEX('AC Estimate'!$Q$5:$Q$238,MATCH($A185,'AC Estimate'!$A$5:$A$238,0))</f>
        <v>DMK</v>
      </c>
      <c r="N185" s="7" t="str">
        <f aca="false">INDEX('AC Estimate'!$R$5:$R$238,MATCH($A185,'AC Estimate'!$A$5:$A$238,0))</f>
        <v>DMK+</v>
      </c>
      <c r="O185" s="7" t="str">
        <f aca="false">INDEX('AC Estimate'!$AL$5:$AL$238,MATCH($A185,'AC Estimate'!$A$5:$A$238,0))</f>
        <v>Yes</v>
      </c>
    </row>
    <row r="186" customFormat="false" ht="15" hidden="false" customHeight="false" outlineLevel="0" collapsed="false">
      <c r="A186" s="17" t="n">
        <v>210</v>
      </c>
      <c r="B186" s="7" t="str">
        <f aca="false">INDEX('AC Estimate'!$B$5:$B$238,MATCH($A186,'AC Estimate'!$A$5:$A$238,0))</f>
        <v>Tiruvadanai</v>
      </c>
      <c r="C186" s="7" t="str">
        <f aca="false">INDEX('AC Estimate'!$C$5:$C$238,MATCH($A186,'AC Estimate'!$A$5:$A$238,0))</f>
        <v>Ramanathapuram</v>
      </c>
      <c r="D186" s="7" t="n">
        <f aca="false">INDEX('AC Estimate'!$I$5:$I$238,MATCH($A186,'AC Estimate'!$A$5:$A$238,0))</f>
        <v>37</v>
      </c>
      <c r="E186" s="27" t="n">
        <f aca="false">INDEX('AC Estimate'!$J$5:$J$238,MATCH($A186,'AC Estimate'!$A$5:$A$238,0))</f>
        <v>0.135135135135135</v>
      </c>
      <c r="F186" s="27" t="n">
        <f aca="false">INDEX('AC Estimate'!$K$5:$K$238,MATCH($A186,'AC Estimate'!$A$5:$A$238,0))</f>
        <v>0.432432432432432</v>
      </c>
      <c r="G186" s="27" t="n">
        <f aca="false">INDEX('AC Estimate'!$L$5:$L$238,MATCH($A186,'AC Estimate'!$A$5:$A$238,0))</f>
        <v>0.027027027027027</v>
      </c>
      <c r="H186" s="27" t="n">
        <f aca="false">INDEX('AC Estimate'!$M$5:$M$238,MATCH($A186,'AC Estimate'!$A$5:$A$238,0))</f>
        <v>0.0540540540540541</v>
      </c>
      <c r="I186" s="27" t="n">
        <f aca="false">INDEX('AC Estimate'!$N$5:$N$238,MATCH($A186,'AC Estimate'!$A$5:$A$238,0))</f>
        <v>0.351351351351351</v>
      </c>
      <c r="J186" s="7" t="str">
        <f aca="false">INDEX('AC Estimate'!$P$5:$P$238,MATCH($A186,'AC Estimate'!$A$5:$A$238,0))</f>
        <v>DMK+</v>
      </c>
      <c r="K186" s="7" t="str">
        <f aca="false">INDEX('AC Estimate'!$AK$5:$AK$238,MATCH($A186,'AC Estimate'!$A$5:$A$238,0))</f>
        <v>DMK+</v>
      </c>
      <c r="L186" s="27" t="n">
        <f aca="false">INDEX('AC Estimate'!$AM$5:$AM$238,MATCH($A186,'AC Estimate'!$A$5:$A$238,0))</f>
        <v>0.513228203574236</v>
      </c>
      <c r="M186" s="7" t="str">
        <f aca="false">INDEX('AC Estimate'!$Q$5:$Q$238,MATCH($A186,'AC Estimate'!$A$5:$A$238,0))</f>
        <v>TVK</v>
      </c>
      <c r="N186" s="7" t="str">
        <f aca="false">INDEX('AC Estimate'!$R$5:$R$238,MATCH($A186,'AC Estimate'!$A$5:$A$238,0))</f>
        <v>TVK</v>
      </c>
      <c r="O186" s="7" t="str">
        <f aca="false">INDEX('AC Estimate'!$AL$5:$AL$238,MATCH($A186,'AC Estimate'!$A$5:$A$238,0))</f>
        <v>No</v>
      </c>
    </row>
    <row r="187" customFormat="false" ht="15" hidden="false" customHeight="false" outlineLevel="0" collapsed="false">
      <c r="A187" s="17" t="n">
        <v>211</v>
      </c>
      <c r="B187" s="7" t="str">
        <f aca="false">INDEX('AC Estimate'!$B$5:$B$238,MATCH($A187,'AC Estimate'!$A$5:$A$238,0))</f>
        <v>Ramanathapuram</v>
      </c>
      <c r="C187" s="7" t="str">
        <f aca="false">INDEX('AC Estimate'!$C$5:$C$238,MATCH($A187,'AC Estimate'!$A$5:$A$238,0))</f>
        <v>Ramanathapuram</v>
      </c>
      <c r="D187" s="7" t="n">
        <f aca="false">INDEX('AC Estimate'!$I$5:$I$238,MATCH($A187,'AC Estimate'!$A$5:$A$238,0))</f>
        <v>74</v>
      </c>
      <c r="E187" s="27" t="n">
        <f aca="false">INDEX('AC Estimate'!$J$5:$J$238,MATCH($A187,'AC Estimate'!$A$5:$A$238,0))</f>
        <v>0.297297297297297</v>
      </c>
      <c r="F187" s="27" t="n">
        <f aca="false">INDEX('AC Estimate'!$K$5:$K$238,MATCH($A187,'AC Estimate'!$A$5:$A$238,0))</f>
        <v>0.297297297297297</v>
      </c>
      <c r="G187" s="27" t="n">
        <f aca="false">INDEX('AC Estimate'!$L$5:$L$238,MATCH($A187,'AC Estimate'!$A$5:$A$238,0))</f>
        <v>0</v>
      </c>
      <c r="H187" s="27" t="n">
        <f aca="false">INDEX('AC Estimate'!$M$5:$M$238,MATCH($A187,'AC Estimate'!$A$5:$A$238,0))</f>
        <v>0.121621621621622</v>
      </c>
      <c r="I187" s="27" t="n">
        <f aca="false">INDEX('AC Estimate'!$N$5:$N$238,MATCH($A187,'AC Estimate'!$A$5:$A$238,0))</f>
        <v>0.283783783783784</v>
      </c>
      <c r="J187" s="7" t="str">
        <f aca="false">INDEX('AC Estimate'!$P$5:$P$238,MATCH($A187,'AC Estimate'!$A$5:$A$238,0))</f>
        <v>DMK+</v>
      </c>
      <c r="K187" s="7" t="str">
        <f aca="false">INDEX('AC Estimate'!$AK$5:$AK$238,MATCH($A187,'AC Estimate'!$A$5:$A$238,0))</f>
        <v>TVK</v>
      </c>
      <c r="L187" s="27" t="n">
        <f aca="false">INDEX('AC Estimate'!$AM$5:$AM$238,MATCH($A187,'AC Estimate'!$A$5:$A$238,0))</f>
        <v>0.556907706236403</v>
      </c>
      <c r="M187" s="7" t="str">
        <f aca="false">INDEX('AC Estimate'!$Q$5:$Q$238,MATCH($A187,'AC Estimate'!$A$5:$A$238,0))</f>
        <v>DMK</v>
      </c>
      <c r="N187" s="7" t="str">
        <f aca="false">INDEX('AC Estimate'!$R$5:$R$238,MATCH($A187,'AC Estimate'!$A$5:$A$238,0))</f>
        <v>DMK+</v>
      </c>
      <c r="O187" s="7" t="str">
        <f aca="false">INDEX('AC Estimate'!$AL$5:$AL$238,MATCH($A187,'AC Estimate'!$A$5:$A$238,0))</f>
        <v>No</v>
      </c>
    </row>
    <row r="188" customFormat="false" ht="15" hidden="false" customHeight="false" outlineLevel="0" collapsed="false">
      <c r="A188" s="17" t="n">
        <v>212</v>
      </c>
      <c r="B188" s="7" t="str">
        <f aca="false">INDEX('AC Estimate'!$B$5:$B$238,MATCH($A188,'AC Estimate'!$A$5:$A$238,0))</f>
        <v>Mudhukulathur</v>
      </c>
      <c r="C188" s="7" t="str">
        <f aca="false">INDEX('AC Estimate'!$C$5:$C$238,MATCH($A188,'AC Estimate'!$A$5:$A$238,0))</f>
        <v>Ramanathapuram</v>
      </c>
      <c r="D188" s="7" t="n">
        <f aca="false">INDEX('AC Estimate'!$I$5:$I$238,MATCH($A188,'AC Estimate'!$A$5:$A$238,0))</f>
        <v>37</v>
      </c>
      <c r="E188" s="27" t="n">
        <f aca="false">INDEX('AC Estimate'!$J$5:$J$238,MATCH($A188,'AC Estimate'!$A$5:$A$238,0))</f>
        <v>0.135135135135135</v>
      </c>
      <c r="F188" s="27" t="n">
        <f aca="false">INDEX('AC Estimate'!$K$5:$K$238,MATCH($A188,'AC Estimate'!$A$5:$A$238,0))</f>
        <v>0.351351351351351</v>
      </c>
      <c r="G188" s="27" t="n">
        <f aca="false">INDEX('AC Estimate'!$L$5:$L$238,MATCH($A188,'AC Estimate'!$A$5:$A$238,0))</f>
        <v>0</v>
      </c>
      <c r="H188" s="27" t="n">
        <f aca="false">INDEX('AC Estimate'!$M$5:$M$238,MATCH($A188,'AC Estimate'!$A$5:$A$238,0))</f>
        <v>0.216216216216216</v>
      </c>
      <c r="I188" s="27" t="n">
        <f aca="false">INDEX('AC Estimate'!$N$5:$N$238,MATCH($A188,'AC Estimate'!$A$5:$A$238,0))</f>
        <v>0.297297297297297</v>
      </c>
      <c r="J188" s="7" t="str">
        <f aca="false">INDEX('AC Estimate'!$P$5:$P$238,MATCH($A188,'AC Estimate'!$A$5:$A$238,0))</f>
        <v>DMK+</v>
      </c>
      <c r="K188" s="7" t="str">
        <f aca="false">INDEX('AC Estimate'!$AK$5:$AK$238,MATCH($A188,'AC Estimate'!$A$5:$A$238,0))</f>
        <v>DMK+</v>
      </c>
      <c r="L188" s="27" t="n">
        <f aca="false">INDEX('AC Estimate'!$AM$5:$AM$238,MATCH($A188,'AC Estimate'!$A$5:$A$238,0))</f>
        <v>0.496889524924486</v>
      </c>
      <c r="M188" s="7" t="str">
        <f aca="false">INDEX('AC Estimate'!$Q$5:$Q$238,MATCH($A188,'AC Estimate'!$A$5:$A$238,0))</f>
        <v>DMK</v>
      </c>
      <c r="N188" s="7" t="str">
        <f aca="false">INDEX('AC Estimate'!$R$5:$R$238,MATCH($A188,'AC Estimate'!$A$5:$A$238,0))</f>
        <v>DMK+</v>
      </c>
      <c r="O188" s="7" t="str">
        <f aca="false">INDEX('AC Estimate'!$AL$5:$AL$238,MATCH($A188,'AC Estimate'!$A$5:$A$238,0))</f>
        <v>Yes</v>
      </c>
    </row>
    <row r="189" customFormat="false" ht="15" hidden="false" customHeight="false" outlineLevel="0" collapsed="false">
      <c r="A189" s="33"/>
      <c r="B189" s="34" t="s">
        <v>131</v>
      </c>
      <c r="C189" s="33"/>
      <c r="D189" s="34" t="n">
        <f aca="false">SUM(D185:D188)</f>
        <v>188</v>
      </c>
      <c r="E189" s="33"/>
      <c r="F189" s="33"/>
      <c r="G189" s="33"/>
      <c r="H189" s="33"/>
      <c r="I189" s="33"/>
      <c r="J189" s="34" t="s">
        <v>92</v>
      </c>
      <c r="K189" s="34" t="str">
        <f aca="false">COUNTIF(K185:K188,"TVK")&amp;" / "&amp;COUNTIF(K185:K188,"AIADMK+")&amp;" / "&amp;COUNTIF(K185:K188,"DMK+")</f>
        <v>1 / 0 / 3</v>
      </c>
      <c r="L189" s="33"/>
      <c r="M189" s="34" t="s">
        <v>93</v>
      </c>
      <c r="N189" s="34" t="str">
        <f aca="false">COUNTIF(N185:N188,"TVK")&amp;" / "&amp;COUNTIF(N185:N188,"AIADMK+")&amp;" / "&amp;COUNTIF(N185:N188,"DMK+")</f>
        <v>1 / 0 / 3</v>
      </c>
      <c r="O189" s="34" t="str">
        <f aca="false">IF(AND(ABS(COUNTIF(K185:K188,"TVK")-COUNTIF(N185:N188,"TVK"))&lt;=Calibration!$B$3,ABS(COUNTIF(K185:K188,"AIADMK+")-COUNTIF(N185:N188,"AIADMK+"))&lt;=Calibration!$B$3,ABS(COUNTIF(K185:K188,"DMK+")-COUNTIF(N185:N188,"DMK+"))&lt;=Calibration!$B$3),"Within","Off")</f>
        <v>Within</v>
      </c>
    </row>
    <row r="191" customFormat="false" ht="15" hidden="false" customHeight="false" outlineLevel="0" collapsed="false">
      <c r="A191" s="31" t="s">
        <v>132</v>
      </c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customFormat="false" ht="15" hidden="false" customHeight="false" outlineLevel="0" collapsed="false">
      <c r="A192" s="17" t="n">
        <v>38</v>
      </c>
      <c r="B192" s="7" t="str">
        <f aca="false">INDEX('AC Estimate'!$B$5:$B$238,MATCH($A192,'AC Estimate'!$A$5:$A$238,0))</f>
        <v>Arakkonam</v>
      </c>
      <c r="C192" s="7" t="str">
        <f aca="false">INDEX('AC Estimate'!$C$5:$C$238,MATCH($A192,'AC Estimate'!$A$5:$A$238,0))</f>
        <v>Ranipet</v>
      </c>
      <c r="D192" s="7" t="n">
        <f aca="false">INDEX('AC Estimate'!$I$5:$I$238,MATCH($A192,'AC Estimate'!$A$5:$A$238,0))</f>
        <v>31</v>
      </c>
      <c r="E192" s="27" t="n">
        <f aca="false">INDEX('AC Estimate'!$J$5:$J$238,MATCH($A192,'AC Estimate'!$A$5:$A$238,0))</f>
        <v>0.451612903225806</v>
      </c>
      <c r="F192" s="27" t="n">
        <f aca="false">INDEX('AC Estimate'!$K$5:$K$238,MATCH($A192,'AC Estimate'!$A$5:$A$238,0))</f>
        <v>0.161290322580645</v>
      </c>
      <c r="G192" s="27" t="n">
        <f aca="false">INDEX('AC Estimate'!$L$5:$L$238,MATCH($A192,'AC Estimate'!$A$5:$A$238,0))</f>
        <v>0</v>
      </c>
      <c r="H192" s="27" t="n">
        <f aca="false">INDEX('AC Estimate'!$M$5:$M$238,MATCH($A192,'AC Estimate'!$A$5:$A$238,0))</f>
        <v>0.0967741935483871</v>
      </c>
      <c r="I192" s="27" t="n">
        <f aca="false">INDEX('AC Estimate'!$N$5:$N$238,MATCH($A192,'AC Estimate'!$A$5:$A$238,0))</f>
        <v>0.290322580645161</v>
      </c>
      <c r="J192" s="7" t="str">
        <f aca="false">INDEX('AC Estimate'!$P$5:$P$238,MATCH($A192,'AC Estimate'!$A$5:$A$238,0))</f>
        <v>AIADMK+</v>
      </c>
      <c r="K192" s="7" t="str">
        <f aca="false">INDEX('AC Estimate'!$AK$5:$AK$238,MATCH($A192,'AC Estimate'!$A$5:$A$238,0))</f>
        <v>TVK</v>
      </c>
      <c r="L192" s="27" t="n">
        <f aca="false">INDEX('AC Estimate'!$AM$5:$AM$238,MATCH($A192,'AC Estimate'!$A$5:$A$238,0))</f>
        <v>0.2339729858405</v>
      </c>
      <c r="M192" s="7" t="str">
        <f aca="false">INDEX('AC Estimate'!$Q$5:$Q$238,MATCH($A192,'AC Estimate'!$A$5:$A$238,0))</f>
        <v>TVK</v>
      </c>
      <c r="N192" s="7" t="str">
        <f aca="false">INDEX('AC Estimate'!$R$5:$R$238,MATCH($A192,'AC Estimate'!$A$5:$A$238,0))</f>
        <v>TVK</v>
      </c>
      <c r="O192" s="7" t="str">
        <f aca="false">INDEX('AC Estimate'!$AL$5:$AL$238,MATCH($A192,'AC Estimate'!$A$5:$A$238,0))</f>
        <v>Yes</v>
      </c>
    </row>
    <row r="193" customFormat="false" ht="15" hidden="false" customHeight="false" outlineLevel="0" collapsed="false">
      <c r="A193" s="17" t="n">
        <v>39</v>
      </c>
      <c r="B193" s="7" t="str">
        <f aca="false">INDEX('AC Estimate'!$B$5:$B$238,MATCH($A193,'AC Estimate'!$A$5:$A$238,0))</f>
        <v>Sholingur</v>
      </c>
      <c r="C193" s="7" t="str">
        <f aca="false">INDEX('AC Estimate'!$C$5:$C$238,MATCH($A193,'AC Estimate'!$A$5:$A$238,0))</f>
        <v>Ranipet</v>
      </c>
      <c r="D193" s="7" t="n">
        <f aca="false">INDEX('AC Estimate'!$I$5:$I$238,MATCH($A193,'AC Estimate'!$A$5:$A$238,0))</f>
        <v>17</v>
      </c>
      <c r="E193" s="27" t="n">
        <f aca="false">INDEX('AC Estimate'!$J$5:$J$238,MATCH($A193,'AC Estimate'!$A$5:$A$238,0))</f>
        <v>0.352941176470588</v>
      </c>
      <c r="F193" s="27" t="n">
        <f aca="false">INDEX('AC Estimate'!$K$5:$K$238,MATCH($A193,'AC Estimate'!$A$5:$A$238,0))</f>
        <v>0.176470588235294</v>
      </c>
      <c r="G193" s="27" t="n">
        <f aca="false">INDEX('AC Estimate'!$L$5:$L$238,MATCH($A193,'AC Estimate'!$A$5:$A$238,0))</f>
        <v>0</v>
      </c>
      <c r="H193" s="27" t="n">
        <f aca="false">INDEX('AC Estimate'!$M$5:$M$238,MATCH($A193,'AC Estimate'!$A$5:$A$238,0))</f>
        <v>0.235294117647059</v>
      </c>
      <c r="I193" s="27" t="n">
        <f aca="false">INDEX('AC Estimate'!$N$5:$N$238,MATCH($A193,'AC Estimate'!$A$5:$A$238,0))</f>
        <v>0.235294117647059</v>
      </c>
      <c r="J193" s="7" t="str">
        <f aca="false">INDEX('AC Estimate'!$P$5:$P$238,MATCH($A193,'AC Estimate'!$A$5:$A$238,0))</f>
        <v>AIADMK+</v>
      </c>
      <c r="K193" s="7" t="str">
        <f aca="false">INDEX('AC Estimate'!$AK$5:$AK$238,MATCH($A193,'AC Estimate'!$A$5:$A$238,0))</f>
        <v>AIADMK+</v>
      </c>
      <c r="L193" s="27" t="n">
        <f aca="false">INDEX('AC Estimate'!$AM$5:$AM$238,MATCH($A193,'AC Estimate'!$A$5:$A$238,0))</f>
        <v>0.481615436500022</v>
      </c>
      <c r="M193" s="7" t="str">
        <f aca="false">INDEX('AC Estimate'!$Q$5:$Q$238,MATCH($A193,'AC Estimate'!$A$5:$A$238,0))</f>
        <v>TVK</v>
      </c>
      <c r="N193" s="7" t="str">
        <f aca="false">INDEX('AC Estimate'!$R$5:$R$238,MATCH($A193,'AC Estimate'!$A$5:$A$238,0))</f>
        <v>TVK</v>
      </c>
      <c r="O193" s="7" t="str">
        <f aca="false">INDEX('AC Estimate'!$AL$5:$AL$238,MATCH($A193,'AC Estimate'!$A$5:$A$238,0))</f>
        <v>No</v>
      </c>
    </row>
    <row r="194" customFormat="false" ht="15" hidden="false" customHeight="false" outlineLevel="0" collapsed="false">
      <c r="A194" s="17" t="n">
        <v>41</v>
      </c>
      <c r="B194" s="7" t="str">
        <f aca="false">INDEX('AC Estimate'!$B$5:$B$238,MATCH($A194,'AC Estimate'!$A$5:$A$238,0))</f>
        <v>Ranipet</v>
      </c>
      <c r="C194" s="7" t="str">
        <f aca="false">INDEX('AC Estimate'!$C$5:$C$238,MATCH($A194,'AC Estimate'!$A$5:$A$238,0))</f>
        <v>Ranipet</v>
      </c>
      <c r="D194" s="7" t="n">
        <f aca="false">INDEX('AC Estimate'!$I$5:$I$238,MATCH($A194,'AC Estimate'!$A$5:$A$238,0))</f>
        <v>24</v>
      </c>
      <c r="E194" s="27" t="n">
        <f aca="false">INDEX('AC Estimate'!$J$5:$J$238,MATCH($A194,'AC Estimate'!$A$5:$A$238,0))</f>
        <v>0.291666666666667</v>
      </c>
      <c r="F194" s="27" t="n">
        <f aca="false">INDEX('AC Estimate'!$K$5:$K$238,MATCH($A194,'AC Estimate'!$A$5:$A$238,0))</f>
        <v>0.208333333333333</v>
      </c>
      <c r="G194" s="27" t="n">
        <f aca="false">INDEX('AC Estimate'!$L$5:$L$238,MATCH($A194,'AC Estimate'!$A$5:$A$238,0))</f>
        <v>0</v>
      </c>
      <c r="H194" s="27" t="n">
        <f aca="false">INDEX('AC Estimate'!$M$5:$M$238,MATCH($A194,'AC Estimate'!$A$5:$A$238,0))</f>
        <v>0</v>
      </c>
      <c r="I194" s="27" t="n">
        <f aca="false">INDEX('AC Estimate'!$N$5:$N$238,MATCH($A194,'AC Estimate'!$A$5:$A$238,0))</f>
        <v>0.5</v>
      </c>
      <c r="J194" s="7" t="str">
        <f aca="false">INDEX('AC Estimate'!$P$5:$P$238,MATCH($A194,'AC Estimate'!$A$5:$A$238,0))</f>
        <v>TVK</v>
      </c>
      <c r="K194" s="7" t="str">
        <f aca="false">INDEX('AC Estimate'!$AK$5:$AK$238,MATCH($A194,'AC Estimate'!$A$5:$A$238,0))</f>
        <v>TVK</v>
      </c>
      <c r="L194" s="27" t="n">
        <f aca="false">INDEX('AC Estimate'!$AM$5:$AM$238,MATCH($A194,'AC Estimate'!$A$5:$A$238,0))</f>
        <v>0.193947025102654</v>
      </c>
      <c r="M194" s="7" t="str">
        <f aca="false">INDEX('AC Estimate'!$Q$5:$Q$238,MATCH($A194,'AC Estimate'!$A$5:$A$238,0))</f>
        <v>TVK</v>
      </c>
      <c r="N194" s="7" t="str">
        <f aca="false">INDEX('AC Estimate'!$R$5:$R$238,MATCH($A194,'AC Estimate'!$A$5:$A$238,0))</f>
        <v>TVK</v>
      </c>
      <c r="O194" s="7" t="str">
        <f aca="false">INDEX('AC Estimate'!$AL$5:$AL$238,MATCH($A194,'AC Estimate'!$A$5:$A$238,0))</f>
        <v>Yes</v>
      </c>
    </row>
    <row r="195" customFormat="false" ht="15" hidden="false" customHeight="false" outlineLevel="0" collapsed="false">
      <c r="A195" s="17" t="n">
        <v>42</v>
      </c>
      <c r="B195" s="7" t="str">
        <f aca="false">INDEX('AC Estimate'!$B$5:$B$238,MATCH($A195,'AC Estimate'!$A$5:$A$238,0))</f>
        <v>Arcot</v>
      </c>
      <c r="C195" s="7" t="str">
        <f aca="false">INDEX('AC Estimate'!$C$5:$C$238,MATCH($A195,'AC Estimate'!$A$5:$A$238,0))</f>
        <v>Ranipet</v>
      </c>
      <c r="D195" s="7" t="n">
        <f aca="false">INDEX('AC Estimate'!$I$5:$I$238,MATCH($A195,'AC Estimate'!$A$5:$A$238,0))</f>
        <v>38</v>
      </c>
      <c r="E195" s="27" t="n">
        <f aca="false">INDEX('AC Estimate'!$J$5:$J$238,MATCH($A195,'AC Estimate'!$A$5:$A$238,0))</f>
        <v>0.236842105263158</v>
      </c>
      <c r="F195" s="27" t="n">
        <f aca="false">INDEX('AC Estimate'!$K$5:$K$238,MATCH($A195,'AC Estimate'!$A$5:$A$238,0))</f>
        <v>0.342105263157895</v>
      </c>
      <c r="G195" s="27" t="n">
        <f aca="false">INDEX('AC Estimate'!$L$5:$L$238,MATCH($A195,'AC Estimate'!$A$5:$A$238,0))</f>
        <v>0</v>
      </c>
      <c r="H195" s="27" t="n">
        <f aca="false">INDEX('AC Estimate'!$M$5:$M$238,MATCH($A195,'AC Estimate'!$A$5:$A$238,0))</f>
        <v>0.105263157894737</v>
      </c>
      <c r="I195" s="27" t="n">
        <f aca="false">INDEX('AC Estimate'!$N$5:$N$238,MATCH($A195,'AC Estimate'!$A$5:$A$238,0))</f>
        <v>0.315789473684211</v>
      </c>
      <c r="J195" s="7" t="str">
        <f aca="false">INDEX('AC Estimate'!$P$5:$P$238,MATCH($A195,'AC Estimate'!$A$5:$A$238,0))</f>
        <v>DMK+</v>
      </c>
      <c r="K195" s="7" t="str">
        <f aca="false">INDEX('AC Estimate'!$AK$5:$AK$238,MATCH($A195,'AC Estimate'!$A$5:$A$238,0))</f>
        <v>TVK</v>
      </c>
      <c r="L195" s="27" t="n">
        <f aca="false">INDEX('AC Estimate'!$AM$5:$AM$238,MATCH($A195,'AC Estimate'!$A$5:$A$238,0))</f>
        <v>0.292652071583328</v>
      </c>
      <c r="M195" s="7" t="str">
        <f aca="false">INDEX('AC Estimate'!$Q$5:$Q$238,MATCH($A195,'AC Estimate'!$A$5:$A$238,0))</f>
        <v>AIADMK</v>
      </c>
      <c r="N195" s="7" t="str">
        <f aca="false">INDEX('AC Estimate'!$R$5:$R$238,MATCH($A195,'AC Estimate'!$A$5:$A$238,0))</f>
        <v>AIADMK+</v>
      </c>
      <c r="O195" s="7" t="str">
        <f aca="false">INDEX('AC Estimate'!$AL$5:$AL$238,MATCH($A195,'AC Estimate'!$A$5:$A$238,0))</f>
        <v>No</v>
      </c>
    </row>
    <row r="196" customFormat="false" ht="15" hidden="false" customHeight="false" outlineLevel="0" collapsed="false">
      <c r="A196" s="33"/>
      <c r="B196" s="34" t="s">
        <v>133</v>
      </c>
      <c r="C196" s="33"/>
      <c r="D196" s="34" t="n">
        <f aca="false">SUM(D192:D195)</f>
        <v>110</v>
      </c>
      <c r="E196" s="33"/>
      <c r="F196" s="33"/>
      <c r="G196" s="33"/>
      <c r="H196" s="33"/>
      <c r="I196" s="33"/>
      <c r="J196" s="34" t="s">
        <v>92</v>
      </c>
      <c r="K196" s="34" t="str">
        <f aca="false">COUNTIF(K192:K195,"TVK")&amp;" / "&amp;COUNTIF(K192:K195,"AIADMK+")&amp;" / "&amp;COUNTIF(K192:K195,"DMK+")</f>
        <v>3 / 1 / 0</v>
      </c>
      <c r="L196" s="33"/>
      <c r="M196" s="34" t="s">
        <v>93</v>
      </c>
      <c r="N196" s="34" t="str">
        <f aca="false">COUNTIF(N192:N195,"TVK")&amp;" / "&amp;COUNTIF(N192:N195,"AIADMK+")&amp;" / "&amp;COUNTIF(N192:N195,"DMK+")</f>
        <v>3 / 1 / 0</v>
      </c>
      <c r="O196" s="34" t="str">
        <f aca="false">IF(AND(ABS(COUNTIF(K192:K195,"TVK")-COUNTIF(N192:N195,"TVK"))&lt;=Calibration!$B$3,ABS(COUNTIF(K192:K195,"AIADMK+")-COUNTIF(N192:N195,"AIADMK+"))&lt;=Calibration!$B$3,ABS(COUNTIF(K192:K195,"DMK+")-COUNTIF(N192:N195,"DMK+"))&lt;=Calibration!$B$3),"Within","Off")</f>
        <v>Within</v>
      </c>
    </row>
    <row r="198" customFormat="false" ht="15" hidden="false" customHeight="false" outlineLevel="0" collapsed="false">
      <c r="A198" s="31" t="s">
        <v>134</v>
      </c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customFormat="false" ht="15" hidden="false" customHeight="false" outlineLevel="0" collapsed="false">
      <c r="A199" s="17" t="n">
        <v>81</v>
      </c>
      <c r="B199" s="7" t="str">
        <f aca="false">INDEX('AC Estimate'!$B$5:$B$238,MATCH($A199,'AC Estimate'!$A$5:$A$238,0))</f>
        <v>Gangavalli</v>
      </c>
      <c r="C199" s="7" t="str">
        <f aca="false">INDEX('AC Estimate'!$C$5:$C$238,MATCH($A199,'AC Estimate'!$A$5:$A$238,0))</f>
        <v>Salem</v>
      </c>
      <c r="D199" s="7" t="n">
        <f aca="false">INDEX('AC Estimate'!$I$5:$I$238,MATCH($A199,'AC Estimate'!$A$5:$A$238,0))</f>
        <v>40</v>
      </c>
      <c r="E199" s="27" t="n">
        <f aca="false">INDEX('AC Estimate'!$J$5:$J$238,MATCH($A199,'AC Estimate'!$A$5:$A$238,0))</f>
        <v>0.325</v>
      </c>
      <c r="F199" s="27" t="n">
        <f aca="false">INDEX('AC Estimate'!$K$5:$K$238,MATCH($A199,'AC Estimate'!$A$5:$A$238,0))</f>
        <v>0.35</v>
      </c>
      <c r="G199" s="27" t="n">
        <f aca="false">INDEX('AC Estimate'!$L$5:$L$238,MATCH($A199,'AC Estimate'!$A$5:$A$238,0))</f>
        <v>0</v>
      </c>
      <c r="H199" s="27" t="n">
        <f aca="false">INDEX('AC Estimate'!$M$5:$M$238,MATCH($A199,'AC Estimate'!$A$5:$A$238,0))</f>
        <v>0.075</v>
      </c>
      <c r="I199" s="27" t="n">
        <f aca="false">INDEX('AC Estimate'!$N$5:$N$238,MATCH($A199,'AC Estimate'!$A$5:$A$238,0))</f>
        <v>0.25</v>
      </c>
      <c r="J199" s="7" t="str">
        <f aca="false">INDEX('AC Estimate'!$P$5:$P$238,MATCH($A199,'AC Estimate'!$A$5:$A$238,0))</f>
        <v>DMK+</v>
      </c>
      <c r="K199" s="7" t="str">
        <f aca="false">INDEX('AC Estimate'!$AK$5:$AK$238,MATCH($A199,'AC Estimate'!$A$5:$A$238,0))</f>
        <v>AIADMK+</v>
      </c>
      <c r="L199" s="27" t="n">
        <f aca="false">INDEX('AC Estimate'!$AM$5:$AM$238,MATCH($A199,'AC Estimate'!$A$5:$A$238,0))</f>
        <v>0.315244431230185</v>
      </c>
      <c r="M199" s="7" t="str">
        <f aca="false">INDEX('AC Estimate'!$Q$5:$Q$238,MATCH($A199,'AC Estimate'!$A$5:$A$238,0))</f>
        <v>AIADMK</v>
      </c>
      <c r="N199" s="7" t="str">
        <f aca="false">INDEX('AC Estimate'!$R$5:$R$238,MATCH($A199,'AC Estimate'!$A$5:$A$238,0))</f>
        <v>AIADMK+</v>
      </c>
      <c r="O199" s="7" t="str">
        <f aca="false">INDEX('AC Estimate'!$AL$5:$AL$238,MATCH($A199,'AC Estimate'!$A$5:$A$238,0))</f>
        <v>Yes</v>
      </c>
    </row>
    <row r="200" customFormat="false" ht="15" hidden="false" customHeight="false" outlineLevel="0" collapsed="false">
      <c r="A200" s="17" t="n">
        <v>82</v>
      </c>
      <c r="B200" s="7" t="str">
        <f aca="false">INDEX('AC Estimate'!$B$5:$B$238,MATCH($A200,'AC Estimate'!$A$5:$A$238,0))</f>
        <v>Attur</v>
      </c>
      <c r="C200" s="7" t="str">
        <f aca="false">INDEX('AC Estimate'!$C$5:$C$238,MATCH($A200,'AC Estimate'!$A$5:$A$238,0))</f>
        <v>Salem</v>
      </c>
      <c r="D200" s="7" t="n">
        <f aca="false">INDEX('AC Estimate'!$I$5:$I$238,MATCH($A200,'AC Estimate'!$A$5:$A$238,0))</f>
        <v>30</v>
      </c>
      <c r="E200" s="27" t="n">
        <f aca="false">INDEX('AC Estimate'!$J$5:$J$238,MATCH($A200,'AC Estimate'!$A$5:$A$238,0))</f>
        <v>0.333333333333333</v>
      </c>
      <c r="F200" s="27" t="n">
        <f aca="false">INDEX('AC Estimate'!$K$5:$K$238,MATCH($A200,'AC Estimate'!$A$5:$A$238,0))</f>
        <v>0.2</v>
      </c>
      <c r="G200" s="27" t="n">
        <f aca="false">INDEX('AC Estimate'!$L$5:$L$238,MATCH($A200,'AC Estimate'!$A$5:$A$238,0))</f>
        <v>0</v>
      </c>
      <c r="H200" s="27" t="n">
        <f aca="false">INDEX('AC Estimate'!$M$5:$M$238,MATCH($A200,'AC Estimate'!$A$5:$A$238,0))</f>
        <v>0.133333333333333</v>
      </c>
      <c r="I200" s="27" t="n">
        <f aca="false">INDEX('AC Estimate'!$N$5:$N$238,MATCH($A200,'AC Estimate'!$A$5:$A$238,0))</f>
        <v>0.333333333333333</v>
      </c>
      <c r="J200" s="7" t="str">
        <f aca="false">INDEX('AC Estimate'!$P$5:$P$238,MATCH($A200,'AC Estimate'!$A$5:$A$238,0))</f>
        <v>AIADMK+</v>
      </c>
      <c r="K200" s="7" t="str">
        <f aca="false">INDEX('AC Estimate'!$AK$5:$AK$238,MATCH($A200,'AC Estimate'!$A$5:$A$238,0))</f>
        <v>AIADMK+</v>
      </c>
      <c r="L200" s="27" t="n">
        <f aca="false">INDEX('AC Estimate'!$AM$5:$AM$238,MATCH($A200,'AC Estimate'!$A$5:$A$238,0))</f>
        <v>0.398881716407775</v>
      </c>
      <c r="M200" s="7" t="str">
        <f aca="false">INDEX('AC Estimate'!$Q$5:$Q$238,MATCH($A200,'AC Estimate'!$A$5:$A$238,0))</f>
        <v>AIADMK</v>
      </c>
      <c r="N200" s="7" t="str">
        <f aca="false">INDEX('AC Estimate'!$R$5:$R$238,MATCH($A200,'AC Estimate'!$A$5:$A$238,0))</f>
        <v>AIADMK+</v>
      </c>
      <c r="O200" s="7" t="str">
        <f aca="false">INDEX('AC Estimate'!$AL$5:$AL$238,MATCH($A200,'AC Estimate'!$A$5:$A$238,0))</f>
        <v>Yes</v>
      </c>
    </row>
    <row r="201" customFormat="false" ht="15" hidden="false" customHeight="false" outlineLevel="0" collapsed="false">
      <c r="A201" s="17" t="n">
        <v>83</v>
      </c>
      <c r="B201" s="7" t="str">
        <f aca="false">INDEX('AC Estimate'!$B$5:$B$238,MATCH($A201,'AC Estimate'!$A$5:$A$238,0))</f>
        <v>Yercaud</v>
      </c>
      <c r="C201" s="7" t="str">
        <f aca="false">INDEX('AC Estimate'!$C$5:$C$238,MATCH($A201,'AC Estimate'!$A$5:$A$238,0))</f>
        <v>Salem</v>
      </c>
      <c r="D201" s="7" t="n">
        <f aca="false">INDEX('AC Estimate'!$I$5:$I$238,MATCH($A201,'AC Estimate'!$A$5:$A$238,0))</f>
        <v>35</v>
      </c>
      <c r="E201" s="27" t="n">
        <f aca="false">INDEX('AC Estimate'!$J$5:$J$238,MATCH($A201,'AC Estimate'!$A$5:$A$238,0))</f>
        <v>0.314285714285714</v>
      </c>
      <c r="F201" s="27" t="n">
        <f aca="false">INDEX('AC Estimate'!$K$5:$K$238,MATCH($A201,'AC Estimate'!$A$5:$A$238,0))</f>
        <v>0.4</v>
      </c>
      <c r="G201" s="27" t="n">
        <f aca="false">INDEX('AC Estimate'!$L$5:$L$238,MATCH($A201,'AC Estimate'!$A$5:$A$238,0))</f>
        <v>0</v>
      </c>
      <c r="H201" s="27" t="n">
        <f aca="false">INDEX('AC Estimate'!$M$5:$M$238,MATCH($A201,'AC Estimate'!$A$5:$A$238,0))</f>
        <v>0.114285714285714</v>
      </c>
      <c r="I201" s="27" t="n">
        <f aca="false">INDEX('AC Estimate'!$N$5:$N$238,MATCH($A201,'AC Estimate'!$A$5:$A$238,0))</f>
        <v>0.171428571428571</v>
      </c>
      <c r="J201" s="7" t="str">
        <f aca="false">INDEX('AC Estimate'!$P$5:$P$238,MATCH($A201,'AC Estimate'!$A$5:$A$238,0))</f>
        <v>DMK+</v>
      </c>
      <c r="K201" s="7" t="str">
        <f aca="false">INDEX('AC Estimate'!$AK$5:$AK$238,MATCH($A201,'AC Estimate'!$A$5:$A$238,0))</f>
        <v>AIADMK+</v>
      </c>
      <c r="L201" s="27" t="n">
        <f aca="false">INDEX('AC Estimate'!$AM$5:$AM$238,MATCH($A201,'AC Estimate'!$A$5:$A$238,0))</f>
        <v>0.320752478346608</v>
      </c>
      <c r="M201" s="7" t="str">
        <f aca="false">INDEX('AC Estimate'!$Q$5:$Q$238,MATCH($A201,'AC Estimate'!$A$5:$A$238,0))</f>
        <v>AIADMK</v>
      </c>
      <c r="N201" s="7" t="str">
        <f aca="false">INDEX('AC Estimate'!$R$5:$R$238,MATCH($A201,'AC Estimate'!$A$5:$A$238,0))</f>
        <v>AIADMK+</v>
      </c>
      <c r="O201" s="7" t="str">
        <f aca="false">INDEX('AC Estimate'!$AL$5:$AL$238,MATCH($A201,'AC Estimate'!$A$5:$A$238,0))</f>
        <v>Yes</v>
      </c>
    </row>
    <row r="202" customFormat="false" ht="15" hidden="false" customHeight="false" outlineLevel="0" collapsed="false">
      <c r="A202" s="17" t="n">
        <v>84</v>
      </c>
      <c r="B202" s="7" t="str">
        <f aca="false">INDEX('AC Estimate'!$B$5:$B$238,MATCH($A202,'AC Estimate'!$A$5:$A$238,0))</f>
        <v>Omalur</v>
      </c>
      <c r="C202" s="7" t="str">
        <f aca="false">INDEX('AC Estimate'!$C$5:$C$238,MATCH($A202,'AC Estimate'!$A$5:$A$238,0))</f>
        <v>Salem</v>
      </c>
      <c r="D202" s="7" t="n">
        <f aca="false">INDEX('AC Estimate'!$I$5:$I$238,MATCH($A202,'AC Estimate'!$A$5:$A$238,0))</f>
        <v>46</v>
      </c>
      <c r="E202" s="27" t="n">
        <f aca="false">INDEX('AC Estimate'!$J$5:$J$238,MATCH($A202,'AC Estimate'!$A$5:$A$238,0))</f>
        <v>0.41304347826087</v>
      </c>
      <c r="F202" s="27" t="n">
        <f aca="false">INDEX('AC Estimate'!$K$5:$K$238,MATCH($A202,'AC Estimate'!$A$5:$A$238,0))</f>
        <v>0.130434782608696</v>
      </c>
      <c r="G202" s="27" t="n">
        <f aca="false">INDEX('AC Estimate'!$L$5:$L$238,MATCH($A202,'AC Estimate'!$A$5:$A$238,0))</f>
        <v>0</v>
      </c>
      <c r="H202" s="27" t="n">
        <f aca="false">INDEX('AC Estimate'!$M$5:$M$238,MATCH($A202,'AC Estimate'!$A$5:$A$238,0))</f>
        <v>0</v>
      </c>
      <c r="I202" s="27" t="n">
        <f aca="false">INDEX('AC Estimate'!$N$5:$N$238,MATCH($A202,'AC Estimate'!$A$5:$A$238,0))</f>
        <v>0.456521739130435</v>
      </c>
      <c r="J202" s="7" t="str">
        <f aca="false">INDEX('AC Estimate'!$P$5:$P$238,MATCH($A202,'AC Estimate'!$A$5:$A$238,0))</f>
        <v>TVK</v>
      </c>
      <c r="K202" s="7" t="str">
        <f aca="false">INDEX('AC Estimate'!$AK$5:$AK$238,MATCH($A202,'AC Estimate'!$A$5:$A$238,0))</f>
        <v>AIADMK+</v>
      </c>
      <c r="L202" s="27" t="n">
        <f aca="false">INDEX('AC Estimate'!$AM$5:$AM$238,MATCH($A202,'AC Estimate'!$A$5:$A$238,0))</f>
        <v>0.345070022466266</v>
      </c>
      <c r="M202" s="7" t="str">
        <f aca="false">INDEX('AC Estimate'!$Q$5:$Q$238,MATCH($A202,'AC Estimate'!$A$5:$A$238,0))</f>
        <v>AIADMK</v>
      </c>
      <c r="N202" s="7" t="str">
        <f aca="false">INDEX('AC Estimate'!$R$5:$R$238,MATCH($A202,'AC Estimate'!$A$5:$A$238,0))</f>
        <v>AIADMK+</v>
      </c>
      <c r="O202" s="7" t="str">
        <f aca="false">INDEX('AC Estimate'!$AL$5:$AL$238,MATCH($A202,'AC Estimate'!$A$5:$A$238,0))</f>
        <v>Yes</v>
      </c>
    </row>
    <row r="203" customFormat="false" ht="15" hidden="false" customHeight="false" outlineLevel="0" collapsed="false">
      <c r="A203" s="17" t="n">
        <v>85</v>
      </c>
      <c r="B203" s="7" t="str">
        <f aca="false">INDEX('AC Estimate'!$B$5:$B$238,MATCH($A203,'AC Estimate'!$A$5:$A$238,0))</f>
        <v>Mettur</v>
      </c>
      <c r="C203" s="7" t="str">
        <f aca="false">INDEX('AC Estimate'!$C$5:$C$238,MATCH($A203,'AC Estimate'!$A$5:$A$238,0))</f>
        <v>Salem</v>
      </c>
      <c r="D203" s="7" t="n">
        <f aca="false">INDEX('AC Estimate'!$I$5:$I$238,MATCH($A203,'AC Estimate'!$A$5:$A$238,0))</f>
        <v>28</v>
      </c>
      <c r="E203" s="27" t="n">
        <f aca="false">INDEX('AC Estimate'!$J$5:$J$238,MATCH($A203,'AC Estimate'!$A$5:$A$238,0))</f>
        <v>0.357142857142857</v>
      </c>
      <c r="F203" s="27" t="n">
        <f aca="false">INDEX('AC Estimate'!$K$5:$K$238,MATCH($A203,'AC Estimate'!$A$5:$A$238,0))</f>
        <v>0.142857142857143</v>
      </c>
      <c r="G203" s="27" t="n">
        <f aca="false">INDEX('AC Estimate'!$L$5:$L$238,MATCH($A203,'AC Estimate'!$A$5:$A$238,0))</f>
        <v>0</v>
      </c>
      <c r="H203" s="27" t="n">
        <f aca="false">INDEX('AC Estimate'!$M$5:$M$238,MATCH($A203,'AC Estimate'!$A$5:$A$238,0))</f>
        <v>0.178571428571429</v>
      </c>
      <c r="I203" s="27" t="n">
        <f aca="false">INDEX('AC Estimate'!$N$5:$N$238,MATCH($A203,'AC Estimate'!$A$5:$A$238,0))</f>
        <v>0.321428571428571</v>
      </c>
      <c r="J203" s="7" t="str">
        <f aca="false">INDEX('AC Estimate'!$P$5:$P$238,MATCH($A203,'AC Estimate'!$A$5:$A$238,0))</f>
        <v>AIADMK+</v>
      </c>
      <c r="K203" s="7" t="str">
        <f aca="false">INDEX('AC Estimate'!$AK$5:$AK$238,MATCH($A203,'AC Estimate'!$A$5:$A$238,0))</f>
        <v>AIADMK+</v>
      </c>
      <c r="L203" s="27" t="n">
        <f aca="false">INDEX('AC Estimate'!$AM$5:$AM$238,MATCH($A203,'AC Estimate'!$A$5:$A$238,0))</f>
        <v>0.435256120849132</v>
      </c>
      <c r="M203" s="7" t="str">
        <f aca="false">INDEX('AC Estimate'!$Q$5:$Q$238,MATCH($A203,'AC Estimate'!$A$5:$A$238,0))</f>
        <v>AIADMK</v>
      </c>
      <c r="N203" s="7" t="str">
        <f aca="false">INDEX('AC Estimate'!$R$5:$R$238,MATCH($A203,'AC Estimate'!$A$5:$A$238,0))</f>
        <v>AIADMK+</v>
      </c>
      <c r="O203" s="7" t="str">
        <f aca="false">INDEX('AC Estimate'!$AL$5:$AL$238,MATCH($A203,'AC Estimate'!$A$5:$A$238,0))</f>
        <v>Yes</v>
      </c>
    </row>
    <row r="204" customFormat="false" ht="15" hidden="false" customHeight="false" outlineLevel="0" collapsed="false">
      <c r="A204" s="17" t="n">
        <v>86</v>
      </c>
      <c r="B204" s="7" t="str">
        <f aca="false">INDEX('AC Estimate'!$B$5:$B$238,MATCH($A204,'AC Estimate'!$A$5:$A$238,0))</f>
        <v>Edappadi</v>
      </c>
      <c r="C204" s="7" t="str">
        <f aca="false">INDEX('AC Estimate'!$C$5:$C$238,MATCH($A204,'AC Estimate'!$A$5:$A$238,0))</f>
        <v>Salem</v>
      </c>
      <c r="D204" s="7" t="n">
        <f aca="false">INDEX('AC Estimate'!$I$5:$I$238,MATCH($A204,'AC Estimate'!$A$5:$A$238,0))</f>
        <v>53</v>
      </c>
      <c r="E204" s="27" t="n">
        <f aca="false">INDEX('AC Estimate'!$J$5:$J$238,MATCH($A204,'AC Estimate'!$A$5:$A$238,0))</f>
        <v>0.377358490566038</v>
      </c>
      <c r="F204" s="27" t="n">
        <f aca="false">INDEX('AC Estimate'!$K$5:$K$238,MATCH($A204,'AC Estimate'!$A$5:$A$238,0))</f>
        <v>0.132075471698113</v>
      </c>
      <c r="G204" s="27" t="n">
        <f aca="false">INDEX('AC Estimate'!$L$5:$L$238,MATCH($A204,'AC Estimate'!$A$5:$A$238,0))</f>
        <v>0</v>
      </c>
      <c r="H204" s="27" t="n">
        <f aca="false">INDEX('AC Estimate'!$M$5:$M$238,MATCH($A204,'AC Estimate'!$A$5:$A$238,0))</f>
        <v>0.0566037735849057</v>
      </c>
      <c r="I204" s="27" t="n">
        <f aca="false">INDEX('AC Estimate'!$N$5:$N$238,MATCH($A204,'AC Estimate'!$A$5:$A$238,0))</f>
        <v>0.433962264150943</v>
      </c>
      <c r="J204" s="7" t="str">
        <f aca="false">INDEX('AC Estimate'!$P$5:$P$238,MATCH($A204,'AC Estimate'!$A$5:$A$238,0))</f>
        <v>TVK</v>
      </c>
      <c r="K204" s="7" t="str">
        <f aca="false">INDEX('AC Estimate'!$AK$5:$AK$238,MATCH($A204,'AC Estimate'!$A$5:$A$238,0))</f>
        <v>TVK</v>
      </c>
      <c r="L204" s="27" t="n">
        <f aca="false">INDEX('AC Estimate'!$AM$5:$AM$238,MATCH($A204,'AC Estimate'!$A$5:$A$238,0))</f>
        <v>0.487801636767565</v>
      </c>
      <c r="M204" s="7" t="str">
        <f aca="false">INDEX('AC Estimate'!$Q$5:$Q$238,MATCH($A204,'AC Estimate'!$A$5:$A$238,0))</f>
        <v>AIADMK</v>
      </c>
      <c r="N204" s="7" t="str">
        <f aca="false">INDEX('AC Estimate'!$R$5:$R$238,MATCH($A204,'AC Estimate'!$A$5:$A$238,0))</f>
        <v>AIADMK+</v>
      </c>
      <c r="O204" s="7" t="str">
        <f aca="false">INDEX('AC Estimate'!$AL$5:$AL$238,MATCH($A204,'AC Estimate'!$A$5:$A$238,0))</f>
        <v>No</v>
      </c>
    </row>
    <row r="205" customFormat="false" ht="15" hidden="false" customHeight="false" outlineLevel="0" collapsed="false">
      <c r="A205" s="17" t="n">
        <v>87</v>
      </c>
      <c r="B205" s="7" t="str">
        <f aca="false">INDEX('AC Estimate'!$B$5:$B$238,MATCH($A205,'AC Estimate'!$A$5:$A$238,0))</f>
        <v>Sankari</v>
      </c>
      <c r="C205" s="7" t="str">
        <f aca="false">INDEX('AC Estimate'!$C$5:$C$238,MATCH($A205,'AC Estimate'!$A$5:$A$238,0))</f>
        <v>Salem</v>
      </c>
      <c r="D205" s="7" t="n">
        <f aca="false">INDEX('AC Estimate'!$I$5:$I$238,MATCH($A205,'AC Estimate'!$A$5:$A$238,0))</f>
        <v>45</v>
      </c>
      <c r="E205" s="27" t="n">
        <f aca="false">INDEX('AC Estimate'!$J$5:$J$238,MATCH($A205,'AC Estimate'!$A$5:$A$238,0))</f>
        <v>0.155555555555556</v>
      </c>
      <c r="F205" s="27" t="n">
        <f aca="false">INDEX('AC Estimate'!$K$5:$K$238,MATCH($A205,'AC Estimate'!$A$5:$A$238,0))</f>
        <v>0.333333333333333</v>
      </c>
      <c r="G205" s="27" t="n">
        <f aca="false">INDEX('AC Estimate'!$L$5:$L$238,MATCH($A205,'AC Estimate'!$A$5:$A$238,0))</f>
        <v>0</v>
      </c>
      <c r="H205" s="27" t="n">
        <f aca="false">INDEX('AC Estimate'!$M$5:$M$238,MATCH($A205,'AC Estimate'!$A$5:$A$238,0))</f>
        <v>0.222222222222222</v>
      </c>
      <c r="I205" s="27" t="n">
        <f aca="false">INDEX('AC Estimate'!$N$5:$N$238,MATCH($A205,'AC Estimate'!$A$5:$A$238,0))</f>
        <v>0.288888888888889</v>
      </c>
      <c r="J205" s="7" t="str">
        <f aca="false">INDEX('AC Estimate'!$P$5:$P$238,MATCH($A205,'AC Estimate'!$A$5:$A$238,0))</f>
        <v>DMK+</v>
      </c>
      <c r="K205" s="7" t="str">
        <f aca="false">INDEX('AC Estimate'!$AK$5:$AK$238,MATCH($A205,'AC Estimate'!$A$5:$A$238,0))</f>
        <v>AIADMK+</v>
      </c>
      <c r="L205" s="27" t="n">
        <f aca="false">INDEX('AC Estimate'!$AM$5:$AM$238,MATCH($A205,'AC Estimate'!$A$5:$A$238,0))</f>
        <v>0.254176224868469</v>
      </c>
      <c r="M205" s="7" t="str">
        <f aca="false">INDEX('AC Estimate'!$Q$5:$Q$238,MATCH($A205,'AC Estimate'!$A$5:$A$238,0))</f>
        <v>AIADMK</v>
      </c>
      <c r="N205" s="7" t="str">
        <f aca="false">INDEX('AC Estimate'!$R$5:$R$238,MATCH($A205,'AC Estimate'!$A$5:$A$238,0))</f>
        <v>AIADMK+</v>
      </c>
      <c r="O205" s="7" t="str">
        <f aca="false">INDEX('AC Estimate'!$AL$5:$AL$238,MATCH($A205,'AC Estimate'!$A$5:$A$238,0))</f>
        <v>Yes</v>
      </c>
    </row>
    <row r="206" customFormat="false" ht="15" hidden="false" customHeight="false" outlineLevel="0" collapsed="false">
      <c r="A206" s="17" t="n">
        <v>88</v>
      </c>
      <c r="B206" s="7" t="str">
        <f aca="false">INDEX('AC Estimate'!$B$5:$B$238,MATCH($A206,'AC Estimate'!$A$5:$A$238,0))</f>
        <v>Salem (West)</v>
      </c>
      <c r="C206" s="7" t="str">
        <f aca="false">INDEX('AC Estimate'!$C$5:$C$238,MATCH($A206,'AC Estimate'!$A$5:$A$238,0))</f>
        <v>Salem</v>
      </c>
      <c r="D206" s="7" t="n">
        <f aca="false">INDEX('AC Estimate'!$I$5:$I$238,MATCH($A206,'AC Estimate'!$A$5:$A$238,0))</f>
        <v>57</v>
      </c>
      <c r="E206" s="27" t="n">
        <f aca="false">INDEX('AC Estimate'!$J$5:$J$238,MATCH($A206,'AC Estimate'!$A$5:$A$238,0))</f>
        <v>0.298245614035088</v>
      </c>
      <c r="F206" s="27" t="n">
        <f aca="false">INDEX('AC Estimate'!$K$5:$K$238,MATCH($A206,'AC Estimate'!$A$5:$A$238,0))</f>
        <v>0.175438596491228</v>
      </c>
      <c r="G206" s="27" t="n">
        <f aca="false">INDEX('AC Estimate'!$L$5:$L$238,MATCH($A206,'AC Estimate'!$A$5:$A$238,0))</f>
        <v>0</v>
      </c>
      <c r="H206" s="27" t="n">
        <f aca="false">INDEX('AC Estimate'!$M$5:$M$238,MATCH($A206,'AC Estimate'!$A$5:$A$238,0))</f>
        <v>0.105263157894737</v>
      </c>
      <c r="I206" s="27" t="n">
        <f aca="false">INDEX('AC Estimate'!$N$5:$N$238,MATCH($A206,'AC Estimate'!$A$5:$A$238,0))</f>
        <v>0.421052631578947</v>
      </c>
      <c r="J206" s="7" t="str">
        <f aca="false">INDEX('AC Estimate'!$P$5:$P$238,MATCH($A206,'AC Estimate'!$A$5:$A$238,0))</f>
        <v>TVK</v>
      </c>
      <c r="K206" s="7" t="str">
        <f aca="false">INDEX('AC Estimate'!$AK$5:$AK$238,MATCH($A206,'AC Estimate'!$A$5:$A$238,0))</f>
        <v>TVK</v>
      </c>
      <c r="L206" s="27" t="n">
        <f aca="false">INDEX('AC Estimate'!$AM$5:$AM$238,MATCH($A206,'AC Estimate'!$A$5:$A$238,0))</f>
        <v>0.513200866972611</v>
      </c>
      <c r="M206" s="7" t="str">
        <f aca="false">INDEX('AC Estimate'!$Q$5:$Q$238,MATCH($A206,'AC Estimate'!$A$5:$A$238,0))</f>
        <v>TVK</v>
      </c>
      <c r="N206" s="7" t="str">
        <f aca="false">INDEX('AC Estimate'!$R$5:$R$238,MATCH($A206,'AC Estimate'!$A$5:$A$238,0))</f>
        <v>TVK</v>
      </c>
      <c r="O206" s="7" t="str">
        <f aca="false">INDEX('AC Estimate'!$AL$5:$AL$238,MATCH($A206,'AC Estimate'!$A$5:$A$238,0))</f>
        <v>Yes</v>
      </c>
    </row>
    <row r="207" customFormat="false" ht="15" hidden="false" customHeight="false" outlineLevel="0" collapsed="false">
      <c r="A207" s="17" t="n">
        <v>89</v>
      </c>
      <c r="B207" s="7" t="str">
        <f aca="false">INDEX('AC Estimate'!$B$5:$B$238,MATCH($A207,'AC Estimate'!$A$5:$A$238,0))</f>
        <v>Salem (North)</v>
      </c>
      <c r="C207" s="7" t="str">
        <f aca="false">INDEX('AC Estimate'!$C$5:$C$238,MATCH($A207,'AC Estimate'!$A$5:$A$238,0))</f>
        <v>Salem</v>
      </c>
      <c r="D207" s="7" t="n">
        <f aca="false">INDEX('AC Estimate'!$I$5:$I$238,MATCH($A207,'AC Estimate'!$A$5:$A$238,0))</f>
        <v>70</v>
      </c>
      <c r="E207" s="27" t="n">
        <f aca="false">INDEX('AC Estimate'!$J$5:$J$238,MATCH($A207,'AC Estimate'!$A$5:$A$238,0))</f>
        <v>0.2</v>
      </c>
      <c r="F207" s="27" t="n">
        <f aca="false">INDEX('AC Estimate'!$K$5:$K$238,MATCH($A207,'AC Estimate'!$A$5:$A$238,0))</f>
        <v>0.414285714285714</v>
      </c>
      <c r="G207" s="27" t="n">
        <f aca="false">INDEX('AC Estimate'!$L$5:$L$238,MATCH($A207,'AC Estimate'!$A$5:$A$238,0))</f>
        <v>0</v>
      </c>
      <c r="H207" s="27" t="n">
        <f aca="false">INDEX('AC Estimate'!$M$5:$M$238,MATCH($A207,'AC Estimate'!$A$5:$A$238,0))</f>
        <v>0.0428571428571429</v>
      </c>
      <c r="I207" s="27" t="n">
        <f aca="false">INDEX('AC Estimate'!$N$5:$N$238,MATCH($A207,'AC Estimate'!$A$5:$A$238,0))</f>
        <v>0.342857142857143</v>
      </c>
      <c r="J207" s="7" t="str">
        <f aca="false">INDEX('AC Estimate'!$P$5:$P$238,MATCH($A207,'AC Estimate'!$A$5:$A$238,0))</f>
        <v>DMK+</v>
      </c>
      <c r="K207" s="7" t="str">
        <f aca="false">INDEX('AC Estimate'!$AK$5:$AK$238,MATCH($A207,'AC Estimate'!$A$5:$A$238,0))</f>
        <v>TVK</v>
      </c>
      <c r="L207" s="27" t="n">
        <f aca="false">INDEX('AC Estimate'!$AM$5:$AM$238,MATCH($A207,'AC Estimate'!$A$5:$A$238,0))</f>
        <v>0.556371127674672</v>
      </c>
      <c r="M207" s="7" t="str">
        <f aca="false">INDEX('AC Estimate'!$Q$5:$Q$238,MATCH($A207,'AC Estimate'!$A$5:$A$238,0))</f>
        <v>TVK</v>
      </c>
      <c r="N207" s="7" t="str">
        <f aca="false">INDEX('AC Estimate'!$R$5:$R$238,MATCH($A207,'AC Estimate'!$A$5:$A$238,0))</f>
        <v>TVK</v>
      </c>
      <c r="O207" s="7" t="str">
        <f aca="false">INDEX('AC Estimate'!$AL$5:$AL$238,MATCH($A207,'AC Estimate'!$A$5:$A$238,0))</f>
        <v>Yes</v>
      </c>
    </row>
    <row r="208" customFormat="false" ht="15" hidden="false" customHeight="false" outlineLevel="0" collapsed="false">
      <c r="A208" s="17" t="n">
        <v>90</v>
      </c>
      <c r="B208" s="7" t="str">
        <f aca="false">INDEX('AC Estimate'!$B$5:$B$238,MATCH($A208,'AC Estimate'!$A$5:$A$238,0))</f>
        <v>Salem (South)</v>
      </c>
      <c r="C208" s="7" t="str">
        <f aca="false">INDEX('AC Estimate'!$C$5:$C$238,MATCH($A208,'AC Estimate'!$A$5:$A$238,0))</f>
        <v>Salem</v>
      </c>
      <c r="D208" s="7" t="n">
        <f aca="false">INDEX('AC Estimate'!$I$5:$I$238,MATCH($A208,'AC Estimate'!$A$5:$A$238,0))</f>
        <v>48</v>
      </c>
      <c r="E208" s="27" t="n">
        <f aca="false">INDEX('AC Estimate'!$J$5:$J$238,MATCH($A208,'AC Estimate'!$A$5:$A$238,0))</f>
        <v>0.104166666666667</v>
      </c>
      <c r="F208" s="27" t="n">
        <f aca="false">INDEX('AC Estimate'!$K$5:$K$238,MATCH($A208,'AC Estimate'!$A$5:$A$238,0))</f>
        <v>0.229166666666667</v>
      </c>
      <c r="G208" s="27" t="n">
        <f aca="false">INDEX('AC Estimate'!$L$5:$L$238,MATCH($A208,'AC Estimate'!$A$5:$A$238,0))</f>
        <v>0</v>
      </c>
      <c r="H208" s="27" t="n">
        <f aca="false">INDEX('AC Estimate'!$M$5:$M$238,MATCH($A208,'AC Estimate'!$A$5:$A$238,0))</f>
        <v>0.0833333333333333</v>
      </c>
      <c r="I208" s="27" t="n">
        <f aca="false">INDEX('AC Estimate'!$N$5:$N$238,MATCH($A208,'AC Estimate'!$A$5:$A$238,0))</f>
        <v>0.583333333333333</v>
      </c>
      <c r="J208" s="7" t="str">
        <f aca="false">INDEX('AC Estimate'!$P$5:$P$238,MATCH($A208,'AC Estimate'!$A$5:$A$238,0))</f>
        <v>TVK</v>
      </c>
      <c r="K208" s="7" t="str">
        <f aca="false">INDEX('AC Estimate'!$AK$5:$AK$238,MATCH($A208,'AC Estimate'!$A$5:$A$238,0))</f>
        <v>TVK</v>
      </c>
      <c r="L208" s="27" t="n">
        <f aca="false">INDEX('AC Estimate'!$AM$5:$AM$238,MATCH($A208,'AC Estimate'!$A$5:$A$238,0))</f>
        <v>0.46948792775792</v>
      </c>
      <c r="M208" s="7" t="str">
        <f aca="false">INDEX('AC Estimate'!$Q$5:$Q$238,MATCH($A208,'AC Estimate'!$A$5:$A$238,0))</f>
        <v>TVK</v>
      </c>
      <c r="N208" s="7" t="str">
        <f aca="false">INDEX('AC Estimate'!$R$5:$R$238,MATCH($A208,'AC Estimate'!$A$5:$A$238,0))</f>
        <v>TVK</v>
      </c>
      <c r="O208" s="7" t="str">
        <f aca="false">INDEX('AC Estimate'!$AL$5:$AL$238,MATCH($A208,'AC Estimate'!$A$5:$A$238,0))</f>
        <v>Yes</v>
      </c>
    </row>
    <row r="209" customFormat="false" ht="15" hidden="false" customHeight="false" outlineLevel="0" collapsed="false">
      <c r="A209" s="17" t="n">
        <v>91</v>
      </c>
      <c r="B209" s="7" t="str">
        <f aca="false">INDEX('AC Estimate'!$B$5:$B$238,MATCH($A209,'AC Estimate'!$A$5:$A$238,0))</f>
        <v>Veerapandi</v>
      </c>
      <c r="C209" s="7" t="str">
        <f aca="false">INDEX('AC Estimate'!$C$5:$C$238,MATCH($A209,'AC Estimate'!$A$5:$A$238,0))</f>
        <v>Salem</v>
      </c>
      <c r="D209" s="7" t="n">
        <f aca="false">INDEX('AC Estimate'!$I$5:$I$238,MATCH($A209,'AC Estimate'!$A$5:$A$238,0))</f>
        <v>44</v>
      </c>
      <c r="E209" s="27" t="n">
        <f aca="false">INDEX('AC Estimate'!$J$5:$J$238,MATCH($A209,'AC Estimate'!$A$5:$A$238,0))</f>
        <v>0.272727272727273</v>
      </c>
      <c r="F209" s="27" t="n">
        <f aca="false">INDEX('AC Estimate'!$K$5:$K$238,MATCH($A209,'AC Estimate'!$A$5:$A$238,0))</f>
        <v>0.159090909090909</v>
      </c>
      <c r="G209" s="27" t="n">
        <f aca="false">INDEX('AC Estimate'!$L$5:$L$238,MATCH($A209,'AC Estimate'!$A$5:$A$238,0))</f>
        <v>0</v>
      </c>
      <c r="H209" s="27" t="n">
        <f aca="false">INDEX('AC Estimate'!$M$5:$M$238,MATCH($A209,'AC Estimate'!$A$5:$A$238,0))</f>
        <v>0.0454545454545455</v>
      </c>
      <c r="I209" s="27" t="n">
        <f aca="false">INDEX('AC Estimate'!$N$5:$N$238,MATCH($A209,'AC Estimate'!$A$5:$A$238,0))</f>
        <v>0.522727272727273</v>
      </c>
      <c r="J209" s="7" t="str">
        <f aca="false">INDEX('AC Estimate'!$P$5:$P$238,MATCH($A209,'AC Estimate'!$A$5:$A$238,0))</f>
        <v>TVK</v>
      </c>
      <c r="K209" s="7" t="str">
        <f aca="false">INDEX('AC Estimate'!$AK$5:$AK$238,MATCH($A209,'AC Estimate'!$A$5:$A$238,0))</f>
        <v>AIADMK+</v>
      </c>
      <c r="L209" s="27" t="n">
        <f aca="false">INDEX('AC Estimate'!$AM$5:$AM$238,MATCH($A209,'AC Estimate'!$A$5:$A$238,0))</f>
        <v>0.306853610131279</v>
      </c>
      <c r="M209" s="7" t="str">
        <f aca="false">INDEX('AC Estimate'!$Q$5:$Q$238,MATCH($A209,'AC Estimate'!$A$5:$A$238,0))</f>
        <v>TVK</v>
      </c>
      <c r="N209" s="7" t="str">
        <f aca="false">INDEX('AC Estimate'!$R$5:$R$238,MATCH($A209,'AC Estimate'!$A$5:$A$238,0))</f>
        <v>TVK</v>
      </c>
      <c r="O209" s="7" t="str">
        <f aca="false">INDEX('AC Estimate'!$AL$5:$AL$238,MATCH($A209,'AC Estimate'!$A$5:$A$238,0))</f>
        <v>No</v>
      </c>
    </row>
    <row r="210" customFormat="false" ht="15" hidden="false" customHeight="false" outlineLevel="0" collapsed="false">
      <c r="A210" s="33"/>
      <c r="B210" s="34" t="s">
        <v>135</v>
      </c>
      <c r="C210" s="33"/>
      <c r="D210" s="34" t="n">
        <f aca="false">SUM(D199:D209)</f>
        <v>496</v>
      </c>
      <c r="E210" s="33"/>
      <c r="F210" s="33"/>
      <c r="G210" s="33"/>
      <c r="H210" s="33"/>
      <c r="I210" s="33"/>
      <c r="J210" s="34" t="s">
        <v>92</v>
      </c>
      <c r="K210" s="34" t="str">
        <f aca="false">COUNTIF(K199:K209,"TVK")&amp;" / "&amp;COUNTIF(K199:K209,"AIADMK+")&amp;" / "&amp;COUNTIF(K199:K209,"DMK+")</f>
        <v>4 / 7 / 0</v>
      </c>
      <c r="L210" s="33"/>
      <c r="M210" s="34" t="s">
        <v>93</v>
      </c>
      <c r="N210" s="34" t="str">
        <f aca="false">COUNTIF(N199:N209,"TVK")&amp;" / "&amp;COUNTIF(N199:N209,"AIADMK+")&amp;" / "&amp;COUNTIF(N199:N209,"DMK+")</f>
        <v>4 / 7 / 0</v>
      </c>
      <c r="O210" s="34" t="str">
        <f aca="false">IF(AND(ABS(COUNTIF(K199:K209,"TVK")-COUNTIF(N199:N209,"TVK"))&lt;=Calibration!$B$3,ABS(COUNTIF(K199:K209,"AIADMK+")-COUNTIF(N199:N209,"AIADMK+"))&lt;=Calibration!$B$3,ABS(COUNTIF(K199:K209,"DMK+")-COUNTIF(N199:N209,"DMK+"))&lt;=Calibration!$B$3),"Within","Off")</f>
        <v>Within</v>
      </c>
    </row>
    <row r="212" customFormat="false" ht="15" hidden="false" customHeight="false" outlineLevel="0" collapsed="false">
      <c r="A212" s="31" t="s">
        <v>136</v>
      </c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customFormat="false" ht="15" hidden="false" customHeight="false" outlineLevel="0" collapsed="false">
      <c r="A213" s="17" t="n">
        <v>184</v>
      </c>
      <c r="B213" s="7" t="str">
        <f aca="false">INDEX('AC Estimate'!$B$5:$B$238,MATCH($A213,'AC Estimate'!$A$5:$A$238,0))</f>
        <v>Karaikudi</v>
      </c>
      <c r="C213" s="7" t="str">
        <f aca="false">INDEX('AC Estimate'!$C$5:$C$238,MATCH($A213,'AC Estimate'!$A$5:$A$238,0))</f>
        <v>Sivaganga</v>
      </c>
      <c r="D213" s="7" t="n">
        <f aca="false">INDEX('AC Estimate'!$I$5:$I$238,MATCH($A213,'AC Estimate'!$A$5:$A$238,0))</f>
        <v>51</v>
      </c>
      <c r="E213" s="27" t="n">
        <f aca="false">INDEX('AC Estimate'!$J$5:$J$238,MATCH($A213,'AC Estimate'!$A$5:$A$238,0))</f>
        <v>0.156862745098039</v>
      </c>
      <c r="F213" s="27" t="n">
        <f aca="false">INDEX('AC Estimate'!$K$5:$K$238,MATCH($A213,'AC Estimate'!$A$5:$A$238,0))</f>
        <v>0.235294117647059</v>
      </c>
      <c r="G213" s="27" t="n">
        <f aca="false">INDEX('AC Estimate'!$L$5:$L$238,MATCH($A213,'AC Estimate'!$A$5:$A$238,0))</f>
        <v>0</v>
      </c>
      <c r="H213" s="27" t="n">
        <f aca="false">INDEX('AC Estimate'!$M$5:$M$238,MATCH($A213,'AC Estimate'!$A$5:$A$238,0))</f>
        <v>0.137254901960784</v>
      </c>
      <c r="I213" s="27" t="n">
        <f aca="false">INDEX('AC Estimate'!$N$5:$N$238,MATCH($A213,'AC Estimate'!$A$5:$A$238,0))</f>
        <v>0.470588235294118</v>
      </c>
      <c r="J213" s="7" t="str">
        <f aca="false">INDEX('AC Estimate'!$P$5:$P$238,MATCH($A213,'AC Estimate'!$A$5:$A$238,0))</f>
        <v>TVK</v>
      </c>
      <c r="K213" s="7" t="str">
        <f aca="false">INDEX('AC Estimate'!$AK$5:$AK$238,MATCH($A213,'AC Estimate'!$A$5:$A$238,0))</f>
        <v>TVK</v>
      </c>
      <c r="L213" s="27" t="n">
        <f aca="false">INDEX('AC Estimate'!$AM$5:$AM$238,MATCH($A213,'AC Estimate'!$A$5:$A$238,0))</f>
        <v>0.468877204545457</v>
      </c>
      <c r="M213" s="7" t="str">
        <f aca="false">INDEX('AC Estimate'!$Q$5:$Q$238,MATCH($A213,'AC Estimate'!$A$5:$A$238,0))</f>
        <v>TVK</v>
      </c>
      <c r="N213" s="7" t="str">
        <f aca="false">INDEX('AC Estimate'!$R$5:$R$238,MATCH($A213,'AC Estimate'!$A$5:$A$238,0))</f>
        <v>TVK</v>
      </c>
      <c r="O213" s="7" t="str">
        <f aca="false">INDEX('AC Estimate'!$AL$5:$AL$238,MATCH($A213,'AC Estimate'!$A$5:$A$238,0))</f>
        <v>Yes</v>
      </c>
    </row>
    <row r="214" customFormat="false" ht="15" hidden="false" customHeight="false" outlineLevel="0" collapsed="false">
      <c r="A214" s="17" t="n">
        <v>185</v>
      </c>
      <c r="B214" s="7" t="str">
        <f aca="false">INDEX('AC Estimate'!$B$5:$B$238,MATCH($A214,'AC Estimate'!$A$5:$A$238,0))</f>
        <v>Tiruppattur</v>
      </c>
      <c r="C214" s="7" t="str">
        <f aca="false">INDEX('AC Estimate'!$C$5:$C$238,MATCH($A214,'AC Estimate'!$A$5:$A$238,0))</f>
        <v>Sivaganga</v>
      </c>
      <c r="D214" s="7" t="n">
        <f aca="false">INDEX('AC Estimate'!$I$5:$I$238,MATCH($A214,'AC Estimate'!$A$5:$A$238,0))</f>
        <v>14</v>
      </c>
      <c r="E214" s="27" t="n">
        <f aca="false">INDEX('AC Estimate'!$J$5:$J$238,MATCH($A214,'AC Estimate'!$A$5:$A$238,0))</f>
        <v>0.142857142857143</v>
      </c>
      <c r="F214" s="27" t="n">
        <f aca="false">INDEX('AC Estimate'!$K$5:$K$238,MATCH($A214,'AC Estimate'!$A$5:$A$238,0))</f>
        <v>0.142857142857143</v>
      </c>
      <c r="G214" s="27" t="n">
        <f aca="false">INDEX('AC Estimate'!$L$5:$L$238,MATCH($A214,'AC Estimate'!$A$5:$A$238,0))</f>
        <v>0</v>
      </c>
      <c r="H214" s="27" t="n">
        <f aca="false">INDEX('AC Estimate'!$M$5:$M$238,MATCH($A214,'AC Estimate'!$A$5:$A$238,0))</f>
        <v>0.285714285714286</v>
      </c>
      <c r="I214" s="27" t="n">
        <f aca="false">INDEX('AC Estimate'!$N$5:$N$238,MATCH($A214,'AC Estimate'!$A$5:$A$238,0))</f>
        <v>0.428571428571429</v>
      </c>
      <c r="J214" s="7" t="str">
        <f aca="false">INDEX('AC Estimate'!$P$5:$P$238,MATCH($A214,'AC Estimate'!$A$5:$A$238,0))</f>
        <v>DMK+</v>
      </c>
      <c r="K214" s="7" t="str">
        <f aca="false">INDEX('AC Estimate'!$AK$5:$AK$238,MATCH($A214,'AC Estimate'!$A$5:$A$238,0))</f>
        <v>TVK</v>
      </c>
      <c r="L214" s="27" t="n">
        <f aca="false">INDEX('AC Estimate'!$AM$5:$AM$238,MATCH($A214,'AC Estimate'!$A$5:$A$238,0))</f>
        <v>0.086364499333573</v>
      </c>
      <c r="M214" s="7" t="str">
        <f aca="false">INDEX('AC Estimate'!$Q$5:$Q$238,MATCH($A214,'AC Estimate'!$A$5:$A$238,0))</f>
        <v>TVK</v>
      </c>
      <c r="N214" s="7" t="str">
        <f aca="false">INDEX('AC Estimate'!$R$5:$R$238,MATCH($A214,'AC Estimate'!$A$5:$A$238,0))</f>
        <v>TVK</v>
      </c>
      <c r="O214" s="7" t="str">
        <f aca="false">INDEX('AC Estimate'!$AL$5:$AL$238,MATCH($A214,'AC Estimate'!$A$5:$A$238,0))</f>
        <v>Yes</v>
      </c>
    </row>
    <row r="215" customFormat="false" ht="15" hidden="false" customHeight="false" outlineLevel="0" collapsed="false">
      <c r="A215" s="17" t="n">
        <v>186</v>
      </c>
      <c r="B215" s="7" t="str">
        <f aca="false">INDEX('AC Estimate'!$B$5:$B$238,MATCH($A215,'AC Estimate'!$A$5:$A$238,0))</f>
        <v>Sivaganga</v>
      </c>
      <c r="C215" s="7" t="str">
        <f aca="false">INDEX('AC Estimate'!$C$5:$C$238,MATCH($A215,'AC Estimate'!$A$5:$A$238,0))</f>
        <v>Sivaganga</v>
      </c>
      <c r="D215" s="7" t="n">
        <f aca="false">INDEX('AC Estimate'!$I$5:$I$238,MATCH($A215,'AC Estimate'!$A$5:$A$238,0))</f>
        <v>40</v>
      </c>
      <c r="E215" s="27" t="n">
        <f aca="false">INDEX('AC Estimate'!$J$5:$J$238,MATCH($A215,'AC Estimate'!$A$5:$A$238,0))</f>
        <v>0.3</v>
      </c>
      <c r="F215" s="27" t="n">
        <f aca="false">INDEX('AC Estimate'!$K$5:$K$238,MATCH($A215,'AC Estimate'!$A$5:$A$238,0))</f>
        <v>0.2</v>
      </c>
      <c r="G215" s="27" t="n">
        <f aca="false">INDEX('AC Estimate'!$L$5:$L$238,MATCH($A215,'AC Estimate'!$A$5:$A$238,0))</f>
        <v>0</v>
      </c>
      <c r="H215" s="27" t="n">
        <f aca="false">INDEX('AC Estimate'!$M$5:$M$238,MATCH($A215,'AC Estimate'!$A$5:$A$238,0))</f>
        <v>0.075</v>
      </c>
      <c r="I215" s="27" t="n">
        <f aca="false">INDEX('AC Estimate'!$N$5:$N$238,MATCH($A215,'AC Estimate'!$A$5:$A$238,0))</f>
        <v>0.425</v>
      </c>
      <c r="J215" s="7" t="str">
        <f aca="false">INDEX('AC Estimate'!$P$5:$P$238,MATCH($A215,'AC Estimate'!$A$5:$A$238,0))</f>
        <v>TVK</v>
      </c>
      <c r="K215" s="7" t="str">
        <f aca="false">INDEX('AC Estimate'!$AK$5:$AK$238,MATCH($A215,'AC Estimate'!$A$5:$A$238,0))</f>
        <v>TVK</v>
      </c>
      <c r="L215" s="27" t="n">
        <f aca="false">INDEX('AC Estimate'!$AM$5:$AM$238,MATCH($A215,'AC Estimate'!$A$5:$A$238,0))</f>
        <v>0.366797236871669</v>
      </c>
      <c r="M215" s="7" t="str">
        <f aca="false">INDEX('AC Estimate'!$Q$5:$Q$238,MATCH($A215,'AC Estimate'!$A$5:$A$238,0))</f>
        <v>TVK</v>
      </c>
      <c r="N215" s="7" t="str">
        <f aca="false">INDEX('AC Estimate'!$R$5:$R$238,MATCH($A215,'AC Estimate'!$A$5:$A$238,0))</f>
        <v>TVK</v>
      </c>
      <c r="O215" s="7" t="str">
        <f aca="false">INDEX('AC Estimate'!$AL$5:$AL$238,MATCH($A215,'AC Estimate'!$A$5:$A$238,0))</f>
        <v>Yes</v>
      </c>
    </row>
    <row r="216" customFormat="false" ht="15" hidden="false" customHeight="false" outlineLevel="0" collapsed="false">
      <c r="A216" s="17" t="n">
        <v>187</v>
      </c>
      <c r="B216" s="7" t="str">
        <f aca="false">INDEX('AC Estimate'!$B$5:$B$238,MATCH($A216,'AC Estimate'!$A$5:$A$238,0))</f>
        <v>Manamadurai</v>
      </c>
      <c r="C216" s="7" t="str">
        <f aca="false">INDEX('AC Estimate'!$C$5:$C$238,MATCH($A216,'AC Estimate'!$A$5:$A$238,0))</f>
        <v>Sivaganga</v>
      </c>
      <c r="D216" s="7" t="n">
        <f aca="false">INDEX('AC Estimate'!$I$5:$I$238,MATCH($A216,'AC Estimate'!$A$5:$A$238,0))</f>
        <v>35</v>
      </c>
      <c r="E216" s="27" t="n">
        <f aca="false">INDEX('AC Estimate'!$J$5:$J$238,MATCH($A216,'AC Estimate'!$A$5:$A$238,0))</f>
        <v>0.2</v>
      </c>
      <c r="F216" s="27" t="n">
        <f aca="false">INDEX('AC Estimate'!$K$5:$K$238,MATCH($A216,'AC Estimate'!$A$5:$A$238,0))</f>
        <v>0.314285714285714</v>
      </c>
      <c r="G216" s="27" t="n">
        <f aca="false">INDEX('AC Estimate'!$L$5:$L$238,MATCH($A216,'AC Estimate'!$A$5:$A$238,0))</f>
        <v>0.0285714285714286</v>
      </c>
      <c r="H216" s="27" t="n">
        <f aca="false">INDEX('AC Estimate'!$M$5:$M$238,MATCH($A216,'AC Estimate'!$A$5:$A$238,0))</f>
        <v>0.2</v>
      </c>
      <c r="I216" s="27" t="n">
        <f aca="false">INDEX('AC Estimate'!$N$5:$N$238,MATCH($A216,'AC Estimate'!$A$5:$A$238,0))</f>
        <v>0.257142857142857</v>
      </c>
      <c r="J216" s="7" t="str">
        <f aca="false">INDEX('AC Estimate'!$P$5:$P$238,MATCH($A216,'AC Estimate'!$A$5:$A$238,0))</f>
        <v>DMK+</v>
      </c>
      <c r="K216" s="7" t="str">
        <f aca="false">INDEX('AC Estimate'!$AK$5:$AK$238,MATCH($A216,'AC Estimate'!$A$5:$A$238,0))</f>
        <v>TVK</v>
      </c>
      <c r="L216" s="27" t="n">
        <f aca="false">INDEX('AC Estimate'!$AM$5:$AM$238,MATCH($A216,'AC Estimate'!$A$5:$A$238,0))</f>
        <v>0.266884135990254</v>
      </c>
      <c r="M216" s="7" t="str">
        <f aca="false">INDEX('AC Estimate'!$Q$5:$Q$238,MATCH($A216,'AC Estimate'!$A$5:$A$238,0))</f>
        <v>TVK</v>
      </c>
      <c r="N216" s="7" t="str">
        <f aca="false">INDEX('AC Estimate'!$R$5:$R$238,MATCH($A216,'AC Estimate'!$A$5:$A$238,0))</f>
        <v>TVK</v>
      </c>
      <c r="O216" s="7" t="str">
        <f aca="false">INDEX('AC Estimate'!$AL$5:$AL$238,MATCH($A216,'AC Estimate'!$A$5:$A$238,0))</f>
        <v>Yes</v>
      </c>
    </row>
    <row r="217" customFormat="false" ht="15" hidden="false" customHeight="false" outlineLevel="0" collapsed="false">
      <c r="A217" s="33"/>
      <c r="B217" s="34" t="s">
        <v>137</v>
      </c>
      <c r="C217" s="33"/>
      <c r="D217" s="34" t="n">
        <f aca="false">SUM(D213:D216)</f>
        <v>140</v>
      </c>
      <c r="E217" s="33"/>
      <c r="F217" s="33"/>
      <c r="G217" s="33"/>
      <c r="H217" s="33"/>
      <c r="I217" s="33"/>
      <c r="J217" s="34" t="s">
        <v>92</v>
      </c>
      <c r="K217" s="34" t="str">
        <f aca="false">COUNTIF(K213:K216,"TVK")&amp;" / "&amp;COUNTIF(K213:K216,"AIADMK+")&amp;" / "&amp;COUNTIF(K213:K216,"DMK+")</f>
        <v>4 / 0 / 0</v>
      </c>
      <c r="L217" s="33"/>
      <c r="M217" s="34" t="s">
        <v>93</v>
      </c>
      <c r="N217" s="34" t="str">
        <f aca="false">COUNTIF(N213:N216,"TVK")&amp;" / "&amp;COUNTIF(N213:N216,"AIADMK+")&amp;" / "&amp;COUNTIF(N213:N216,"DMK+")</f>
        <v>4 / 0 / 0</v>
      </c>
      <c r="O217" s="34" t="str">
        <f aca="false">IF(AND(ABS(COUNTIF(K213:K216,"TVK")-COUNTIF(N213:N216,"TVK"))&lt;=Calibration!$B$3,ABS(COUNTIF(K213:K216,"AIADMK+")-COUNTIF(N213:N216,"AIADMK+"))&lt;=Calibration!$B$3,ABS(COUNTIF(K213:K216,"DMK+")-COUNTIF(N213:N216,"DMK+"))&lt;=Calibration!$B$3),"Within","Off")</f>
        <v>Within</v>
      </c>
    </row>
    <row r="219" customFormat="false" ht="15" hidden="false" customHeight="false" outlineLevel="0" collapsed="false">
      <c r="A219" s="31" t="s">
        <v>138</v>
      </c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customFormat="false" ht="15" hidden="false" customHeight="false" outlineLevel="0" collapsed="false">
      <c r="A220" s="17" t="n">
        <v>219</v>
      </c>
      <c r="B220" s="7" t="str">
        <f aca="false">INDEX('AC Estimate'!$B$5:$B$238,MATCH($A220,'AC Estimate'!$A$5:$A$238,0))</f>
        <v>Sankarankovil</v>
      </c>
      <c r="C220" s="7" t="str">
        <f aca="false">INDEX('AC Estimate'!$C$5:$C$238,MATCH($A220,'AC Estimate'!$A$5:$A$238,0))</f>
        <v>Tenkasi</v>
      </c>
      <c r="D220" s="7" t="n">
        <f aca="false">INDEX('AC Estimate'!$I$5:$I$238,MATCH($A220,'AC Estimate'!$A$5:$A$238,0))</f>
        <v>53</v>
      </c>
      <c r="E220" s="27" t="n">
        <f aca="false">INDEX('AC Estimate'!$J$5:$J$238,MATCH($A220,'AC Estimate'!$A$5:$A$238,0))</f>
        <v>0.339622641509434</v>
      </c>
      <c r="F220" s="27" t="n">
        <f aca="false">INDEX('AC Estimate'!$K$5:$K$238,MATCH($A220,'AC Estimate'!$A$5:$A$238,0))</f>
        <v>0.264150943396226</v>
      </c>
      <c r="G220" s="27" t="n">
        <f aca="false">INDEX('AC Estimate'!$L$5:$L$238,MATCH($A220,'AC Estimate'!$A$5:$A$238,0))</f>
        <v>0</v>
      </c>
      <c r="H220" s="27" t="n">
        <f aca="false">INDEX('AC Estimate'!$M$5:$M$238,MATCH($A220,'AC Estimate'!$A$5:$A$238,0))</f>
        <v>0.113207547169811</v>
      </c>
      <c r="I220" s="27" t="n">
        <f aca="false">INDEX('AC Estimate'!$N$5:$N$238,MATCH($A220,'AC Estimate'!$A$5:$A$238,0))</f>
        <v>0.283018867924528</v>
      </c>
      <c r="J220" s="7" t="str">
        <f aca="false">INDEX('AC Estimate'!$P$5:$P$238,MATCH($A220,'AC Estimate'!$A$5:$A$238,0))</f>
        <v>AIADMK+</v>
      </c>
      <c r="K220" s="7" t="str">
        <f aca="false">INDEX('AC Estimate'!$AK$5:$AK$238,MATCH($A220,'AC Estimate'!$A$5:$A$238,0))</f>
        <v>DMK+</v>
      </c>
      <c r="L220" s="27" t="n">
        <f aca="false">INDEX('AC Estimate'!$AM$5:$AM$238,MATCH($A220,'AC Estimate'!$A$5:$A$238,0))</f>
        <v>0.319511693795047</v>
      </c>
      <c r="M220" s="7" t="str">
        <f aca="false">INDEX('AC Estimate'!$Q$5:$Q$238,MATCH($A220,'AC Estimate'!$A$5:$A$238,0))</f>
        <v>AIADMK</v>
      </c>
      <c r="N220" s="7" t="str">
        <f aca="false">INDEX('AC Estimate'!$R$5:$R$238,MATCH($A220,'AC Estimate'!$A$5:$A$238,0))</f>
        <v>AIADMK+</v>
      </c>
      <c r="O220" s="7" t="str">
        <f aca="false">INDEX('AC Estimate'!$AL$5:$AL$238,MATCH($A220,'AC Estimate'!$A$5:$A$238,0))</f>
        <v>No</v>
      </c>
    </row>
    <row r="221" customFormat="false" ht="15" hidden="false" customHeight="false" outlineLevel="0" collapsed="false">
      <c r="A221" s="17" t="n">
        <v>220</v>
      </c>
      <c r="B221" s="7" t="str">
        <f aca="false">INDEX('AC Estimate'!$B$5:$B$238,MATCH($A221,'AC Estimate'!$A$5:$A$238,0))</f>
        <v>Vasudevanallur</v>
      </c>
      <c r="C221" s="7" t="str">
        <f aca="false">INDEX('AC Estimate'!$C$5:$C$238,MATCH($A221,'AC Estimate'!$A$5:$A$238,0))</f>
        <v>Tenkasi</v>
      </c>
      <c r="D221" s="7" t="n">
        <f aca="false">INDEX('AC Estimate'!$I$5:$I$238,MATCH($A221,'AC Estimate'!$A$5:$A$238,0))</f>
        <v>39</v>
      </c>
      <c r="E221" s="27" t="n">
        <f aca="false">INDEX('AC Estimate'!$J$5:$J$238,MATCH($A221,'AC Estimate'!$A$5:$A$238,0))</f>
        <v>0.461538461538462</v>
      </c>
      <c r="F221" s="27" t="n">
        <f aca="false">INDEX('AC Estimate'!$K$5:$K$238,MATCH($A221,'AC Estimate'!$A$5:$A$238,0))</f>
        <v>0.17948717948718</v>
      </c>
      <c r="G221" s="27" t="n">
        <f aca="false">INDEX('AC Estimate'!$L$5:$L$238,MATCH($A221,'AC Estimate'!$A$5:$A$238,0))</f>
        <v>0</v>
      </c>
      <c r="H221" s="27" t="n">
        <f aca="false">INDEX('AC Estimate'!$M$5:$M$238,MATCH($A221,'AC Estimate'!$A$5:$A$238,0))</f>
        <v>0.102564102564103</v>
      </c>
      <c r="I221" s="27" t="n">
        <f aca="false">INDEX('AC Estimate'!$N$5:$N$238,MATCH($A221,'AC Estimate'!$A$5:$A$238,0))</f>
        <v>0.256410256410256</v>
      </c>
      <c r="J221" s="7" t="str">
        <f aca="false">INDEX('AC Estimate'!$P$5:$P$238,MATCH($A221,'AC Estimate'!$A$5:$A$238,0))</f>
        <v>AIADMK+</v>
      </c>
      <c r="K221" s="7" t="str">
        <f aca="false">INDEX('AC Estimate'!$AK$5:$AK$238,MATCH($A221,'AC Estimate'!$A$5:$A$238,0))</f>
        <v>AIADMK+</v>
      </c>
      <c r="L221" s="27" t="n">
        <f aca="false">INDEX('AC Estimate'!$AM$5:$AM$238,MATCH($A221,'AC Estimate'!$A$5:$A$238,0))</f>
        <v>0.392140427022805</v>
      </c>
      <c r="M221" s="7" t="str">
        <f aca="false">INDEX('AC Estimate'!$Q$5:$Q$238,MATCH($A221,'AC Estimate'!$A$5:$A$238,0))</f>
        <v>DMK</v>
      </c>
      <c r="N221" s="7" t="str">
        <f aca="false">INDEX('AC Estimate'!$R$5:$R$238,MATCH($A221,'AC Estimate'!$A$5:$A$238,0))</f>
        <v>DMK+</v>
      </c>
      <c r="O221" s="7" t="str">
        <f aca="false">INDEX('AC Estimate'!$AL$5:$AL$238,MATCH($A221,'AC Estimate'!$A$5:$A$238,0))</f>
        <v>No</v>
      </c>
    </row>
    <row r="222" customFormat="false" ht="15" hidden="false" customHeight="false" outlineLevel="0" collapsed="false">
      <c r="A222" s="17" t="n">
        <v>221</v>
      </c>
      <c r="B222" s="7" t="str">
        <f aca="false">INDEX('AC Estimate'!$B$5:$B$238,MATCH($A222,'AC Estimate'!$A$5:$A$238,0))</f>
        <v>Kadayanallur</v>
      </c>
      <c r="C222" s="7" t="str">
        <f aca="false">INDEX('AC Estimate'!$C$5:$C$238,MATCH($A222,'AC Estimate'!$A$5:$A$238,0))</f>
        <v>Tenkasi</v>
      </c>
      <c r="D222" s="7" t="n">
        <f aca="false">INDEX('AC Estimate'!$I$5:$I$238,MATCH($A222,'AC Estimate'!$A$5:$A$238,0))</f>
        <v>44</v>
      </c>
      <c r="E222" s="27" t="n">
        <f aca="false">INDEX('AC Estimate'!$J$5:$J$238,MATCH($A222,'AC Estimate'!$A$5:$A$238,0))</f>
        <v>0.204545454545455</v>
      </c>
      <c r="F222" s="27" t="n">
        <f aca="false">INDEX('AC Estimate'!$K$5:$K$238,MATCH($A222,'AC Estimate'!$A$5:$A$238,0))</f>
        <v>0.318181818181818</v>
      </c>
      <c r="G222" s="27" t="n">
        <f aca="false">INDEX('AC Estimate'!$L$5:$L$238,MATCH($A222,'AC Estimate'!$A$5:$A$238,0))</f>
        <v>0</v>
      </c>
      <c r="H222" s="27" t="n">
        <f aca="false">INDEX('AC Estimate'!$M$5:$M$238,MATCH($A222,'AC Estimate'!$A$5:$A$238,0))</f>
        <v>0.204545454545455</v>
      </c>
      <c r="I222" s="27" t="n">
        <f aca="false">INDEX('AC Estimate'!$N$5:$N$238,MATCH($A222,'AC Estimate'!$A$5:$A$238,0))</f>
        <v>0.272727272727273</v>
      </c>
      <c r="J222" s="7" t="str">
        <f aca="false">INDEX('AC Estimate'!$P$5:$P$238,MATCH($A222,'AC Estimate'!$A$5:$A$238,0))</f>
        <v>DMK+</v>
      </c>
      <c r="K222" s="7" t="str">
        <f aca="false">INDEX('AC Estimate'!$AK$5:$AK$238,MATCH($A222,'AC Estimate'!$A$5:$A$238,0))</f>
        <v>DMK+</v>
      </c>
      <c r="L222" s="27" t="n">
        <f aca="false">INDEX('AC Estimate'!$AM$5:$AM$238,MATCH($A222,'AC Estimate'!$A$5:$A$238,0))</f>
        <v>0.427383817053219</v>
      </c>
      <c r="M222" s="7" t="str">
        <f aca="false">INDEX('AC Estimate'!$Q$5:$Q$238,MATCH($A222,'AC Estimate'!$A$5:$A$238,0))</f>
        <v>DMK</v>
      </c>
      <c r="N222" s="7" t="str">
        <f aca="false">INDEX('AC Estimate'!$R$5:$R$238,MATCH($A222,'AC Estimate'!$A$5:$A$238,0))</f>
        <v>DMK+</v>
      </c>
      <c r="O222" s="7" t="str">
        <f aca="false">INDEX('AC Estimate'!$AL$5:$AL$238,MATCH($A222,'AC Estimate'!$A$5:$A$238,0))</f>
        <v>Yes</v>
      </c>
    </row>
    <row r="223" customFormat="false" ht="15" hidden="false" customHeight="false" outlineLevel="0" collapsed="false">
      <c r="A223" s="17" t="n">
        <v>222</v>
      </c>
      <c r="B223" s="7" t="str">
        <f aca="false">INDEX('AC Estimate'!$B$5:$B$238,MATCH($A223,'AC Estimate'!$A$5:$A$238,0))</f>
        <v>Tenkasi</v>
      </c>
      <c r="C223" s="7" t="str">
        <f aca="false">INDEX('AC Estimate'!$C$5:$C$238,MATCH($A223,'AC Estimate'!$A$5:$A$238,0))</f>
        <v>Tenkasi</v>
      </c>
      <c r="D223" s="7" t="n">
        <f aca="false">INDEX('AC Estimate'!$I$5:$I$238,MATCH($A223,'AC Estimate'!$A$5:$A$238,0))</f>
        <v>84</v>
      </c>
      <c r="E223" s="27" t="n">
        <f aca="false">INDEX('AC Estimate'!$J$5:$J$238,MATCH($A223,'AC Estimate'!$A$5:$A$238,0))</f>
        <v>0.238095238095238</v>
      </c>
      <c r="F223" s="27" t="n">
        <f aca="false">INDEX('AC Estimate'!$K$5:$K$238,MATCH($A223,'AC Estimate'!$A$5:$A$238,0))</f>
        <v>0.30952380952381</v>
      </c>
      <c r="G223" s="27" t="n">
        <f aca="false">INDEX('AC Estimate'!$L$5:$L$238,MATCH($A223,'AC Estimate'!$A$5:$A$238,0))</f>
        <v>0</v>
      </c>
      <c r="H223" s="27" t="n">
        <f aca="false">INDEX('AC Estimate'!$M$5:$M$238,MATCH($A223,'AC Estimate'!$A$5:$A$238,0))</f>
        <v>0.154761904761905</v>
      </c>
      <c r="I223" s="27" t="n">
        <f aca="false">INDEX('AC Estimate'!$N$5:$N$238,MATCH($A223,'AC Estimate'!$A$5:$A$238,0))</f>
        <v>0.297619047619048</v>
      </c>
      <c r="J223" s="7" t="str">
        <f aca="false">INDEX('AC Estimate'!$P$5:$P$238,MATCH($A223,'AC Estimate'!$A$5:$A$238,0))</f>
        <v>DMK+</v>
      </c>
      <c r="K223" s="7" t="str">
        <f aca="false">INDEX('AC Estimate'!$AK$5:$AK$238,MATCH($A223,'AC Estimate'!$A$5:$A$238,0))</f>
        <v>DMK+</v>
      </c>
      <c r="L223" s="27" t="n">
        <f aca="false">INDEX('AC Estimate'!$AM$5:$AM$238,MATCH($A223,'AC Estimate'!$A$5:$A$238,0))</f>
        <v>0.240816362129299</v>
      </c>
      <c r="M223" s="7" t="str">
        <f aca="false">INDEX('AC Estimate'!$Q$5:$Q$238,MATCH($A223,'AC Estimate'!$A$5:$A$238,0))</f>
        <v>DMK</v>
      </c>
      <c r="N223" s="7" t="str">
        <f aca="false">INDEX('AC Estimate'!$R$5:$R$238,MATCH($A223,'AC Estimate'!$A$5:$A$238,0))</f>
        <v>DMK+</v>
      </c>
      <c r="O223" s="7" t="str">
        <f aca="false">INDEX('AC Estimate'!$AL$5:$AL$238,MATCH($A223,'AC Estimate'!$A$5:$A$238,0))</f>
        <v>Yes</v>
      </c>
    </row>
    <row r="224" customFormat="false" ht="15" hidden="false" customHeight="false" outlineLevel="0" collapsed="false">
      <c r="A224" s="17" t="n">
        <v>223</v>
      </c>
      <c r="B224" s="7" t="str">
        <f aca="false">INDEX('AC Estimate'!$B$5:$B$238,MATCH($A224,'AC Estimate'!$A$5:$A$238,0))</f>
        <v>Alangulam</v>
      </c>
      <c r="C224" s="7" t="str">
        <f aca="false">INDEX('AC Estimate'!$C$5:$C$238,MATCH($A224,'AC Estimate'!$A$5:$A$238,0))</f>
        <v>Tenkasi</v>
      </c>
      <c r="D224" s="7" t="n">
        <f aca="false">INDEX('AC Estimate'!$I$5:$I$238,MATCH($A224,'AC Estimate'!$A$5:$A$238,0))</f>
        <v>44</v>
      </c>
      <c r="E224" s="27" t="n">
        <f aca="false">INDEX('AC Estimate'!$J$5:$J$238,MATCH($A224,'AC Estimate'!$A$5:$A$238,0))</f>
        <v>0.136363636363636</v>
      </c>
      <c r="F224" s="27" t="n">
        <f aca="false">INDEX('AC Estimate'!$K$5:$K$238,MATCH($A224,'AC Estimate'!$A$5:$A$238,0))</f>
        <v>0.340909090909091</v>
      </c>
      <c r="G224" s="27" t="n">
        <f aca="false">INDEX('AC Estimate'!$L$5:$L$238,MATCH($A224,'AC Estimate'!$A$5:$A$238,0))</f>
        <v>0</v>
      </c>
      <c r="H224" s="27" t="n">
        <f aca="false">INDEX('AC Estimate'!$M$5:$M$238,MATCH($A224,'AC Estimate'!$A$5:$A$238,0))</f>
        <v>0.227272727272727</v>
      </c>
      <c r="I224" s="27" t="n">
        <f aca="false">INDEX('AC Estimate'!$N$5:$N$238,MATCH($A224,'AC Estimate'!$A$5:$A$238,0))</f>
        <v>0.295454545454545</v>
      </c>
      <c r="J224" s="7" t="str">
        <f aca="false">INDEX('AC Estimate'!$P$5:$P$238,MATCH($A224,'AC Estimate'!$A$5:$A$238,0))</f>
        <v>DMK+</v>
      </c>
      <c r="K224" s="7" t="str">
        <f aca="false">INDEX('AC Estimate'!$AK$5:$AK$238,MATCH($A224,'AC Estimate'!$A$5:$A$238,0))</f>
        <v>DMK+</v>
      </c>
      <c r="L224" s="27" t="n">
        <f aca="false">INDEX('AC Estimate'!$AM$5:$AM$238,MATCH($A224,'AC Estimate'!$A$5:$A$238,0))</f>
        <v>0.454454016399695</v>
      </c>
      <c r="M224" s="7" t="str">
        <f aca="false">INDEX('AC Estimate'!$Q$5:$Q$238,MATCH($A224,'AC Estimate'!$A$5:$A$238,0))</f>
        <v>DMK</v>
      </c>
      <c r="N224" s="7" t="str">
        <f aca="false">INDEX('AC Estimate'!$R$5:$R$238,MATCH($A224,'AC Estimate'!$A$5:$A$238,0))</f>
        <v>DMK+</v>
      </c>
      <c r="O224" s="7" t="str">
        <f aca="false">INDEX('AC Estimate'!$AL$5:$AL$238,MATCH($A224,'AC Estimate'!$A$5:$A$238,0))</f>
        <v>Yes</v>
      </c>
    </row>
    <row r="225" customFormat="false" ht="15" hidden="false" customHeight="false" outlineLevel="0" collapsed="false">
      <c r="A225" s="33"/>
      <c r="B225" s="34" t="s">
        <v>139</v>
      </c>
      <c r="C225" s="33"/>
      <c r="D225" s="34" t="n">
        <f aca="false">SUM(D220:D224)</f>
        <v>264</v>
      </c>
      <c r="E225" s="33"/>
      <c r="F225" s="33"/>
      <c r="G225" s="33"/>
      <c r="H225" s="33"/>
      <c r="I225" s="33"/>
      <c r="J225" s="34" t="s">
        <v>92</v>
      </c>
      <c r="K225" s="34" t="str">
        <f aca="false">COUNTIF(K220:K224,"TVK")&amp;" / "&amp;COUNTIF(K220:K224,"AIADMK+")&amp;" / "&amp;COUNTIF(K220:K224,"DMK+")</f>
        <v>0 / 1 / 4</v>
      </c>
      <c r="L225" s="33"/>
      <c r="M225" s="34" t="s">
        <v>93</v>
      </c>
      <c r="N225" s="34" t="str">
        <f aca="false">COUNTIF(N220:N224,"TVK")&amp;" / "&amp;COUNTIF(N220:N224,"AIADMK+")&amp;" / "&amp;COUNTIF(N220:N224,"DMK+")</f>
        <v>0 / 1 / 4</v>
      </c>
      <c r="O225" s="34" t="str">
        <f aca="false">IF(AND(ABS(COUNTIF(K220:K224,"TVK")-COUNTIF(N220:N224,"TVK"))&lt;=Calibration!$B$3,ABS(COUNTIF(K220:K224,"AIADMK+")-COUNTIF(N220:N224,"AIADMK+"))&lt;=Calibration!$B$3,ABS(COUNTIF(K220:K224,"DMK+")-COUNTIF(N220:N224,"DMK+"))&lt;=Calibration!$B$3),"Within","Off")</f>
        <v>Within</v>
      </c>
    </row>
    <row r="227" customFormat="false" ht="15" hidden="false" customHeight="false" outlineLevel="0" collapsed="false">
      <c r="A227" s="31" t="s">
        <v>140</v>
      </c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customFormat="false" ht="15" hidden="false" customHeight="false" outlineLevel="0" collapsed="false">
      <c r="A228" s="17" t="n">
        <v>170</v>
      </c>
      <c r="B228" s="7" t="str">
        <f aca="false">INDEX('AC Estimate'!$B$5:$B$238,MATCH($A228,'AC Estimate'!$A$5:$A$238,0))</f>
        <v>Thiruvidaimarudur</v>
      </c>
      <c r="C228" s="7" t="str">
        <f aca="false">INDEX('AC Estimate'!$C$5:$C$238,MATCH($A228,'AC Estimate'!$A$5:$A$238,0))</f>
        <v>Thanjavur</v>
      </c>
      <c r="D228" s="7" t="n">
        <f aca="false">INDEX('AC Estimate'!$I$5:$I$238,MATCH($A228,'AC Estimate'!$A$5:$A$238,0))</f>
        <v>41</v>
      </c>
      <c r="E228" s="27" t="n">
        <f aca="false">INDEX('AC Estimate'!$J$5:$J$238,MATCH($A228,'AC Estimate'!$A$5:$A$238,0))</f>
        <v>0.292682926829268</v>
      </c>
      <c r="F228" s="27" t="n">
        <f aca="false">INDEX('AC Estimate'!$K$5:$K$238,MATCH($A228,'AC Estimate'!$A$5:$A$238,0))</f>
        <v>0.341463414634146</v>
      </c>
      <c r="G228" s="27" t="n">
        <f aca="false">INDEX('AC Estimate'!$L$5:$L$238,MATCH($A228,'AC Estimate'!$A$5:$A$238,0))</f>
        <v>0</v>
      </c>
      <c r="H228" s="27" t="n">
        <f aca="false">INDEX('AC Estimate'!$M$5:$M$238,MATCH($A228,'AC Estimate'!$A$5:$A$238,0))</f>
        <v>0.0975609756097561</v>
      </c>
      <c r="I228" s="27" t="n">
        <f aca="false">INDEX('AC Estimate'!$N$5:$N$238,MATCH($A228,'AC Estimate'!$A$5:$A$238,0))</f>
        <v>0.268292682926829</v>
      </c>
      <c r="J228" s="7" t="str">
        <f aca="false">INDEX('AC Estimate'!$P$5:$P$238,MATCH($A228,'AC Estimate'!$A$5:$A$238,0))</f>
        <v>DMK+</v>
      </c>
      <c r="K228" s="7" t="str">
        <f aca="false">INDEX('AC Estimate'!$AK$5:$AK$238,MATCH($A228,'AC Estimate'!$A$5:$A$238,0))</f>
        <v>DMK+</v>
      </c>
      <c r="L228" s="27" t="n">
        <f aca="false">INDEX('AC Estimate'!$AM$5:$AM$238,MATCH($A228,'AC Estimate'!$A$5:$A$238,0))</f>
        <v>0.407954670153558</v>
      </c>
      <c r="M228" s="7" t="str">
        <f aca="false">INDEX('AC Estimate'!$Q$5:$Q$238,MATCH($A228,'AC Estimate'!$A$5:$A$238,0))</f>
        <v>DMK</v>
      </c>
      <c r="N228" s="7" t="str">
        <f aca="false">INDEX('AC Estimate'!$R$5:$R$238,MATCH($A228,'AC Estimate'!$A$5:$A$238,0))</f>
        <v>DMK+</v>
      </c>
      <c r="O228" s="7" t="str">
        <f aca="false">INDEX('AC Estimate'!$AL$5:$AL$238,MATCH($A228,'AC Estimate'!$A$5:$A$238,0))</f>
        <v>Yes</v>
      </c>
    </row>
    <row r="229" customFormat="false" ht="15" hidden="false" customHeight="false" outlineLevel="0" collapsed="false">
      <c r="A229" s="17" t="n">
        <v>171</v>
      </c>
      <c r="B229" s="7" t="str">
        <f aca="false">INDEX('AC Estimate'!$B$5:$B$238,MATCH($A229,'AC Estimate'!$A$5:$A$238,0))</f>
        <v>Kumbakonam</v>
      </c>
      <c r="C229" s="7" t="str">
        <f aca="false">INDEX('AC Estimate'!$C$5:$C$238,MATCH($A229,'AC Estimate'!$A$5:$A$238,0))</f>
        <v>Thanjavur</v>
      </c>
      <c r="D229" s="7" t="n">
        <f aca="false">INDEX('AC Estimate'!$I$5:$I$238,MATCH($A229,'AC Estimate'!$A$5:$A$238,0))</f>
        <v>77</v>
      </c>
      <c r="E229" s="27" t="n">
        <f aca="false">INDEX('AC Estimate'!$J$5:$J$238,MATCH($A229,'AC Estimate'!$A$5:$A$238,0))</f>
        <v>0.220779220779221</v>
      </c>
      <c r="F229" s="27" t="n">
        <f aca="false">INDEX('AC Estimate'!$K$5:$K$238,MATCH($A229,'AC Estimate'!$A$5:$A$238,0))</f>
        <v>0.350649350649351</v>
      </c>
      <c r="G229" s="27" t="n">
        <f aca="false">INDEX('AC Estimate'!$L$5:$L$238,MATCH($A229,'AC Estimate'!$A$5:$A$238,0))</f>
        <v>0</v>
      </c>
      <c r="H229" s="27" t="n">
        <f aca="false">INDEX('AC Estimate'!$M$5:$M$238,MATCH($A229,'AC Estimate'!$A$5:$A$238,0))</f>
        <v>0.142857142857143</v>
      </c>
      <c r="I229" s="27" t="n">
        <f aca="false">INDEX('AC Estimate'!$N$5:$N$238,MATCH($A229,'AC Estimate'!$A$5:$A$238,0))</f>
        <v>0.285714285714286</v>
      </c>
      <c r="J229" s="7" t="str">
        <f aca="false">INDEX('AC Estimate'!$P$5:$P$238,MATCH($A229,'AC Estimate'!$A$5:$A$238,0))</f>
        <v>DMK+</v>
      </c>
      <c r="K229" s="7" t="str">
        <f aca="false">INDEX('AC Estimate'!$AK$5:$AK$238,MATCH($A229,'AC Estimate'!$A$5:$A$238,0))</f>
        <v>TVK</v>
      </c>
      <c r="L229" s="27" t="n">
        <f aca="false">INDEX('AC Estimate'!$AM$5:$AM$238,MATCH($A229,'AC Estimate'!$A$5:$A$238,0))</f>
        <v>0.567971242029743</v>
      </c>
      <c r="M229" s="7" t="str">
        <f aca="false">INDEX('AC Estimate'!$Q$5:$Q$238,MATCH($A229,'AC Estimate'!$A$5:$A$238,0))</f>
        <v>TVK</v>
      </c>
      <c r="N229" s="7" t="str">
        <f aca="false">INDEX('AC Estimate'!$R$5:$R$238,MATCH($A229,'AC Estimate'!$A$5:$A$238,0))</f>
        <v>TVK</v>
      </c>
      <c r="O229" s="7" t="str">
        <f aca="false">INDEX('AC Estimate'!$AL$5:$AL$238,MATCH($A229,'AC Estimate'!$A$5:$A$238,0))</f>
        <v>Yes</v>
      </c>
    </row>
    <row r="230" customFormat="false" ht="15" hidden="false" customHeight="false" outlineLevel="0" collapsed="false">
      <c r="A230" s="17" t="n">
        <v>172</v>
      </c>
      <c r="B230" s="7" t="str">
        <f aca="false">INDEX('AC Estimate'!$B$5:$B$238,MATCH($A230,'AC Estimate'!$A$5:$A$238,0))</f>
        <v>Papanasam</v>
      </c>
      <c r="C230" s="7" t="str">
        <f aca="false">INDEX('AC Estimate'!$C$5:$C$238,MATCH($A230,'AC Estimate'!$A$5:$A$238,0))</f>
        <v>Thanjavur</v>
      </c>
      <c r="D230" s="7" t="n">
        <f aca="false">INDEX('AC Estimate'!$I$5:$I$238,MATCH($A230,'AC Estimate'!$A$5:$A$238,0))</f>
        <v>39</v>
      </c>
      <c r="E230" s="27" t="n">
        <f aca="false">INDEX('AC Estimate'!$J$5:$J$238,MATCH($A230,'AC Estimate'!$A$5:$A$238,0))</f>
        <v>0.282051282051282</v>
      </c>
      <c r="F230" s="27" t="n">
        <f aca="false">INDEX('AC Estimate'!$K$5:$K$238,MATCH($A230,'AC Estimate'!$A$5:$A$238,0))</f>
        <v>0.256410256410256</v>
      </c>
      <c r="G230" s="27" t="n">
        <f aca="false">INDEX('AC Estimate'!$L$5:$L$238,MATCH($A230,'AC Estimate'!$A$5:$A$238,0))</f>
        <v>0</v>
      </c>
      <c r="H230" s="27" t="n">
        <f aca="false">INDEX('AC Estimate'!$M$5:$M$238,MATCH($A230,'AC Estimate'!$A$5:$A$238,0))</f>
        <v>0.0512820512820513</v>
      </c>
      <c r="I230" s="27" t="n">
        <f aca="false">INDEX('AC Estimate'!$N$5:$N$238,MATCH($A230,'AC Estimate'!$A$5:$A$238,0))</f>
        <v>0.41025641025641</v>
      </c>
      <c r="J230" s="7" t="str">
        <f aca="false">INDEX('AC Estimate'!$P$5:$P$238,MATCH($A230,'AC Estimate'!$A$5:$A$238,0))</f>
        <v>TVK</v>
      </c>
      <c r="K230" s="7" t="str">
        <f aca="false">INDEX('AC Estimate'!$AK$5:$AK$238,MATCH($A230,'AC Estimate'!$A$5:$A$238,0))</f>
        <v>DMK+</v>
      </c>
      <c r="L230" s="27" t="n">
        <f aca="false">INDEX('AC Estimate'!$AM$5:$AM$238,MATCH($A230,'AC Estimate'!$A$5:$A$238,0))</f>
        <v>0.370156048808344</v>
      </c>
      <c r="M230" s="7" t="str">
        <f aca="false">INDEX('AC Estimate'!$Q$5:$Q$238,MATCH($A230,'AC Estimate'!$A$5:$A$238,0))</f>
        <v>IUML</v>
      </c>
      <c r="N230" s="7" t="str">
        <f aca="false">INDEX('AC Estimate'!$R$5:$R$238,MATCH($A230,'AC Estimate'!$A$5:$A$238,0))</f>
        <v>DMK+</v>
      </c>
      <c r="O230" s="7" t="str">
        <f aca="false">INDEX('AC Estimate'!$AL$5:$AL$238,MATCH($A230,'AC Estimate'!$A$5:$A$238,0))</f>
        <v>Yes</v>
      </c>
    </row>
    <row r="231" customFormat="false" ht="15" hidden="false" customHeight="false" outlineLevel="0" collapsed="false">
      <c r="A231" s="17" t="n">
        <v>173</v>
      </c>
      <c r="B231" s="7" t="str">
        <f aca="false">INDEX('AC Estimate'!$B$5:$B$238,MATCH($A231,'AC Estimate'!$A$5:$A$238,0))</f>
        <v>Thiruvaiyaru</v>
      </c>
      <c r="C231" s="7" t="str">
        <f aca="false">INDEX('AC Estimate'!$C$5:$C$238,MATCH($A231,'AC Estimate'!$A$5:$A$238,0))</f>
        <v>Thanjavur</v>
      </c>
      <c r="D231" s="7" t="n">
        <f aca="false">INDEX('AC Estimate'!$I$5:$I$238,MATCH($A231,'AC Estimate'!$A$5:$A$238,0))</f>
        <v>32</v>
      </c>
      <c r="E231" s="27" t="n">
        <f aca="false">INDEX('AC Estimate'!$J$5:$J$238,MATCH($A231,'AC Estimate'!$A$5:$A$238,0))</f>
        <v>0.40625</v>
      </c>
      <c r="F231" s="27" t="n">
        <f aca="false">INDEX('AC Estimate'!$K$5:$K$238,MATCH($A231,'AC Estimate'!$A$5:$A$238,0))</f>
        <v>0.25</v>
      </c>
      <c r="G231" s="27" t="n">
        <f aca="false">INDEX('AC Estimate'!$L$5:$L$238,MATCH($A231,'AC Estimate'!$A$5:$A$238,0))</f>
        <v>0</v>
      </c>
      <c r="H231" s="27" t="n">
        <f aca="false">INDEX('AC Estimate'!$M$5:$M$238,MATCH($A231,'AC Estimate'!$A$5:$A$238,0))</f>
        <v>0</v>
      </c>
      <c r="I231" s="27" t="n">
        <f aca="false">INDEX('AC Estimate'!$N$5:$N$238,MATCH($A231,'AC Estimate'!$A$5:$A$238,0))</f>
        <v>0.34375</v>
      </c>
      <c r="J231" s="7" t="str">
        <f aca="false">INDEX('AC Estimate'!$P$5:$P$238,MATCH($A231,'AC Estimate'!$A$5:$A$238,0))</f>
        <v>AIADMK+</v>
      </c>
      <c r="K231" s="7" t="str">
        <f aca="false">INDEX('AC Estimate'!$AK$5:$AK$238,MATCH($A231,'AC Estimate'!$A$5:$A$238,0))</f>
        <v>DMK+</v>
      </c>
      <c r="L231" s="27" t="n">
        <f aca="false">INDEX('AC Estimate'!$AM$5:$AM$238,MATCH($A231,'AC Estimate'!$A$5:$A$238,0))</f>
        <v>0.375926149027249</v>
      </c>
      <c r="M231" s="7" t="str">
        <f aca="false">INDEX('AC Estimate'!$Q$5:$Q$238,MATCH($A231,'AC Estimate'!$A$5:$A$238,0))</f>
        <v>DMK</v>
      </c>
      <c r="N231" s="7" t="str">
        <f aca="false">INDEX('AC Estimate'!$R$5:$R$238,MATCH($A231,'AC Estimate'!$A$5:$A$238,0))</f>
        <v>DMK+</v>
      </c>
      <c r="O231" s="7" t="str">
        <f aca="false">INDEX('AC Estimate'!$AL$5:$AL$238,MATCH($A231,'AC Estimate'!$A$5:$A$238,0))</f>
        <v>Yes</v>
      </c>
    </row>
    <row r="232" customFormat="false" ht="15" hidden="false" customHeight="false" outlineLevel="0" collapsed="false">
      <c r="A232" s="17" t="n">
        <v>174</v>
      </c>
      <c r="B232" s="7" t="str">
        <f aca="false">INDEX('AC Estimate'!$B$5:$B$238,MATCH($A232,'AC Estimate'!$A$5:$A$238,0))</f>
        <v>Thanjavur</v>
      </c>
      <c r="C232" s="7" t="str">
        <f aca="false">INDEX('AC Estimate'!$C$5:$C$238,MATCH($A232,'AC Estimate'!$A$5:$A$238,0))</f>
        <v>Thanjavur</v>
      </c>
      <c r="D232" s="7" t="n">
        <f aca="false">INDEX('AC Estimate'!$I$5:$I$238,MATCH($A232,'AC Estimate'!$A$5:$A$238,0))</f>
        <v>94</v>
      </c>
      <c r="E232" s="27" t="n">
        <f aca="false">INDEX('AC Estimate'!$J$5:$J$238,MATCH($A232,'AC Estimate'!$A$5:$A$238,0))</f>
        <v>0.159574468085106</v>
      </c>
      <c r="F232" s="27" t="n">
        <f aca="false">INDEX('AC Estimate'!$K$5:$K$238,MATCH($A232,'AC Estimate'!$A$5:$A$238,0))</f>
        <v>0.297872340425532</v>
      </c>
      <c r="G232" s="27" t="n">
        <f aca="false">INDEX('AC Estimate'!$L$5:$L$238,MATCH($A232,'AC Estimate'!$A$5:$A$238,0))</f>
        <v>0.0212765957446809</v>
      </c>
      <c r="H232" s="27" t="n">
        <f aca="false">INDEX('AC Estimate'!$M$5:$M$238,MATCH($A232,'AC Estimate'!$A$5:$A$238,0))</f>
        <v>0.0531914893617021</v>
      </c>
      <c r="I232" s="27" t="n">
        <f aca="false">INDEX('AC Estimate'!$N$5:$N$238,MATCH($A232,'AC Estimate'!$A$5:$A$238,0))</f>
        <v>0.468085106382979</v>
      </c>
      <c r="J232" s="7" t="str">
        <f aca="false">INDEX('AC Estimate'!$P$5:$P$238,MATCH($A232,'AC Estimate'!$A$5:$A$238,0))</f>
        <v>TVK</v>
      </c>
      <c r="K232" s="7" t="str">
        <f aca="false">INDEX('AC Estimate'!$AK$5:$AK$238,MATCH($A232,'AC Estimate'!$A$5:$A$238,0))</f>
        <v>TVK</v>
      </c>
      <c r="L232" s="27" t="n">
        <f aca="false">INDEX('AC Estimate'!$AM$5:$AM$238,MATCH($A232,'AC Estimate'!$A$5:$A$238,0))</f>
        <v>0.693888833868554</v>
      </c>
      <c r="M232" s="7" t="str">
        <f aca="false">INDEX('AC Estimate'!$Q$5:$Q$238,MATCH($A232,'AC Estimate'!$A$5:$A$238,0))</f>
        <v>TVK</v>
      </c>
      <c r="N232" s="7" t="str">
        <f aca="false">INDEX('AC Estimate'!$R$5:$R$238,MATCH($A232,'AC Estimate'!$A$5:$A$238,0))</f>
        <v>TVK</v>
      </c>
      <c r="O232" s="7" t="str">
        <f aca="false">INDEX('AC Estimate'!$AL$5:$AL$238,MATCH($A232,'AC Estimate'!$A$5:$A$238,0))</f>
        <v>Yes</v>
      </c>
    </row>
    <row r="233" customFormat="false" ht="15" hidden="false" customHeight="false" outlineLevel="0" collapsed="false">
      <c r="A233" s="17" t="n">
        <v>175</v>
      </c>
      <c r="B233" s="7" t="str">
        <f aca="false">INDEX('AC Estimate'!$B$5:$B$238,MATCH($A233,'AC Estimate'!$A$5:$A$238,0))</f>
        <v>Orathanadu</v>
      </c>
      <c r="C233" s="7" t="str">
        <f aca="false">INDEX('AC Estimate'!$C$5:$C$238,MATCH($A233,'AC Estimate'!$A$5:$A$238,0))</f>
        <v>Thanjavur</v>
      </c>
      <c r="D233" s="7" t="n">
        <f aca="false">INDEX('AC Estimate'!$I$5:$I$238,MATCH($A233,'AC Estimate'!$A$5:$A$238,0))</f>
        <v>17</v>
      </c>
      <c r="E233" s="27" t="n">
        <f aca="false">INDEX('AC Estimate'!$J$5:$J$238,MATCH($A233,'AC Estimate'!$A$5:$A$238,0))</f>
        <v>0.117647058823529</v>
      </c>
      <c r="F233" s="27" t="n">
        <f aca="false">INDEX('AC Estimate'!$K$5:$K$238,MATCH($A233,'AC Estimate'!$A$5:$A$238,0))</f>
        <v>0.176470588235294</v>
      </c>
      <c r="G233" s="27" t="n">
        <f aca="false">INDEX('AC Estimate'!$L$5:$L$238,MATCH($A233,'AC Estimate'!$A$5:$A$238,0))</f>
        <v>0</v>
      </c>
      <c r="H233" s="27" t="n">
        <f aca="false">INDEX('AC Estimate'!$M$5:$M$238,MATCH($A233,'AC Estimate'!$A$5:$A$238,0))</f>
        <v>0.235294117647059</v>
      </c>
      <c r="I233" s="27" t="n">
        <f aca="false">INDEX('AC Estimate'!$N$5:$N$238,MATCH($A233,'AC Estimate'!$A$5:$A$238,0))</f>
        <v>0.470588235294118</v>
      </c>
      <c r="J233" s="7" t="str">
        <f aca="false">INDEX('AC Estimate'!$P$5:$P$238,MATCH($A233,'AC Estimate'!$A$5:$A$238,0))</f>
        <v>TVK</v>
      </c>
      <c r="K233" s="7" t="str">
        <f aca="false">INDEX('AC Estimate'!$AK$5:$AK$238,MATCH($A233,'AC Estimate'!$A$5:$A$238,0))</f>
        <v>DMK+</v>
      </c>
      <c r="L233" s="27" t="n">
        <f aca="false">INDEX('AC Estimate'!$AM$5:$AM$238,MATCH($A233,'AC Estimate'!$A$5:$A$238,0))</f>
        <v>0.540761532864885</v>
      </c>
      <c r="M233" s="7" t="str">
        <f aca="false">INDEX('AC Estimate'!$Q$5:$Q$238,MATCH($A233,'AC Estimate'!$A$5:$A$238,0))</f>
        <v>DMK</v>
      </c>
      <c r="N233" s="7" t="str">
        <f aca="false">INDEX('AC Estimate'!$R$5:$R$238,MATCH($A233,'AC Estimate'!$A$5:$A$238,0))</f>
        <v>DMK+</v>
      </c>
      <c r="O233" s="7" t="str">
        <f aca="false">INDEX('AC Estimate'!$AL$5:$AL$238,MATCH($A233,'AC Estimate'!$A$5:$A$238,0))</f>
        <v>Yes</v>
      </c>
    </row>
    <row r="234" customFormat="false" ht="15" hidden="false" customHeight="false" outlineLevel="0" collapsed="false">
      <c r="A234" s="17" t="n">
        <v>176</v>
      </c>
      <c r="B234" s="7" t="str">
        <f aca="false">INDEX('AC Estimate'!$B$5:$B$238,MATCH($A234,'AC Estimate'!$A$5:$A$238,0))</f>
        <v>Pattukkottai</v>
      </c>
      <c r="C234" s="7" t="str">
        <f aca="false">INDEX('AC Estimate'!$C$5:$C$238,MATCH($A234,'AC Estimate'!$A$5:$A$238,0))</f>
        <v>Thanjavur</v>
      </c>
      <c r="D234" s="7" t="n">
        <f aca="false">INDEX('AC Estimate'!$I$5:$I$238,MATCH($A234,'AC Estimate'!$A$5:$A$238,0))</f>
        <v>39</v>
      </c>
      <c r="E234" s="27" t="n">
        <f aca="false">INDEX('AC Estimate'!$J$5:$J$238,MATCH($A234,'AC Estimate'!$A$5:$A$238,0))</f>
        <v>0.153846153846154</v>
      </c>
      <c r="F234" s="27" t="n">
        <f aca="false">INDEX('AC Estimate'!$K$5:$K$238,MATCH($A234,'AC Estimate'!$A$5:$A$238,0))</f>
        <v>0.256410256410256</v>
      </c>
      <c r="G234" s="27" t="n">
        <f aca="false">INDEX('AC Estimate'!$L$5:$L$238,MATCH($A234,'AC Estimate'!$A$5:$A$238,0))</f>
        <v>0</v>
      </c>
      <c r="H234" s="27" t="n">
        <f aca="false">INDEX('AC Estimate'!$M$5:$M$238,MATCH($A234,'AC Estimate'!$A$5:$A$238,0))</f>
        <v>0.41025641025641</v>
      </c>
      <c r="I234" s="27" t="n">
        <f aca="false">INDEX('AC Estimate'!$N$5:$N$238,MATCH($A234,'AC Estimate'!$A$5:$A$238,0))</f>
        <v>0.17948717948718</v>
      </c>
      <c r="J234" s="7" t="str">
        <f aca="false">INDEX('AC Estimate'!$P$5:$P$238,MATCH($A234,'AC Estimate'!$A$5:$A$238,0))</f>
        <v>AIADMK+</v>
      </c>
      <c r="K234" s="7" t="str">
        <f aca="false">INDEX('AC Estimate'!$AK$5:$AK$238,MATCH($A234,'AC Estimate'!$A$5:$A$238,0))</f>
        <v>DMK+</v>
      </c>
      <c r="L234" s="27" t="n">
        <f aca="false">INDEX('AC Estimate'!$AM$5:$AM$238,MATCH($A234,'AC Estimate'!$A$5:$A$238,0))</f>
        <v>0.454615197612004</v>
      </c>
      <c r="M234" s="7" t="str">
        <f aca="false">INDEX('AC Estimate'!$Q$5:$Q$238,MATCH($A234,'AC Estimate'!$A$5:$A$238,0))</f>
        <v>DMK</v>
      </c>
      <c r="N234" s="7" t="str">
        <f aca="false">INDEX('AC Estimate'!$R$5:$R$238,MATCH($A234,'AC Estimate'!$A$5:$A$238,0))</f>
        <v>DMK+</v>
      </c>
      <c r="O234" s="7" t="str">
        <f aca="false">INDEX('AC Estimate'!$AL$5:$AL$238,MATCH($A234,'AC Estimate'!$A$5:$A$238,0))</f>
        <v>Yes</v>
      </c>
    </row>
    <row r="235" customFormat="false" ht="15" hidden="false" customHeight="false" outlineLevel="0" collapsed="false">
      <c r="A235" s="17" t="n">
        <v>177</v>
      </c>
      <c r="B235" s="7" t="str">
        <f aca="false">INDEX('AC Estimate'!$B$5:$B$238,MATCH($A235,'AC Estimate'!$A$5:$A$238,0))</f>
        <v>Peravurani</v>
      </c>
      <c r="C235" s="7" t="str">
        <f aca="false">INDEX('AC Estimate'!$C$5:$C$238,MATCH($A235,'AC Estimate'!$A$5:$A$238,0))</f>
        <v>Thanjavur</v>
      </c>
      <c r="D235" s="7" t="n">
        <f aca="false">INDEX('AC Estimate'!$I$5:$I$238,MATCH($A235,'AC Estimate'!$A$5:$A$238,0))</f>
        <v>26</v>
      </c>
      <c r="E235" s="27" t="n">
        <f aca="false">INDEX('AC Estimate'!$J$5:$J$238,MATCH($A235,'AC Estimate'!$A$5:$A$238,0))</f>
        <v>0.230769230769231</v>
      </c>
      <c r="F235" s="27" t="n">
        <f aca="false">INDEX('AC Estimate'!$K$5:$K$238,MATCH($A235,'AC Estimate'!$A$5:$A$238,0))</f>
        <v>0.346153846153846</v>
      </c>
      <c r="G235" s="27" t="n">
        <f aca="false">INDEX('AC Estimate'!$L$5:$L$238,MATCH($A235,'AC Estimate'!$A$5:$A$238,0))</f>
        <v>0</v>
      </c>
      <c r="H235" s="27" t="n">
        <f aca="false">INDEX('AC Estimate'!$M$5:$M$238,MATCH($A235,'AC Estimate'!$A$5:$A$238,0))</f>
        <v>0.153846153846154</v>
      </c>
      <c r="I235" s="27" t="n">
        <f aca="false">INDEX('AC Estimate'!$N$5:$N$238,MATCH($A235,'AC Estimate'!$A$5:$A$238,0))</f>
        <v>0.269230769230769</v>
      </c>
      <c r="J235" s="7" t="str">
        <f aca="false">INDEX('AC Estimate'!$P$5:$P$238,MATCH($A235,'AC Estimate'!$A$5:$A$238,0))</f>
        <v>DMK+</v>
      </c>
      <c r="K235" s="7" t="str">
        <f aca="false">INDEX('AC Estimate'!$AK$5:$AK$238,MATCH($A235,'AC Estimate'!$A$5:$A$238,0))</f>
        <v>DMK+</v>
      </c>
      <c r="L235" s="27" t="n">
        <f aca="false">INDEX('AC Estimate'!$AM$5:$AM$238,MATCH($A235,'AC Estimate'!$A$5:$A$238,0))</f>
        <v>0.524946976284938</v>
      </c>
      <c r="M235" s="7" t="str">
        <f aca="false">INDEX('AC Estimate'!$Q$5:$Q$238,MATCH($A235,'AC Estimate'!$A$5:$A$238,0))</f>
        <v>DMK</v>
      </c>
      <c r="N235" s="7" t="str">
        <f aca="false">INDEX('AC Estimate'!$R$5:$R$238,MATCH($A235,'AC Estimate'!$A$5:$A$238,0))</f>
        <v>DMK+</v>
      </c>
      <c r="O235" s="7" t="str">
        <f aca="false">INDEX('AC Estimate'!$AL$5:$AL$238,MATCH($A235,'AC Estimate'!$A$5:$A$238,0))</f>
        <v>Yes</v>
      </c>
    </row>
    <row r="236" customFormat="false" ht="15" hidden="false" customHeight="false" outlineLevel="0" collapsed="false">
      <c r="A236" s="33"/>
      <c r="B236" s="34" t="s">
        <v>141</v>
      </c>
      <c r="C236" s="33"/>
      <c r="D236" s="34" t="n">
        <f aca="false">SUM(D228:D235)</f>
        <v>365</v>
      </c>
      <c r="E236" s="33"/>
      <c r="F236" s="33"/>
      <c r="G236" s="33"/>
      <c r="H236" s="33"/>
      <c r="I236" s="33"/>
      <c r="J236" s="34" t="s">
        <v>92</v>
      </c>
      <c r="K236" s="34" t="str">
        <f aca="false">COUNTIF(K228:K235,"TVK")&amp;" / "&amp;COUNTIF(K228:K235,"AIADMK+")&amp;" / "&amp;COUNTIF(K228:K235,"DMK+")</f>
        <v>2 / 0 / 6</v>
      </c>
      <c r="L236" s="33"/>
      <c r="M236" s="34" t="s">
        <v>93</v>
      </c>
      <c r="N236" s="34" t="str">
        <f aca="false">COUNTIF(N228:N235,"TVK")&amp;" / "&amp;COUNTIF(N228:N235,"AIADMK+")&amp;" / "&amp;COUNTIF(N228:N235,"DMK+")</f>
        <v>2 / 0 / 6</v>
      </c>
      <c r="O236" s="34" t="str">
        <f aca="false">IF(AND(ABS(COUNTIF(K228:K235,"TVK")-COUNTIF(N228:N235,"TVK"))&lt;=Calibration!$B$3,ABS(COUNTIF(K228:K235,"AIADMK+")-COUNTIF(N228:N235,"AIADMK+"))&lt;=Calibration!$B$3,ABS(COUNTIF(K228:K235,"DMK+")-COUNTIF(N228:N235,"DMK+"))&lt;=Calibration!$B$3),"Within","Off")</f>
        <v>Within</v>
      </c>
    </row>
    <row r="238" customFormat="false" ht="15" hidden="false" customHeight="false" outlineLevel="0" collapsed="false">
      <c r="A238" s="31" t="s">
        <v>142</v>
      </c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customFormat="false" ht="15" hidden="false" customHeight="false" outlineLevel="0" collapsed="false">
      <c r="A239" s="17" t="n">
        <v>108</v>
      </c>
      <c r="B239" s="7" t="str">
        <f aca="false">INDEX('AC Estimate'!$B$5:$B$238,MATCH($A239,'AC Estimate'!$A$5:$A$238,0))</f>
        <v>Udhagamandalam</v>
      </c>
      <c r="C239" s="7" t="str">
        <f aca="false">INDEX('AC Estimate'!$C$5:$C$238,MATCH($A239,'AC Estimate'!$A$5:$A$238,0))</f>
        <v>The Nilgiris</v>
      </c>
      <c r="D239" s="7" t="n">
        <f aca="false">INDEX('AC Estimate'!$I$5:$I$238,MATCH($A239,'AC Estimate'!$A$5:$A$238,0))</f>
        <v>27</v>
      </c>
      <c r="E239" s="27" t="n">
        <f aca="false">INDEX('AC Estimate'!$J$5:$J$238,MATCH($A239,'AC Estimate'!$A$5:$A$238,0))</f>
        <v>0.333333333333333</v>
      </c>
      <c r="F239" s="27" t="n">
        <f aca="false">INDEX('AC Estimate'!$K$5:$K$238,MATCH($A239,'AC Estimate'!$A$5:$A$238,0))</f>
        <v>0.185185185185185</v>
      </c>
      <c r="G239" s="27" t="n">
        <f aca="false">INDEX('AC Estimate'!$L$5:$L$238,MATCH($A239,'AC Estimate'!$A$5:$A$238,0))</f>
        <v>0</v>
      </c>
      <c r="H239" s="27" t="n">
        <f aca="false">INDEX('AC Estimate'!$M$5:$M$238,MATCH($A239,'AC Estimate'!$A$5:$A$238,0))</f>
        <v>0.0740740740740741</v>
      </c>
      <c r="I239" s="27" t="n">
        <f aca="false">INDEX('AC Estimate'!$N$5:$N$238,MATCH($A239,'AC Estimate'!$A$5:$A$238,0))</f>
        <v>0.407407407407407</v>
      </c>
      <c r="J239" s="7" t="str">
        <f aca="false">INDEX('AC Estimate'!$P$5:$P$238,MATCH($A239,'AC Estimate'!$A$5:$A$238,0))</f>
        <v>TVK</v>
      </c>
      <c r="K239" s="7" t="str">
        <f aca="false">INDEX('AC Estimate'!$AK$5:$AK$238,MATCH($A239,'AC Estimate'!$A$5:$A$238,0))</f>
        <v>DMK+</v>
      </c>
      <c r="L239" s="27" t="n">
        <f aca="false">INDEX('AC Estimate'!$AM$5:$AM$238,MATCH($A239,'AC Estimate'!$A$5:$A$238,0))</f>
        <v>0.369168000396877</v>
      </c>
      <c r="M239" s="7" t="str">
        <f aca="false">INDEX('AC Estimate'!$Q$5:$Q$238,MATCH($A239,'AC Estimate'!$A$5:$A$238,0))</f>
        <v>BJP</v>
      </c>
      <c r="N239" s="7" t="str">
        <f aca="false">INDEX('AC Estimate'!$R$5:$R$238,MATCH($A239,'AC Estimate'!$A$5:$A$238,0))</f>
        <v>AIADMK+</v>
      </c>
      <c r="O239" s="7" t="str">
        <f aca="false">INDEX('AC Estimate'!$AL$5:$AL$238,MATCH($A239,'AC Estimate'!$A$5:$A$238,0))</f>
        <v>No</v>
      </c>
    </row>
    <row r="240" customFormat="false" ht="15" hidden="false" customHeight="false" outlineLevel="0" collapsed="false">
      <c r="A240" s="17" t="n">
        <v>109</v>
      </c>
      <c r="B240" s="7" t="str">
        <f aca="false">INDEX('AC Estimate'!$B$5:$B$238,MATCH($A240,'AC Estimate'!$A$5:$A$238,0))</f>
        <v>Gudalur</v>
      </c>
      <c r="C240" s="7" t="str">
        <f aca="false">INDEX('AC Estimate'!$C$5:$C$238,MATCH($A240,'AC Estimate'!$A$5:$A$238,0))</f>
        <v>The Nilgiris</v>
      </c>
      <c r="D240" s="7" t="n">
        <f aca="false">INDEX('AC Estimate'!$I$5:$I$238,MATCH($A240,'AC Estimate'!$A$5:$A$238,0))</f>
        <v>28</v>
      </c>
      <c r="E240" s="27" t="n">
        <f aca="false">INDEX('AC Estimate'!$J$5:$J$238,MATCH($A240,'AC Estimate'!$A$5:$A$238,0))</f>
        <v>0.0357142857142857</v>
      </c>
      <c r="F240" s="27" t="n">
        <f aca="false">INDEX('AC Estimate'!$K$5:$K$238,MATCH($A240,'AC Estimate'!$A$5:$A$238,0))</f>
        <v>0.428571428571429</v>
      </c>
      <c r="G240" s="27" t="n">
        <f aca="false">INDEX('AC Estimate'!$L$5:$L$238,MATCH($A240,'AC Estimate'!$A$5:$A$238,0))</f>
        <v>0.0357142857142857</v>
      </c>
      <c r="H240" s="27" t="n">
        <f aca="false">INDEX('AC Estimate'!$M$5:$M$238,MATCH($A240,'AC Estimate'!$A$5:$A$238,0))</f>
        <v>0.178571428571429</v>
      </c>
      <c r="I240" s="27" t="n">
        <f aca="false">INDEX('AC Estimate'!$N$5:$N$238,MATCH($A240,'AC Estimate'!$A$5:$A$238,0))</f>
        <v>0.321428571428571</v>
      </c>
      <c r="J240" s="7" t="str">
        <f aca="false">INDEX('AC Estimate'!$P$5:$P$238,MATCH($A240,'AC Estimate'!$A$5:$A$238,0))</f>
        <v>DMK+</v>
      </c>
      <c r="K240" s="7" t="str">
        <f aca="false">INDEX('AC Estimate'!$AK$5:$AK$238,MATCH($A240,'AC Estimate'!$A$5:$A$238,0))</f>
        <v>DMK+</v>
      </c>
      <c r="L240" s="27" t="n">
        <f aca="false">INDEX('AC Estimate'!$AM$5:$AM$238,MATCH($A240,'AC Estimate'!$A$5:$A$238,0))</f>
        <v>0.572315461947018</v>
      </c>
      <c r="M240" s="7" t="str">
        <f aca="false">INDEX('AC Estimate'!$Q$5:$Q$238,MATCH($A240,'AC Estimate'!$A$5:$A$238,0))</f>
        <v>DMK</v>
      </c>
      <c r="N240" s="7" t="str">
        <f aca="false">INDEX('AC Estimate'!$R$5:$R$238,MATCH($A240,'AC Estimate'!$A$5:$A$238,0))</f>
        <v>DMK+</v>
      </c>
      <c r="O240" s="7" t="str">
        <f aca="false">INDEX('AC Estimate'!$AL$5:$AL$238,MATCH($A240,'AC Estimate'!$A$5:$A$238,0))</f>
        <v>Yes</v>
      </c>
    </row>
    <row r="241" customFormat="false" ht="15" hidden="false" customHeight="false" outlineLevel="0" collapsed="false">
      <c r="A241" s="17" t="n">
        <v>110</v>
      </c>
      <c r="B241" s="7" t="str">
        <f aca="false">INDEX('AC Estimate'!$B$5:$B$238,MATCH($A241,'AC Estimate'!$A$5:$A$238,0))</f>
        <v>Coonoor</v>
      </c>
      <c r="C241" s="7" t="str">
        <f aca="false">INDEX('AC Estimate'!$C$5:$C$238,MATCH($A241,'AC Estimate'!$A$5:$A$238,0))</f>
        <v>The Nilgiris</v>
      </c>
      <c r="D241" s="7" t="n">
        <f aca="false">INDEX('AC Estimate'!$I$5:$I$238,MATCH($A241,'AC Estimate'!$A$5:$A$238,0))</f>
        <v>34</v>
      </c>
      <c r="E241" s="27" t="n">
        <f aca="false">INDEX('AC Estimate'!$J$5:$J$238,MATCH($A241,'AC Estimate'!$A$5:$A$238,0))</f>
        <v>0.352941176470588</v>
      </c>
      <c r="F241" s="27" t="n">
        <f aca="false">INDEX('AC Estimate'!$K$5:$K$238,MATCH($A241,'AC Estimate'!$A$5:$A$238,0))</f>
        <v>0.117647058823529</v>
      </c>
      <c r="G241" s="27" t="n">
        <f aca="false">INDEX('AC Estimate'!$L$5:$L$238,MATCH($A241,'AC Estimate'!$A$5:$A$238,0))</f>
        <v>0</v>
      </c>
      <c r="H241" s="27" t="n">
        <f aca="false">INDEX('AC Estimate'!$M$5:$M$238,MATCH($A241,'AC Estimate'!$A$5:$A$238,0))</f>
        <v>0.117647058823529</v>
      </c>
      <c r="I241" s="27" t="n">
        <f aca="false">INDEX('AC Estimate'!$N$5:$N$238,MATCH($A241,'AC Estimate'!$A$5:$A$238,0))</f>
        <v>0.411764705882353</v>
      </c>
      <c r="J241" s="7" t="str">
        <f aca="false">INDEX('AC Estimate'!$P$5:$P$238,MATCH($A241,'AC Estimate'!$A$5:$A$238,0))</f>
        <v>TVK</v>
      </c>
      <c r="K241" s="7" t="str">
        <f aca="false">INDEX('AC Estimate'!$AK$5:$AK$238,MATCH($A241,'AC Estimate'!$A$5:$A$238,0))</f>
        <v>AIADMK+</v>
      </c>
      <c r="L241" s="27" t="n">
        <f aca="false">INDEX('AC Estimate'!$AM$5:$AM$238,MATCH($A241,'AC Estimate'!$A$5:$A$238,0))</f>
        <v>0.395833257248383</v>
      </c>
      <c r="M241" s="7" t="str">
        <f aca="false">INDEX('AC Estimate'!$Q$5:$Q$238,MATCH($A241,'AC Estimate'!$A$5:$A$238,0))</f>
        <v>DMK</v>
      </c>
      <c r="N241" s="7" t="str">
        <f aca="false">INDEX('AC Estimate'!$R$5:$R$238,MATCH($A241,'AC Estimate'!$A$5:$A$238,0))</f>
        <v>DMK+</v>
      </c>
      <c r="O241" s="7" t="str">
        <f aca="false">INDEX('AC Estimate'!$AL$5:$AL$238,MATCH($A241,'AC Estimate'!$A$5:$A$238,0))</f>
        <v>No</v>
      </c>
    </row>
    <row r="242" customFormat="false" ht="15" hidden="false" customHeight="false" outlineLevel="0" collapsed="false">
      <c r="A242" s="33"/>
      <c r="B242" s="34" t="s">
        <v>143</v>
      </c>
      <c r="C242" s="33"/>
      <c r="D242" s="34" t="n">
        <f aca="false">SUM(D239:D241)</f>
        <v>89</v>
      </c>
      <c r="E242" s="33"/>
      <c r="F242" s="33"/>
      <c r="G242" s="33"/>
      <c r="H242" s="33"/>
      <c r="I242" s="33"/>
      <c r="J242" s="34" t="s">
        <v>92</v>
      </c>
      <c r="K242" s="34" t="str">
        <f aca="false">COUNTIF(K239:K241,"TVK")&amp;" / "&amp;COUNTIF(K239:K241,"AIADMK+")&amp;" / "&amp;COUNTIF(K239:K241,"DMK+")</f>
        <v>0 / 1 / 2</v>
      </c>
      <c r="L242" s="33"/>
      <c r="M242" s="34" t="s">
        <v>93</v>
      </c>
      <c r="N242" s="34" t="str">
        <f aca="false">COUNTIF(N239:N241,"TVK")&amp;" / "&amp;COUNTIF(N239:N241,"AIADMK+")&amp;" / "&amp;COUNTIF(N239:N241,"DMK+")</f>
        <v>0 / 1 / 2</v>
      </c>
      <c r="O242" s="34" t="str">
        <f aca="false">IF(AND(ABS(COUNTIF(K239:K241,"TVK")-COUNTIF(N239:N241,"TVK"))&lt;=Calibration!$B$3,ABS(COUNTIF(K239:K241,"AIADMK+")-COUNTIF(N239:N241,"AIADMK+"))&lt;=Calibration!$B$3,ABS(COUNTIF(K239:K241,"DMK+")-COUNTIF(N239:N241,"DMK+"))&lt;=Calibration!$B$3),"Within","Off")</f>
        <v>Within</v>
      </c>
    </row>
    <row r="244" customFormat="false" ht="15" hidden="false" customHeight="false" outlineLevel="0" collapsed="false">
      <c r="A244" s="31" t="s">
        <v>144</v>
      </c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customFormat="false" ht="15" hidden="false" customHeight="false" outlineLevel="0" collapsed="false">
      <c r="A245" s="17" t="n">
        <v>198</v>
      </c>
      <c r="B245" s="7" t="str">
        <f aca="false">INDEX('AC Estimate'!$B$5:$B$238,MATCH($A245,'AC Estimate'!$A$5:$A$238,0))</f>
        <v>Andipatti</v>
      </c>
      <c r="C245" s="7" t="str">
        <f aca="false">INDEX('AC Estimate'!$C$5:$C$238,MATCH($A245,'AC Estimate'!$A$5:$A$238,0))</f>
        <v>Theni</v>
      </c>
      <c r="D245" s="7" t="n">
        <f aca="false">INDEX('AC Estimate'!$I$5:$I$238,MATCH($A245,'AC Estimate'!$A$5:$A$238,0))</f>
        <v>31</v>
      </c>
      <c r="E245" s="27" t="n">
        <f aca="false">INDEX('AC Estimate'!$J$5:$J$238,MATCH($A245,'AC Estimate'!$A$5:$A$238,0))</f>
        <v>0.032258064516129</v>
      </c>
      <c r="F245" s="27" t="n">
        <f aca="false">INDEX('AC Estimate'!$K$5:$K$238,MATCH($A245,'AC Estimate'!$A$5:$A$238,0))</f>
        <v>0.451612903225806</v>
      </c>
      <c r="G245" s="27" t="n">
        <f aca="false">INDEX('AC Estimate'!$L$5:$L$238,MATCH($A245,'AC Estimate'!$A$5:$A$238,0))</f>
        <v>0</v>
      </c>
      <c r="H245" s="27" t="n">
        <f aca="false">INDEX('AC Estimate'!$M$5:$M$238,MATCH($A245,'AC Estimate'!$A$5:$A$238,0))</f>
        <v>0.161290322580645</v>
      </c>
      <c r="I245" s="27" t="n">
        <f aca="false">INDEX('AC Estimate'!$N$5:$N$238,MATCH($A245,'AC Estimate'!$A$5:$A$238,0))</f>
        <v>0.354838709677419</v>
      </c>
      <c r="J245" s="7" t="str">
        <f aca="false">INDEX('AC Estimate'!$P$5:$P$238,MATCH($A245,'AC Estimate'!$A$5:$A$238,0))</f>
        <v>DMK+</v>
      </c>
      <c r="K245" s="7" t="str">
        <f aca="false">INDEX('AC Estimate'!$AK$5:$AK$238,MATCH($A245,'AC Estimate'!$A$5:$A$238,0))</f>
        <v>DMK+</v>
      </c>
      <c r="L245" s="27" t="n">
        <f aca="false">INDEX('AC Estimate'!$AM$5:$AM$238,MATCH($A245,'AC Estimate'!$A$5:$A$238,0))</f>
        <v>0.600773816051321</v>
      </c>
      <c r="M245" s="7" t="str">
        <f aca="false">INDEX('AC Estimate'!$Q$5:$Q$238,MATCH($A245,'AC Estimate'!$A$5:$A$238,0))</f>
        <v>DMK</v>
      </c>
      <c r="N245" s="7" t="str">
        <f aca="false">INDEX('AC Estimate'!$R$5:$R$238,MATCH($A245,'AC Estimate'!$A$5:$A$238,0))</f>
        <v>DMK+</v>
      </c>
      <c r="O245" s="7" t="str">
        <f aca="false">INDEX('AC Estimate'!$AL$5:$AL$238,MATCH($A245,'AC Estimate'!$A$5:$A$238,0))</f>
        <v>Yes</v>
      </c>
    </row>
    <row r="246" customFormat="false" ht="15" hidden="false" customHeight="false" outlineLevel="0" collapsed="false">
      <c r="A246" s="17" t="n">
        <v>199</v>
      </c>
      <c r="B246" s="7" t="str">
        <f aca="false">INDEX('AC Estimate'!$B$5:$B$238,MATCH($A246,'AC Estimate'!$A$5:$A$238,0))</f>
        <v>Periyakulam</v>
      </c>
      <c r="C246" s="7" t="str">
        <f aca="false">INDEX('AC Estimate'!$C$5:$C$238,MATCH($A246,'AC Estimate'!$A$5:$A$238,0))</f>
        <v>Theni</v>
      </c>
      <c r="D246" s="7" t="n">
        <f aca="false">INDEX('AC Estimate'!$I$5:$I$238,MATCH($A246,'AC Estimate'!$A$5:$A$238,0))</f>
        <v>54</v>
      </c>
      <c r="E246" s="27" t="n">
        <f aca="false">INDEX('AC Estimate'!$J$5:$J$238,MATCH($A246,'AC Estimate'!$A$5:$A$238,0))</f>
        <v>0.185185185185185</v>
      </c>
      <c r="F246" s="27" t="n">
        <f aca="false">INDEX('AC Estimate'!$K$5:$K$238,MATCH($A246,'AC Estimate'!$A$5:$A$238,0))</f>
        <v>0.37037037037037</v>
      </c>
      <c r="G246" s="27" t="n">
        <f aca="false">INDEX('AC Estimate'!$L$5:$L$238,MATCH($A246,'AC Estimate'!$A$5:$A$238,0))</f>
        <v>0</v>
      </c>
      <c r="H246" s="27" t="n">
        <f aca="false">INDEX('AC Estimate'!$M$5:$M$238,MATCH($A246,'AC Estimate'!$A$5:$A$238,0))</f>
        <v>0.111111111111111</v>
      </c>
      <c r="I246" s="27" t="n">
        <f aca="false">INDEX('AC Estimate'!$N$5:$N$238,MATCH($A246,'AC Estimate'!$A$5:$A$238,0))</f>
        <v>0.333333333333333</v>
      </c>
      <c r="J246" s="7" t="str">
        <f aca="false">INDEX('AC Estimate'!$P$5:$P$238,MATCH($A246,'AC Estimate'!$A$5:$A$238,0))</f>
        <v>DMK+</v>
      </c>
      <c r="K246" s="7" t="str">
        <f aca="false">INDEX('AC Estimate'!$AK$5:$AK$238,MATCH($A246,'AC Estimate'!$A$5:$A$238,0))</f>
        <v>TVK</v>
      </c>
      <c r="L246" s="27" t="n">
        <f aca="false">INDEX('AC Estimate'!$AM$5:$AM$238,MATCH($A246,'AC Estimate'!$A$5:$A$238,0))</f>
        <v>0.429163154926368</v>
      </c>
      <c r="M246" s="7" t="str">
        <f aca="false">INDEX('AC Estimate'!$Q$5:$Q$238,MATCH($A246,'AC Estimate'!$A$5:$A$238,0))</f>
        <v>TVK</v>
      </c>
      <c r="N246" s="7" t="str">
        <f aca="false">INDEX('AC Estimate'!$R$5:$R$238,MATCH($A246,'AC Estimate'!$A$5:$A$238,0))</f>
        <v>TVK</v>
      </c>
      <c r="O246" s="7" t="str">
        <f aca="false">INDEX('AC Estimate'!$AL$5:$AL$238,MATCH($A246,'AC Estimate'!$A$5:$A$238,0))</f>
        <v>Yes</v>
      </c>
    </row>
    <row r="247" customFormat="false" ht="15" hidden="false" customHeight="false" outlineLevel="0" collapsed="false">
      <c r="A247" s="17" t="n">
        <v>200</v>
      </c>
      <c r="B247" s="7" t="str">
        <f aca="false">INDEX('AC Estimate'!$B$5:$B$238,MATCH($A247,'AC Estimate'!$A$5:$A$238,0))</f>
        <v>Bodinayakanur</v>
      </c>
      <c r="C247" s="7" t="str">
        <f aca="false">INDEX('AC Estimate'!$C$5:$C$238,MATCH($A247,'AC Estimate'!$A$5:$A$238,0))</f>
        <v>Theni</v>
      </c>
      <c r="D247" s="7" t="n">
        <f aca="false">INDEX('AC Estimate'!$I$5:$I$238,MATCH($A247,'AC Estimate'!$A$5:$A$238,0))</f>
        <v>71</v>
      </c>
      <c r="E247" s="27" t="n">
        <f aca="false">INDEX('AC Estimate'!$J$5:$J$238,MATCH($A247,'AC Estimate'!$A$5:$A$238,0))</f>
        <v>0.112676056338028</v>
      </c>
      <c r="F247" s="27" t="n">
        <f aca="false">INDEX('AC Estimate'!$K$5:$K$238,MATCH($A247,'AC Estimate'!$A$5:$A$238,0))</f>
        <v>0.436619718309859</v>
      </c>
      <c r="G247" s="27" t="n">
        <f aca="false">INDEX('AC Estimate'!$L$5:$L$238,MATCH($A247,'AC Estimate'!$A$5:$A$238,0))</f>
        <v>0</v>
      </c>
      <c r="H247" s="27" t="n">
        <f aca="false">INDEX('AC Estimate'!$M$5:$M$238,MATCH($A247,'AC Estimate'!$A$5:$A$238,0))</f>
        <v>0.0422535211267606</v>
      </c>
      <c r="I247" s="27" t="n">
        <f aca="false">INDEX('AC Estimate'!$N$5:$N$238,MATCH($A247,'AC Estimate'!$A$5:$A$238,0))</f>
        <v>0.408450704225352</v>
      </c>
      <c r="J247" s="7" t="str">
        <f aca="false">INDEX('AC Estimate'!$P$5:$P$238,MATCH($A247,'AC Estimate'!$A$5:$A$238,0))</f>
        <v>DMK+</v>
      </c>
      <c r="K247" s="7" t="str">
        <f aca="false">INDEX('AC Estimate'!$AK$5:$AK$238,MATCH($A247,'AC Estimate'!$A$5:$A$238,0))</f>
        <v>TVK</v>
      </c>
      <c r="L247" s="27" t="n">
        <f aca="false">INDEX('AC Estimate'!$AM$5:$AM$238,MATCH($A247,'AC Estimate'!$A$5:$A$238,0))</f>
        <v>0.548770010111994</v>
      </c>
      <c r="M247" s="7" t="str">
        <f aca="false">INDEX('AC Estimate'!$Q$5:$Q$238,MATCH($A247,'AC Estimate'!$A$5:$A$238,0))</f>
        <v>DMK</v>
      </c>
      <c r="N247" s="7" t="str">
        <f aca="false">INDEX('AC Estimate'!$R$5:$R$238,MATCH($A247,'AC Estimate'!$A$5:$A$238,0))</f>
        <v>DMK+</v>
      </c>
      <c r="O247" s="7" t="str">
        <f aca="false">INDEX('AC Estimate'!$AL$5:$AL$238,MATCH($A247,'AC Estimate'!$A$5:$A$238,0))</f>
        <v>No</v>
      </c>
    </row>
    <row r="248" customFormat="false" ht="15" hidden="false" customHeight="false" outlineLevel="0" collapsed="false">
      <c r="A248" s="17" t="n">
        <v>201</v>
      </c>
      <c r="B248" s="7" t="str">
        <f aca="false">INDEX('AC Estimate'!$B$5:$B$238,MATCH($A248,'AC Estimate'!$A$5:$A$238,0))</f>
        <v>Cumbum</v>
      </c>
      <c r="C248" s="7" t="str">
        <f aca="false">INDEX('AC Estimate'!$C$5:$C$238,MATCH($A248,'AC Estimate'!$A$5:$A$238,0))</f>
        <v>Theni</v>
      </c>
      <c r="D248" s="7" t="n">
        <f aca="false">INDEX('AC Estimate'!$I$5:$I$238,MATCH($A248,'AC Estimate'!$A$5:$A$238,0))</f>
        <v>41</v>
      </c>
      <c r="E248" s="27" t="n">
        <f aca="false">INDEX('AC Estimate'!$J$5:$J$238,MATCH($A248,'AC Estimate'!$A$5:$A$238,0))</f>
        <v>0.365853658536585</v>
      </c>
      <c r="F248" s="27" t="n">
        <f aca="false">INDEX('AC Estimate'!$K$5:$K$238,MATCH($A248,'AC Estimate'!$A$5:$A$238,0))</f>
        <v>0.170731707317073</v>
      </c>
      <c r="G248" s="27" t="n">
        <f aca="false">INDEX('AC Estimate'!$L$5:$L$238,MATCH($A248,'AC Estimate'!$A$5:$A$238,0))</f>
        <v>0</v>
      </c>
      <c r="H248" s="27" t="n">
        <f aca="false">INDEX('AC Estimate'!$M$5:$M$238,MATCH($A248,'AC Estimate'!$A$5:$A$238,0))</f>
        <v>0.0975609756097561</v>
      </c>
      <c r="I248" s="27" t="n">
        <f aca="false">INDEX('AC Estimate'!$N$5:$N$238,MATCH($A248,'AC Estimate'!$A$5:$A$238,0))</f>
        <v>0.365853658536585</v>
      </c>
      <c r="J248" s="7" t="str">
        <f aca="false">INDEX('AC Estimate'!$P$5:$P$238,MATCH($A248,'AC Estimate'!$A$5:$A$238,0))</f>
        <v>TVK</v>
      </c>
      <c r="K248" s="7" t="str">
        <f aca="false">INDEX('AC Estimate'!$AK$5:$AK$238,MATCH($A248,'AC Estimate'!$A$5:$A$238,0))</f>
        <v>DMK+</v>
      </c>
      <c r="L248" s="27" t="n">
        <f aca="false">INDEX('AC Estimate'!$AM$5:$AM$238,MATCH($A248,'AC Estimate'!$A$5:$A$238,0))</f>
        <v>0.32342990429859</v>
      </c>
      <c r="M248" s="7" t="str">
        <f aca="false">INDEX('AC Estimate'!$Q$5:$Q$238,MATCH($A248,'AC Estimate'!$A$5:$A$238,0))</f>
        <v>TVK</v>
      </c>
      <c r="N248" s="7" t="str">
        <f aca="false">INDEX('AC Estimate'!$R$5:$R$238,MATCH($A248,'AC Estimate'!$A$5:$A$238,0))</f>
        <v>TVK</v>
      </c>
      <c r="O248" s="7" t="str">
        <f aca="false">INDEX('AC Estimate'!$AL$5:$AL$238,MATCH($A248,'AC Estimate'!$A$5:$A$238,0))</f>
        <v>No</v>
      </c>
    </row>
    <row r="249" customFormat="false" ht="15" hidden="false" customHeight="false" outlineLevel="0" collapsed="false">
      <c r="A249" s="33"/>
      <c r="B249" s="34" t="s">
        <v>145</v>
      </c>
      <c r="C249" s="33"/>
      <c r="D249" s="34" t="n">
        <f aca="false">SUM(D245:D248)</f>
        <v>197</v>
      </c>
      <c r="E249" s="33"/>
      <c r="F249" s="33"/>
      <c r="G249" s="33"/>
      <c r="H249" s="33"/>
      <c r="I249" s="33"/>
      <c r="J249" s="34" t="s">
        <v>92</v>
      </c>
      <c r="K249" s="34" t="str">
        <f aca="false">COUNTIF(K245:K248,"TVK")&amp;" / "&amp;COUNTIF(K245:K248,"AIADMK+")&amp;" / "&amp;COUNTIF(K245:K248,"DMK+")</f>
        <v>2 / 0 / 2</v>
      </c>
      <c r="L249" s="33"/>
      <c r="M249" s="34" t="s">
        <v>93</v>
      </c>
      <c r="N249" s="34" t="str">
        <f aca="false">COUNTIF(N245:N248,"TVK")&amp;" / "&amp;COUNTIF(N245:N248,"AIADMK+")&amp;" / "&amp;COUNTIF(N245:N248,"DMK+")</f>
        <v>2 / 0 / 2</v>
      </c>
      <c r="O249" s="34" t="str">
        <f aca="false">IF(AND(ABS(COUNTIF(K245:K248,"TVK")-COUNTIF(N245:N248,"TVK"))&lt;=Calibration!$B$3,ABS(COUNTIF(K245:K248,"AIADMK+")-COUNTIF(N245:N248,"AIADMK+"))&lt;=Calibration!$B$3,ABS(COUNTIF(K245:K248,"DMK+")-COUNTIF(N245:N248,"DMK+"))&lt;=Calibration!$B$3),"Within","Off")</f>
        <v>Within</v>
      </c>
    </row>
    <row r="251" customFormat="false" ht="15" hidden="false" customHeight="false" outlineLevel="0" collapsed="false">
      <c r="A251" s="31" t="s">
        <v>146</v>
      </c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customFormat="false" ht="15" hidden="false" customHeight="false" outlineLevel="0" collapsed="false">
      <c r="A252" s="17" t="n">
        <v>1</v>
      </c>
      <c r="B252" s="7" t="str">
        <f aca="false">INDEX('AC Estimate'!$B$5:$B$238,MATCH($A252,'AC Estimate'!$A$5:$A$238,0))</f>
        <v>Gummidipoondi</v>
      </c>
      <c r="C252" s="7" t="str">
        <f aca="false">INDEX('AC Estimate'!$C$5:$C$238,MATCH($A252,'AC Estimate'!$A$5:$A$238,0))</f>
        <v>Thiruvallur</v>
      </c>
      <c r="D252" s="7" t="n">
        <f aca="false">INDEX('AC Estimate'!$I$5:$I$238,MATCH($A252,'AC Estimate'!$A$5:$A$238,0))</f>
        <v>45</v>
      </c>
      <c r="E252" s="27" t="n">
        <f aca="false">INDEX('AC Estimate'!$J$5:$J$238,MATCH($A252,'AC Estimate'!$A$5:$A$238,0))</f>
        <v>0.2</v>
      </c>
      <c r="F252" s="27" t="n">
        <f aca="false">INDEX('AC Estimate'!$K$5:$K$238,MATCH($A252,'AC Estimate'!$A$5:$A$238,0))</f>
        <v>0.266666666666667</v>
      </c>
      <c r="G252" s="27" t="n">
        <f aca="false">INDEX('AC Estimate'!$L$5:$L$238,MATCH($A252,'AC Estimate'!$A$5:$A$238,0))</f>
        <v>0</v>
      </c>
      <c r="H252" s="27" t="n">
        <f aca="false">INDEX('AC Estimate'!$M$5:$M$238,MATCH($A252,'AC Estimate'!$A$5:$A$238,0))</f>
        <v>0.0444444444444444</v>
      </c>
      <c r="I252" s="27" t="n">
        <f aca="false">INDEX('AC Estimate'!$N$5:$N$238,MATCH($A252,'AC Estimate'!$A$5:$A$238,0))</f>
        <v>0.488888888888889</v>
      </c>
      <c r="J252" s="7" t="str">
        <f aca="false">INDEX('AC Estimate'!$P$5:$P$238,MATCH($A252,'AC Estimate'!$A$5:$A$238,0))</f>
        <v>TVK</v>
      </c>
      <c r="K252" s="7" t="str">
        <f aca="false">INDEX('AC Estimate'!$AK$5:$AK$238,MATCH($A252,'AC Estimate'!$A$5:$A$238,0))</f>
        <v>AIADMK+</v>
      </c>
      <c r="L252" s="27" t="n">
        <f aca="false">INDEX('AC Estimate'!$AM$5:$AM$238,MATCH($A252,'AC Estimate'!$A$5:$A$238,0))</f>
        <v>0.23962503244864</v>
      </c>
      <c r="M252" s="7" t="str">
        <f aca="false">INDEX('AC Estimate'!$Q$5:$Q$238,MATCH($A252,'AC Estimate'!$A$5:$A$238,0))</f>
        <v>TVK</v>
      </c>
      <c r="N252" s="7" t="str">
        <f aca="false">INDEX('AC Estimate'!$R$5:$R$238,MATCH($A252,'AC Estimate'!$A$5:$A$238,0))</f>
        <v>TVK</v>
      </c>
      <c r="O252" s="7" t="str">
        <f aca="false">INDEX('AC Estimate'!$AL$5:$AL$238,MATCH($A252,'AC Estimate'!$A$5:$A$238,0))</f>
        <v>No</v>
      </c>
    </row>
    <row r="253" customFormat="false" ht="15" hidden="false" customHeight="false" outlineLevel="0" collapsed="false">
      <c r="A253" s="17" t="n">
        <v>2</v>
      </c>
      <c r="B253" s="7" t="str">
        <f aca="false">INDEX('AC Estimate'!$B$5:$B$238,MATCH($A253,'AC Estimate'!$A$5:$A$238,0))</f>
        <v>Ponneri</v>
      </c>
      <c r="C253" s="7" t="str">
        <f aca="false">INDEX('AC Estimate'!$C$5:$C$238,MATCH($A253,'AC Estimate'!$A$5:$A$238,0))</f>
        <v>Thiruvallur</v>
      </c>
      <c r="D253" s="7" t="n">
        <f aca="false">INDEX('AC Estimate'!$I$5:$I$238,MATCH($A253,'AC Estimate'!$A$5:$A$238,0))</f>
        <v>78</v>
      </c>
      <c r="E253" s="27" t="n">
        <f aca="false">INDEX('AC Estimate'!$J$5:$J$238,MATCH($A253,'AC Estimate'!$A$5:$A$238,0))</f>
        <v>0.17948717948718</v>
      </c>
      <c r="F253" s="27" t="n">
        <f aca="false">INDEX('AC Estimate'!$K$5:$K$238,MATCH($A253,'AC Estimate'!$A$5:$A$238,0))</f>
        <v>0.230769230769231</v>
      </c>
      <c r="G253" s="27" t="n">
        <f aca="false">INDEX('AC Estimate'!$L$5:$L$238,MATCH($A253,'AC Estimate'!$A$5:$A$238,0))</f>
        <v>0.0128205128205128</v>
      </c>
      <c r="H253" s="27" t="n">
        <f aca="false">INDEX('AC Estimate'!$M$5:$M$238,MATCH($A253,'AC Estimate'!$A$5:$A$238,0))</f>
        <v>0.0512820512820513</v>
      </c>
      <c r="I253" s="27" t="n">
        <f aca="false">INDEX('AC Estimate'!$N$5:$N$238,MATCH($A253,'AC Estimate'!$A$5:$A$238,0))</f>
        <v>0.525641025641026</v>
      </c>
      <c r="J253" s="7" t="str">
        <f aca="false">INDEX('AC Estimate'!$P$5:$P$238,MATCH($A253,'AC Estimate'!$A$5:$A$238,0))</f>
        <v>TVK</v>
      </c>
      <c r="K253" s="7" t="str">
        <f aca="false">INDEX('AC Estimate'!$AK$5:$AK$238,MATCH($A253,'AC Estimate'!$A$5:$A$238,0))</f>
        <v>TVK</v>
      </c>
      <c r="L253" s="27" t="n">
        <f aca="false">INDEX('AC Estimate'!$AM$5:$AM$238,MATCH($A253,'AC Estimate'!$A$5:$A$238,0))</f>
        <v>0.67304568162275</v>
      </c>
      <c r="M253" s="7" t="str">
        <f aca="false">INDEX('AC Estimate'!$Q$5:$Q$238,MATCH($A253,'AC Estimate'!$A$5:$A$238,0))</f>
        <v>TVK</v>
      </c>
      <c r="N253" s="7" t="str">
        <f aca="false">INDEX('AC Estimate'!$R$5:$R$238,MATCH($A253,'AC Estimate'!$A$5:$A$238,0))</f>
        <v>TVK</v>
      </c>
      <c r="O253" s="7" t="str">
        <f aca="false">INDEX('AC Estimate'!$AL$5:$AL$238,MATCH($A253,'AC Estimate'!$A$5:$A$238,0))</f>
        <v>Yes</v>
      </c>
    </row>
    <row r="254" customFormat="false" ht="15" hidden="false" customHeight="false" outlineLevel="0" collapsed="false">
      <c r="A254" s="17" t="n">
        <v>3</v>
      </c>
      <c r="B254" s="7" t="str">
        <f aca="false">INDEX('AC Estimate'!$B$5:$B$238,MATCH($A254,'AC Estimate'!$A$5:$A$238,0))</f>
        <v>Tiruttani</v>
      </c>
      <c r="C254" s="7" t="str">
        <f aca="false">INDEX('AC Estimate'!$C$5:$C$238,MATCH($A254,'AC Estimate'!$A$5:$A$238,0))</f>
        <v>Thiruvallur</v>
      </c>
      <c r="D254" s="7" t="n">
        <f aca="false">INDEX('AC Estimate'!$I$5:$I$238,MATCH($A254,'AC Estimate'!$A$5:$A$238,0))</f>
        <v>59</v>
      </c>
      <c r="E254" s="27" t="n">
        <f aca="false">INDEX('AC Estimate'!$J$5:$J$238,MATCH($A254,'AC Estimate'!$A$5:$A$238,0))</f>
        <v>0.271186440677966</v>
      </c>
      <c r="F254" s="27" t="n">
        <f aca="false">INDEX('AC Estimate'!$K$5:$K$238,MATCH($A254,'AC Estimate'!$A$5:$A$238,0))</f>
        <v>0.254237288135593</v>
      </c>
      <c r="G254" s="27" t="n">
        <f aca="false">INDEX('AC Estimate'!$L$5:$L$238,MATCH($A254,'AC Estimate'!$A$5:$A$238,0))</f>
        <v>0.0169491525423729</v>
      </c>
      <c r="H254" s="27" t="n">
        <f aca="false">INDEX('AC Estimate'!$M$5:$M$238,MATCH($A254,'AC Estimate'!$A$5:$A$238,0))</f>
        <v>0.0338983050847458</v>
      </c>
      <c r="I254" s="27" t="n">
        <f aca="false">INDEX('AC Estimate'!$N$5:$N$238,MATCH($A254,'AC Estimate'!$A$5:$A$238,0))</f>
        <v>0.423728813559322</v>
      </c>
      <c r="J254" s="7" t="str">
        <f aca="false">INDEX('AC Estimate'!$P$5:$P$238,MATCH($A254,'AC Estimate'!$A$5:$A$238,0))</f>
        <v>TVK</v>
      </c>
      <c r="K254" s="7" t="str">
        <f aca="false">INDEX('AC Estimate'!$AK$5:$AK$238,MATCH($A254,'AC Estimate'!$A$5:$A$238,0))</f>
        <v>TVK</v>
      </c>
      <c r="L254" s="27" t="n">
        <f aca="false">INDEX('AC Estimate'!$AM$5:$AM$238,MATCH($A254,'AC Estimate'!$A$5:$A$238,0))</f>
        <v>0.537748005021495</v>
      </c>
      <c r="M254" s="7" t="str">
        <f aca="false">INDEX('AC Estimate'!$Q$5:$Q$238,MATCH($A254,'AC Estimate'!$A$5:$A$238,0))</f>
        <v>AIADMK</v>
      </c>
      <c r="N254" s="7" t="str">
        <f aca="false">INDEX('AC Estimate'!$R$5:$R$238,MATCH($A254,'AC Estimate'!$A$5:$A$238,0))</f>
        <v>AIADMK+</v>
      </c>
      <c r="O254" s="7" t="str">
        <f aca="false">INDEX('AC Estimate'!$AL$5:$AL$238,MATCH($A254,'AC Estimate'!$A$5:$A$238,0))</f>
        <v>No</v>
      </c>
    </row>
    <row r="255" customFormat="false" ht="15" hidden="false" customHeight="false" outlineLevel="0" collapsed="false">
      <c r="A255" s="17" t="n">
        <v>4</v>
      </c>
      <c r="B255" s="7" t="str">
        <f aca="false">INDEX('AC Estimate'!$B$5:$B$238,MATCH($A255,'AC Estimate'!$A$5:$A$238,0))</f>
        <v>Thiruvallur</v>
      </c>
      <c r="C255" s="7" t="str">
        <f aca="false">INDEX('AC Estimate'!$C$5:$C$238,MATCH($A255,'AC Estimate'!$A$5:$A$238,0))</f>
        <v>Thiruvallur</v>
      </c>
      <c r="D255" s="7" t="n">
        <f aca="false">INDEX('AC Estimate'!$I$5:$I$238,MATCH($A255,'AC Estimate'!$A$5:$A$238,0))</f>
        <v>137</v>
      </c>
      <c r="E255" s="27" t="n">
        <f aca="false">INDEX('AC Estimate'!$J$5:$J$238,MATCH($A255,'AC Estimate'!$A$5:$A$238,0))</f>
        <v>0.109489051094891</v>
      </c>
      <c r="F255" s="27" t="n">
        <f aca="false">INDEX('AC Estimate'!$K$5:$K$238,MATCH($A255,'AC Estimate'!$A$5:$A$238,0))</f>
        <v>0.437956204379562</v>
      </c>
      <c r="G255" s="27" t="n">
        <f aca="false">INDEX('AC Estimate'!$L$5:$L$238,MATCH($A255,'AC Estimate'!$A$5:$A$238,0))</f>
        <v>0.0072992700729927</v>
      </c>
      <c r="H255" s="27" t="n">
        <f aca="false">INDEX('AC Estimate'!$M$5:$M$238,MATCH($A255,'AC Estimate'!$A$5:$A$238,0))</f>
        <v>0.0291970802919708</v>
      </c>
      <c r="I255" s="27" t="n">
        <f aca="false">INDEX('AC Estimate'!$N$5:$N$238,MATCH($A255,'AC Estimate'!$A$5:$A$238,0))</f>
        <v>0.416058394160584</v>
      </c>
      <c r="J255" s="7" t="str">
        <f aca="false">INDEX('AC Estimate'!$P$5:$P$238,MATCH($A255,'AC Estimate'!$A$5:$A$238,0))</f>
        <v>DMK+</v>
      </c>
      <c r="K255" s="7" t="str">
        <f aca="false">INDEX('AC Estimate'!$AK$5:$AK$238,MATCH($A255,'AC Estimate'!$A$5:$A$238,0))</f>
        <v>TVK</v>
      </c>
      <c r="L255" s="27" t="n">
        <f aca="false">INDEX('AC Estimate'!$AM$5:$AM$238,MATCH($A255,'AC Estimate'!$A$5:$A$238,0))</f>
        <v>0.810674286183303</v>
      </c>
      <c r="M255" s="7" t="str">
        <f aca="false">INDEX('AC Estimate'!$Q$5:$Q$238,MATCH($A255,'AC Estimate'!$A$5:$A$238,0))</f>
        <v>TVK</v>
      </c>
      <c r="N255" s="7" t="str">
        <f aca="false">INDEX('AC Estimate'!$R$5:$R$238,MATCH($A255,'AC Estimate'!$A$5:$A$238,0))</f>
        <v>TVK</v>
      </c>
      <c r="O255" s="7" t="str">
        <f aca="false">INDEX('AC Estimate'!$AL$5:$AL$238,MATCH($A255,'AC Estimate'!$A$5:$A$238,0))</f>
        <v>Yes</v>
      </c>
    </row>
    <row r="256" customFormat="false" ht="15" hidden="false" customHeight="false" outlineLevel="0" collapsed="false">
      <c r="A256" s="17" t="n">
        <v>5</v>
      </c>
      <c r="B256" s="7" t="str">
        <f aca="false">INDEX('AC Estimate'!$B$5:$B$238,MATCH($A256,'AC Estimate'!$A$5:$A$238,0))</f>
        <v>Poonamallee</v>
      </c>
      <c r="C256" s="7" t="str">
        <f aca="false">INDEX('AC Estimate'!$C$5:$C$238,MATCH($A256,'AC Estimate'!$A$5:$A$238,0))</f>
        <v>Thiruvallur</v>
      </c>
      <c r="D256" s="7" t="n">
        <f aca="false">INDEX('AC Estimate'!$I$5:$I$238,MATCH($A256,'AC Estimate'!$A$5:$A$238,0))</f>
        <v>82</v>
      </c>
      <c r="E256" s="27" t="n">
        <f aca="false">INDEX('AC Estimate'!$J$5:$J$238,MATCH($A256,'AC Estimate'!$A$5:$A$238,0))</f>
        <v>0.231707317073171</v>
      </c>
      <c r="F256" s="27" t="n">
        <f aca="false">INDEX('AC Estimate'!$K$5:$K$238,MATCH($A256,'AC Estimate'!$A$5:$A$238,0))</f>
        <v>0.231707317073171</v>
      </c>
      <c r="G256" s="27" t="n">
        <f aca="false">INDEX('AC Estimate'!$L$5:$L$238,MATCH($A256,'AC Estimate'!$A$5:$A$238,0))</f>
        <v>0.0365853658536585</v>
      </c>
      <c r="H256" s="27" t="n">
        <f aca="false">INDEX('AC Estimate'!$M$5:$M$238,MATCH($A256,'AC Estimate'!$A$5:$A$238,0))</f>
        <v>0.0853658536585366</v>
      </c>
      <c r="I256" s="27" t="n">
        <f aca="false">INDEX('AC Estimate'!$N$5:$N$238,MATCH($A256,'AC Estimate'!$A$5:$A$238,0))</f>
        <v>0.414634146341463</v>
      </c>
      <c r="J256" s="7" t="str">
        <f aca="false">INDEX('AC Estimate'!$P$5:$P$238,MATCH($A256,'AC Estimate'!$A$5:$A$238,0))</f>
        <v>TVK</v>
      </c>
      <c r="K256" s="7" t="str">
        <f aca="false">INDEX('AC Estimate'!$AK$5:$AK$238,MATCH($A256,'AC Estimate'!$A$5:$A$238,0))</f>
        <v>TVK</v>
      </c>
      <c r="L256" s="27" t="n">
        <f aca="false">INDEX('AC Estimate'!$AM$5:$AM$238,MATCH($A256,'AC Estimate'!$A$5:$A$238,0))</f>
        <v>0.670175083998402</v>
      </c>
      <c r="M256" s="7" t="str">
        <f aca="false">INDEX('AC Estimate'!$Q$5:$Q$238,MATCH($A256,'AC Estimate'!$A$5:$A$238,0))</f>
        <v>TVK</v>
      </c>
      <c r="N256" s="7" t="str">
        <f aca="false">INDEX('AC Estimate'!$R$5:$R$238,MATCH($A256,'AC Estimate'!$A$5:$A$238,0))</f>
        <v>TVK</v>
      </c>
      <c r="O256" s="7" t="str">
        <f aca="false">INDEX('AC Estimate'!$AL$5:$AL$238,MATCH($A256,'AC Estimate'!$A$5:$A$238,0))</f>
        <v>Yes</v>
      </c>
    </row>
    <row r="257" customFormat="false" ht="15" hidden="false" customHeight="false" outlineLevel="0" collapsed="false">
      <c r="A257" s="17" t="n">
        <v>6</v>
      </c>
      <c r="B257" s="7" t="str">
        <f aca="false">INDEX('AC Estimate'!$B$5:$B$238,MATCH($A257,'AC Estimate'!$A$5:$A$238,0))</f>
        <v>Avadi</v>
      </c>
      <c r="C257" s="7" t="str">
        <f aca="false">INDEX('AC Estimate'!$C$5:$C$238,MATCH($A257,'AC Estimate'!$A$5:$A$238,0))</f>
        <v>Thiruvallur</v>
      </c>
      <c r="D257" s="7" t="n">
        <f aca="false">INDEX('AC Estimate'!$I$5:$I$238,MATCH($A257,'AC Estimate'!$A$5:$A$238,0))</f>
        <v>104</v>
      </c>
      <c r="E257" s="27" t="n">
        <f aca="false">INDEX('AC Estimate'!$J$5:$J$238,MATCH($A257,'AC Estimate'!$A$5:$A$238,0))</f>
        <v>0.192307692307692</v>
      </c>
      <c r="F257" s="27" t="n">
        <f aca="false">INDEX('AC Estimate'!$K$5:$K$238,MATCH($A257,'AC Estimate'!$A$5:$A$238,0))</f>
        <v>0.384615384615385</v>
      </c>
      <c r="G257" s="27" t="n">
        <f aca="false">INDEX('AC Estimate'!$L$5:$L$238,MATCH($A257,'AC Estimate'!$A$5:$A$238,0))</f>
        <v>0</v>
      </c>
      <c r="H257" s="27" t="n">
        <f aca="false">INDEX('AC Estimate'!$M$5:$M$238,MATCH($A257,'AC Estimate'!$A$5:$A$238,0))</f>
        <v>0.0961538461538462</v>
      </c>
      <c r="I257" s="27" t="n">
        <f aca="false">INDEX('AC Estimate'!$N$5:$N$238,MATCH($A257,'AC Estimate'!$A$5:$A$238,0))</f>
        <v>0.326923076923077</v>
      </c>
      <c r="J257" s="7" t="str">
        <f aca="false">INDEX('AC Estimate'!$P$5:$P$238,MATCH($A257,'AC Estimate'!$A$5:$A$238,0))</f>
        <v>DMK+</v>
      </c>
      <c r="K257" s="7" t="str">
        <f aca="false">INDEX('AC Estimate'!$AK$5:$AK$238,MATCH($A257,'AC Estimate'!$A$5:$A$238,0))</f>
        <v>TVK</v>
      </c>
      <c r="L257" s="27" t="n">
        <f aca="false">INDEX('AC Estimate'!$AM$5:$AM$238,MATCH($A257,'AC Estimate'!$A$5:$A$238,0))</f>
        <v>0.719723186619953</v>
      </c>
      <c r="M257" s="7" t="str">
        <f aca="false">INDEX('AC Estimate'!$Q$5:$Q$238,MATCH($A257,'AC Estimate'!$A$5:$A$238,0))</f>
        <v>TVK</v>
      </c>
      <c r="N257" s="7" t="str">
        <f aca="false">INDEX('AC Estimate'!$R$5:$R$238,MATCH($A257,'AC Estimate'!$A$5:$A$238,0))</f>
        <v>TVK</v>
      </c>
      <c r="O257" s="7" t="str">
        <f aca="false">INDEX('AC Estimate'!$AL$5:$AL$238,MATCH($A257,'AC Estimate'!$A$5:$A$238,0))</f>
        <v>Yes</v>
      </c>
    </row>
    <row r="258" customFormat="false" ht="15" hidden="false" customHeight="false" outlineLevel="0" collapsed="false">
      <c r="A258" s="33"/>
      <c r="B258" s="34" t="s">
        <v>147</v>
      </c>
      <c r="C258" s="33"/>
      <c r="D258" s="34" t="n">
        <f aca="false">SUM(D252:D257)</f>
        <v>505</v>
      </c>
      <c r="E258" s="33"/>
      <c r="F258" s="33"/>
      <c r="G258" s="33"/>
      <c r="H258" s="33"/>
      <c r="I258" s="33"/>
      <c r="J258" s="34" t="s">
        <v>92</v>
      </c>
      <c r="K258" s="34" t="str">
        <f aca="false">COUNTIF(K252:K257,"TVK")&amp;" / "&amp;COUNTIF(K252:K257,"AIADMK+")&amp;" / "&amp;COUNTIF(K252:K257,"DMK+")</f>
        <v>5 / 1 / 0</v>
      </c>
      <c r="L258" s="33"/>
      <c r="M258" s="34" t="s">
        <v>93</v>
      </c>
      <c r="N258" s="34" t="str">
        <f aca="false">COUNTIF(N252:N257,"TVK")&amp;" / "&amp;COUNTIF(N252:N257,"AIADMK+")&amp;" / "&amp;COUNTIF(N252:N257,"DMK+")</f>
        <v>5 / 1 / 0</v>
      </c>
      <c r="O258" s="34" t="str">
        <f aca="false">IF(AND(ABS(COUNTIF(K252:K257,"TVK")-COUNTIF(N252:N257,"TVK"))&lt;=Calibration!$B$3,ABS(COUNTIF(K252:K257,"AIADMK+")-COUNTIF(N252:N257,"AIADMK+"))&lt;=Calibration!$B$3,ABS(COUNTIF(K252:K257,"DMK+")-COUNTIF(N252:N257,"DMK+"))&lt;=Calibration!$B$3),"Within","Off")</f>
        <v>Within</v>
      </c>
    </row>
    <row r="260" customFormat="false" ht="15" hidden="false" customHeight="false" outlineLevel="0" collapsed="false">
      <c r="A260" s="31" t="s">
        <v>148</v>
      </c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customFormat="false" ht="15" hidden="false" customHeight="false" outlineLevel="0" collapsed="false">
      <c r="A261" s="17" t="n">
        <v>213</v>
      </c>
      <c r="B261" s="7" t="str">
        <f aca="false">INDEX('AC Estimate'!$B$5:$B$238,MATCH($A261,'AC Estimate'!$A$5:$A$238,0))</f>
        <v>Vilathikulam</v>
      </c>
      <c r="C261" s="7" t="str">
        <f aca="false">INDEX('AC Estimate'!$C$5:$C$238,MATCH($A261,'AC Estimate'!$A$5:$A$238,0))</f>
        <v>Thoothukudi</v>
      </c>
      <c r="D261" s="7" t="n">
        <f aca="false">INDEX('AC Estimate'!$I$5:$I$238,MATCH($A261,'AC Estimate'!$A$5:$A$238,0))</f>
        <v>28</v>
      </c>
      <c r="E261" s="27" t="n">
        <f aca="false">INDEX('AC Estimate'!$J$5:$J$238,MATCH($A261,'AC Estimate'!$A$5:$A$238,0))</f>
        <v>0.321428571428571</v>
      </c>
      <c r="F261" s="27" t="n">
        <f aca="false">INDEX('AC Estimate'!$K$5:$K$238,MATCH($A261,'AC Estimate'!$A$5:$A$238,0))</f>
        <v>0.142857142857143</v>
      </c>
      <c r="G261" s="27" t="n">
        <f aca="false">INDEX('AC Estimate'!$L$5:$L$238,MATCH($A261,'AC Estimate'!$A$5:$A$238,0))</f>
        <v>0</v>
      </c>
      <c r="H261" s="27" t="n">
        <f aca="false">INDEX('AC Estimate'!$M$5:$M$238,MATCH($A261,'AC Estimate'!$A$5:$A$238,0))</f>
        <v>0.178571428571429</v>
      </c>
      <c r="I261" s="27" t="n">
        <f aca="false">INDEX('AC Estimate'!$N$5:$N$238,MATCH($A261,'AC Estimate'!$A$5:$A$238,0))</f>
        <v>0.357142857142857</v>
      </c>
      <c r="J261" s="7" t="str">
        <f aca="false">INDEX('AC Estimate'!$P$5:$P$238,MATCH($A261,'AC Estimate'!$A$5:$A$238,0))</f>
        <v>TVK</v>
      </c>
      <c r="K261" s="7" t="str">
        <f aca="false">INDEX('AC Estimate'!$AK$5:$AK$238,MATCH($A261,'AC Estimate'!$A$5:$A$238,0))</f>
        <v>DMK+</v>
      </c>
      <c r="L261" s="27" t="n">
        <f aca="false">INDEX('AC Estimate'!$AM$5:$AM$238,MATCH($A261,'AC Estimate'!$A$5:$A$238,0))</f>
        <v>0.381856688227293</v>
      </c>
      <c r="M261" s="7" t="str">
        <f aca="false">INDEX('AC Estimate'!$Q$5:$Q$238,MATCH($A261,'AC Estimate'!$A$5:$A$238,0))</f>
        <v>DMK</v>
      </c>
      <c r="N261" s="7" t="str">
        <f aca="false">INDEX('AC Estimate'!$R$5:$R$238,MATCH($A261,'AC Estimate'!$A$5:$A$238,0))</f>
        <v>DMK+</v>
      </c>
      <c r="O261" s="7" t="str">
        <f aca="false">INDEX('AC Estimate'!$AL$5:$AL$238,MATCH($A261,'AC Estimate'!$A$5:$A$238,0))</f>
        <v>Yes</v>
      </c>
    </row>
    <row r="262" customFormat="false" ht="15" hidden="false" customHeight="false" outlineLevel="0" collapsed="false">
      <c r="A262" s="17" t="n">
        <v>214</v>
      </c>
      <c r="B262" s="7" t="str">
        <f aca="false">INDEX('AC Estimate'!$B$5:$B$238,MATCH($A262,'AC Estimate'!$A$5:$A$238,0))</f>
        <v>Thoothukkudi</v>
      </c>
      <c r="C262" s="7" t="str">
        <f aca="false">INDEX('AC Estimate'!$C$5:$C$238,MATCH($A262,'AC Estimate'!$A$5:$A$238,0))</f>
        <v>Thoothukudi</v>
      </c>
      <c r="D262" s="7" t="n">
        <f aca="false">INDEX('AC Estimate'!$I$5:$I$238,MATCH($A262,'AC Estimate'!$A$5:$A$238,0))</f>
        <v>95</v>
      </c>
      <c r="E262" s="27" t="n">
        <f aca="false">INDEX('AC Estimate'!$J$5:$J$238,MATCH($A262,'AC Estimate'!$A$5:$A$238,0))</f>
        <v>0.2</v>
      </c>
      <c r="F262" s="27" t="n">
        <f aca="false">INDEX('AC Estimate'!$K$5:$K$238,MATCH($A262,'AC Estimate'!$A$5:$A$238,0))</f>
        <v>0.231578947368421</v>
      </c>
      <c r="G262" s="27" t="n">
        <f aca="false">INDEX('AC Estimate'!$L$5:$L$238,MATCH($A262,'AC Estimate'!$A$5:$A$238,0))</f>
        <v>0</v>
      </c>
      <c r="H262" s="27" t="n">
        <f aca="false">INDEX('AC Estimate'!$M$5:$M$238,MATCH($A262,'AC Estimate'!$A$5:$A$238,0))</f>
        <v>0.0947368421052632</v>
      </c>
      <c r="I262" s="27" t="n">
        <f aca="false">INDEX('AC Estimate'!$N$5:$N$238,MATCH($A262,'AC Estimate'!$A$5:$A$238,0))</f>
        <v>0.473684210526316</v>
      </c>
      <c r="J262" s="7" t="str">
        <f aca="false">INDEX('AC Estimate'!$P$5:$P$238,MATCH($A262,'AC Estimate'!$A$5:$A$238,0))</f>
        <v>TVK</v>
      </c>
      <c r="K262" s="7" t="str">
        <f aca="false">INDEX('AC Estimate'!$AK$5:$AK$238,MATCH($A262,'AC Estimate'!$A$5:$A$238,0))</f>
        <v>TVK</v>
      </c>
      <c r="L262" s="27" t="n">
        <f aca="false">INDEX('AC Estimate'!$AM$5:$AM$238,MATCH($A262,'AC Estimate'!$A$5:$A$238,0))</f>
        <v>0.713713196154258</v>
      </c>
      <c r="M262" s="7" t="str">
        <f aca="false">INDEX('AC Estimate'!$Q$5:$Q$238,MATCH($A262,'AC Estimate'!$A$5:$A$238,0))</f>
        <v>TVK</v>
      </c>
      <c r="N262" s="7" t="str">
        <f aca="false">INDEX('AC Estimate'!$R$5:$R$238,MATCH($A262,'AC Estimate'!$A$5:$A$238,0))</f>
        <v>TVK</v>
      </c>
      <c r="O262" s="7" t="str">
        <f aca="false">INDEX('AC Estimate'!$AL$5:$AL$238,MATCH($A262,'AC Estimate'!$A$5:$A$238,0))</f>
        <v>Yes</v>
      </c>
    </row>
    <row r="263" customFormat="false" ht="15" hidden="false" customHeight="false" outlineLevel="0" collapsed="false">
      <c r="A263" s="17" t="n">
        <v>215</v>
      </c>
      <c r="B263" s="7" t="str">
        <f aca="false">INDEX('AC Estimate'!$B$5:$B$238,MATCH($A263,'AC Estimate'!$A$5:$A$238,0))</f>
        <v>Tiruchendur</v>
      </c>
      <c r="C263" s="7" t="str">
        <f aca="false">INDEX('AC Estimate'!$C$5:$C$238,MATCH($A263,'AC Estimate'!$A$5:$A$238,0))</f>
        <v>Thoothukudi</v>
      </c>
      <c r="D263" s="7" t="n">
        <f aca="false">INDEX('AC Estimate'!$I$5:$I$238,MATCH($A263,'AC Estimate'!$A$5:$A$238,0))</f>
        <v>39</v>
      </c>
      <c r="E263" s="27" t="n">
        <f aca="false">INDEX('AC Estimate'!$J$5:$J$238,MATCH($A263,'AC Estimate'!$A$5:$A$238,0))</f>
        <v>0.102564102564103</v>
      </c>
      <c r="F263" s="27" t="n">
        <f aca="false">INDEX('AC Estimate'!$K$5:$K$238,MATCH($A263,'AC Estimate'!$A$5:$A$238,0))</f>
        <v>0.435897435897436</v>
      </c>
      <c r="G263" s="27" t="n">
        <f aca="false">INDEX('AC Estimate'!$L$5:$L$238,MATCH($A263,'AC Estimate'!$A$5:$A$238,0))</f>
        <v>0.0256410256410256</v>
      </c>
      <c r="H263" s="27" t="n">
        <f aca="false">INDEX('AC Estimate'!$M$5:$M$238,MATCH($A263,'AC Estimate'!$A$5:$A$238,0))</f>
        <v>0.0769230769230769</v>
      </c>
      <c r="I263" s="27" t="n">
        <f aca="false">INDEX('AC Estimate'!$N$5:$N$238,MATCH($A263,'AC Estimate'!$A$5:$A$238,0))</f>
        <v>0.358974358974359</v>
      </c>
      <c r="J263" s="7" t="str">
        <f aca="false">INDEX('AC Estimate'!$P$5:$P$238,MATCH($A263,'AC Estimate'!$A$5:$A$238,0))</f>
        <v>DMK+</v>
      </c>
      <c r="K263" s="7" t="str">
        <f aca="false">INDEX('AC Estimate'!$AK$5:$AK$238,MATCH($A263,'AC Estimate'!$A$5:$A$238,0))</f>
        <v>DMK+</v>
      </c>
      <c r="L263" s="27" t="n">
        <f aca="false">INDEX('AC Estimate'!$AM$5:$AM$238,MATCH($A263,'AC Estimate'!$A$5:$A$238,0))</f>
        <v>0.490209501100298</v>
      </c>
      <c r="M263" s="7" t="str">
        <f aca="false">INDEX('AC Estimate'!$Q$5:$Q$238,MATCH($A263,'AC Estimate'!$A$5:$A$238,0))</f>
        <v>DMK</v>
      </c>
      <c r="N263" s="7" t="str">
        <f aca="false">INDEX('AC Estimate'!$R$5:$R$238,MATCH($A263,'AC Estimate'!$A$5:$A$238,0))</f>
        <v>DMK+</v>
      </c>
      <c r="O263" s="7" t="str">
        <f aca="false">INDEX('AC Estimate'!$AL$5:$AL$238,MATCH($A263,'AC Estimate'!$A$5:$A$238,0))</f>
        <v>Yes</v>
      </c>
    </row>
    <row r="264" customFormat="false" ht="15" hidden="false" customHeight="false" outlineLevel="0" collapsed="false">
      <c r="A264" s="17" t="n">
        <v>216</v>
      </c>
      <c r="B264" s="7" t="str">
        <f aca="false">INDEX('AC Estimate'!$B$5:$B$238,MATCH($A264,'AC Estimate'!$A$5:$A$238,0))</f>
        <v>Srivaikuntam</v>
      </c>
      <c r="C264" s="7" t="str">
        <f aca="false">INDEX('AC Estimate'!$C$5:$C$238,MATCH($A264,'AC Estimate'!$A$5:$A$238,0))</f>
        <v>Thoothukudi</v>
      </c>
      <c r="D264" s="7" t="n">
        <f aca="false">INDEX('AC Estimate'!$I$5:$I$238,MATCH($A264,'AC Estimate'!$A$5:$A$238,0))</f>
        <v>49</v>
      </c>
      <c r="E264" s="27" t="n">
        <f aca="false">INDEX('AC Estimate'!$J$5:$J$238,MATCH($A264,'AC Estimate'!$A$5:$A$238,0))</f>
        <v>0.224489795918367</v>
      </c>
      <c r="F264" s="27" t="n">
        <f aca="false">INDEX('AC Estimate'!$K$5:$K$238,MATCH($A264,'AC Estimate'!$A$5:$A$238,0))</f>
        <v>0.326530612244898</v>
      </c>
      <c r="G264" s="27" t="n">
        <f aca="false">INDEX('AC Estimate'!$L$5:$L$238,MATCH($A264,'AC Estimate'!$A$5:$A$238,0))</f>
        <v>0</v>
      </c>
      <c r="H264" s="27" t="n">
        <f aca="false">INDEX('AC Estimate'!$M$5:$M$238,MATCH($A264,'AC Estimate'!$A$5:$A$238,0))</f>
        <v>0.122448979591837</v>
      </c>
      <c r="I264" s="27" t="n">
        <f aca="false">INDEX('AC Estimate'!$N$5:$N$238,MATCH($A264,'AC Estimate'!$A$5:$A$238,0))</f>
        <v>0.326530612244898</v>
      </c>
      <c r="J264" s="7" t="str">
        <f aca="false">INDEX('AC Estimate'!$P$5:$P$238,MATCH($A264,'AC Estimate'!$A$5:$A$238,0))</f>
        <v>DMK+</v>
      </c>
      <c r="K264" s="7" t="str">
        <f aca="false">INDEX('AC Estimate'!$AK$5:$AK$238,MATCH($A264,'AC Estimate'!$A$5:$A$238,0))</f>
        <v>DMK+</v>
      </c>
      <c r="L264" s="27" t="n">
        <f aca="false">INDEX('AC Estimate'!$AM$5:$AM$238,MATCH($A264,'AC Estimate'!$A$5:$A$238,0))</f>
        <v>0.361114160417956</v>
      </c>
      <c r="M264" s="7" t="str">
        <f aca="false">INDEX('AC Estimate'!$Q$5:$Q$238,MATCH($A264,'AC Estimate'!$A$5:$A$238,0))</f>
        <v>TVK</v>
      </c>
      <c r="N264" s="7" t="str">
        <f aca="false">INDEX('AC Estimate'!$R$5:$R$238,MATCH($A264,'AC Estimate'!$A$5:$A$238,0))</f>
        <v>TVK</v>
      </c>
      <c r="O264" s="7" t="str">
        <f aca="false">INDEX('AC Estimate'!$AL$5:$AL$238,MATCH($A264,'AC Estimate'!$A$5:$A$238,0))</f>
        <v>No</v>
      </c>
    </row>
    <row r="265" customFormat="false" ht="15" hidden="false" customHeight="false" outlineLevel="0" collapsed="false">
      <c r="A265" s="17" t="n">
        <v>217</v>
      </c>
      <c r="B265" s="7" t="str">
        <f aca="false">INDEX('AC Estimate'!$B$5:$B$238,MATCH($A265,'AC Estimate'!$A$5:$A$238,0))</f>
        <v>Ottapidaram</v>
      </c>
      <c r="C265" s="7" t="str">
        <f aca="false">INDEX('AC Estimate'!$C$5:$C$238,MATCH($A265,'AC Estimate'!$A$5:$A$238,0))</f>
        <v>Thoothukudi</v>
      </c>
      <c r="D265" s="7" t="n">
        <f aca="false">INDEX('AC Estimate'!$I$5:$I$238,MATCH($A265,'AC Estimate'!$A$5:$A$238,0))</f>
        <v>59</v>
      </c>
      <c r="E265" s="27" t="n">
        <f aca="false">INDEX('AC Estimate'!$J$5:$J$238,MATCH($A265,'AC Estimate'!$A$5:$A$238,0))</f>
        <v>0.288135593220339</v>
      </c>
      <c r="F265" s="27" t="n">
        <f aca="false">INDEX('AC Estimate'!$K$5:$K$238,MATCH($A265,'AC Estimate'!$A$5:$A$238,0))</f>
        <v>0.372881355932203</v>
      </c>
      <c r="G265" s="27" t="n">
        <f aca="false">INDEX('AC Estimate'!$L$5:$L$238,MATCH($A265,'AC Estimate'!$A$5:$A$238,0))</f>
        <v>0</v>
      </c>
      <c r="H265" s="27" t="n">
        <f aca="false">INDEX('AC Estimate'!$M$5:$M$238,MATCH($A265,'AC Estimate'!$A$5:$A$238,0))</f>
        <v>0.0338983050847458</v>
      </c>
      <c r="I265" s="27" t="n">
        <f aca="false">INDEX('AC Estimate'!$N$5:$N$238,MATCH($A265,'AC Estimate'!$A$5:$A$238,0))</f>
        <v>0.305084745762712</v>
      </c>
      <c r="J265" s="7" t="str">
        <f aca="false">INDEX('AC Estimate'!$P$5:$P$238,MATCH($A265,'AC Estimate'!$A$5:$A$238,0))</f>
        <v>DMK+</v>
      </c>
      <c r="K265" s="7" t="str">
        <f aca="false">INDEX('AC Estimate'!$AK$5:$AK$238,MATCH($A265,'AC Estimate'!$A$5:$A$238,0))</f>
        <v>TVK</v>
      </c>
      <c r="L265" s="27" t="n">
        <f aca="false">INDEX('AC Estimate'!$AM$5:$AM$238,MATCH($A265,'AC Estimate'!$A$5:$A$238,0))</f>
        <v>0.472142621137504</v>
      </c>
      <c r="M265" s="7" t="str">
        <f aca="false">INDEX('AC Estimate'!$Q$5:$Q$238,MATCH($A265,'AC Estimate'!$A$5:$A$238,0))</f>
        <v>TVK</v>
      </c>
      <c r="N265" s="7" t="str">
        <f aca="false">INDEX('AC Estimate'!$R$5:$R$238,MATCH($A265,'AC Estimate'!$A$5:$A$238,0))</f>
        <v>TVK</v>
      </c>
      <c r="O265" s="7" t="str">
        <f aca="false">INDEX('AC Estimate'!$AL$5:$AL$238,MATCH($A265,'AC Estimate'!$A$5:$A$238,0))</f>
        <v>Yes</v>
      </c>
    </row>
    <row r="266" customFormat="false" ht="15" hidden="false" customHeight="false" outlineLevel="0" collapsed="false">
      <c r="A266" s="17" t="n">
        <v>218</v>
      </c>
      <c r="B266" s="7" t="str">
        <f aca="false">INDEX('AC Estimate'!$B$5:$B$238,MATCH($A266,'AC Estimate'!$A$5:$A$238,0))</f>
        <v>Kovilpatti</v>
      </c>
      <c r="C266" s="7" t="str">
        <f aca="false">INDEX('AC Estimate'!$C$5:$C$238,MATCH($A266,'AC Estimate'!$A$5:$A$238,0))</f>
        <v>Thoothukudi</v>
      </c>
      <c r="D266" s="7" t="n">
        <f aca="false">INDEX('AC Estimate'!$I$5:$I$238,MATCH($A266,'AC Estimate'!$A$5:$A$238,0))</f>
        <v>58</v>
      </c>
      <c r="E266" s="27" t="n">
        <f aca="false">INDEX('AC Estimate'!$J$5:$J$238,MATCH($A266,'AC Estimate'!$A$5:$A$238,0))</f>
        <v>0.241379310344828</v>
      </c>
      <c r="F266" s="27" t="n">
        <f aca="false">INDEX('AC Estimate'!$K$5:$K$238,MATCH($A266,'AC Estimate'!$A$5:$A$238,0))</f>
        <v>0.327586206896552</v>
      </c>
      <c r="G266" s="27" t="n">
        <f aca="false">INDEX('AC Estimate'!$L$5:$L$238,MATCH($A266,'AC Estimate'!$A$5:$A$238,0))</f>
        <v>0</v>
      </c>
      <c r="H266" s="27" t="n">
        <f aca="false">INDEX('AC Estimate'!$M$5:$M$238,MATCH($A266,'AC Estimate'!$A$5:$A$238,0))</f>
        <v>0.137931034482759</v>
      </c>
      <c r="I266" s="27" t="n">
        <f aca="false">INDEX('AC Estimate'!$N$5:$N$238,MATCH($A266,'AC Estimate'!$A$5:$A$238,0))</f>
        <v>0.293103448275862</v>
      </c>
      <c r="J266" s="7" t="str">
        <f aca="false">INDEX('AC Estimate'!$P$5:$P$238,MATCH($A266,'AC Estimate'!$A$5:$A$238,0))</f>
        <v>DMK+</v>
      </c>
      <c r="K266" s="7" t="str">
        <f aca="false">INDEX('AC Estimate'!$AK$5:$AK$238,MATCH($A266,'AC Estimate'!$A$5:$A$238,0))</f>
        <v>TVK</v>
      </c>
      <c r="L266" s="27" t="n">
        <f aca="false">INDEX('AC Estimate'!$AM$5:$AM$238,MATCH($A266,'AC Estimate'!$A$5:$A$238,0))</f>
        <v>0.462566964182051</v>
      </c>
      <c r="M266" s="7" t="str">
        <f aca="false">INDEX('AC Estimate'!$Q$5:$Q$238,MATCH($A266,'AC Estimate'!$A$5:$A$238,0))</f>
        <v>DMK</v>
      </c>
      <c r="N266" s="7" t="str">
        <f aca="false">INDEX('AC Estimate'!$R$5:$R$238,MATCH($A266,'AC Estimate'!$A$5:$A$238,0))</f>
        <v>DMK+</v>
      </c>
      <c r="O266" s="7" t="str">
        <f aca="false">INDEX('AC Estimate'!$AL$5:$AL$238,MATCH($A266,'AC Estimate'!$A$5:$A$238,0))</f>
        <v>No</v>
      </c>
    </row>
    <row r="267" customFormat="false" ht="15" hidden="false" customHeight="false" outlineLevel="0" collapsed="false">
      <c r="A267" s="33"/>
      <c r="B267" s="34" t="s">
        <v>149</v>
      </c>
      <c r="C267" s="33"/>
      <c r="D267" s="34" t="n">
        <f aca="false">SUM(D261:D266)</f>
        <v>328</v>
      </c>
      <c r="E267" s="33"/>
      <c r="F267" s="33"/>
      <c r="G267" s="33"/>
      <c r="H267" s="33"/>
      <c r="I267" s="33"/>
      <c r="J267" s="34" t="s">
        <v>92</v>
      </c>
      <c r="K267" s="34" t="str">
        <f aca="false">COUNTIF(K261:K266,"TVK")&amp;" / "&amp;COUNTIF(K261:K266,"AIADMK+")&amp;" / "&amp;COUNTIF(K261:K266,"DMK+")</f>
        <v>3 / 0 / 3</v>
      </c>
      <c r="L267" s="33"/>
      <c r="M267" s="34" t="s">
        <v>93</v>
      </c>
      <c r="N267" s="34" t="str">
        <f aca="false">COUNTIF(N261:N266,"TVK")&amp;" / "&amp;COUNTIF(N261:N266,"AIADMK+")&amp;" / "&amp;COUNTIF(N261:N266,"DMK+")</f>
        <v>3 / 0 / 3</v>
      </c>
      <c r="O267" s="34" t="str">
        <f aca="false">IF(AND(ABS(COUNTIF(K261:K266,"TVK")-COUNTIF(N261:N266,"TVK"))&lt;=Calibration!$B$3,ABS(COUNTIF(K261:K266,"AIADMK+")-COUNTIF(N261:N266,"AIADMK+"))&lt;=Calibration!$B$3,ABS(COUNTIF(K261:K266,"DMK+")-COUNTIF(N261:N266,"DMK+"))&lt;=Calibration!$B$3),"Within","Off")</f>
        <v>Within</v>
      </c>
    </row>
    <row r="269" customFormat="false" ht="15" hidden="false" customHeight="false" outlineLevel="0" collapsed="false">
      <c r="A269" s="31" t="s">
        <v>150</v>
      </c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customFormat="false" ht="15" hidden="false" customHeight="false" outlineLevel="0" collapsed="false">
      <c r="A270" s="17" t="n">
        <v>138</v>
      </c>
      <c r="B270" s="7" t="str">
        <f aca="false">INDEX('AC Estimate'!$B$5:$B$238,MATCH($A270,'AC Estimate'!$A$5:$A$238,0))</f>
        <v>Manapaarai</v>
      </c>
      <c r="C270" s="7" t="str">
        <f aca="false">INDEX('AC Estimate'!$C$5:$C$238,MATCH($A270,'AC Estimate'!$A$5:$A$238,0))</f>
        <v>Tiruchirappalli</v>
      </c>
      <c r="D270" s="7" t="n">
        <f aca="false">INDEX('AC Estimate'!$I$5:$I$238,MATCH($A270,'AC Estimate'!$A$5:$A$238,0))</f>
        <v>36</v>
      </c>
      <c r="E270" s="27" t="n">
        <f aca="false">INDEX('AC Estimate'!$J$5:$J$238,MATCH($A270,'AC Estimate'!$A$5:$A$238,0))</f>
        <v>0.25</v>
      </c>
      <c r="F270" s="27" t="n">
        <f aca="false">INDEX('AC Estimate'!$K$5:$K$238,MATCH($A270,'AC Estimate'!$A$5:$A$238,0))</f>
        <v>0.305555555555556</v>
      </c>
      <c r="G270" s="27" t="n">
        <f aca="false">INDEX('AC Estimate'!$L$5:$L$238,MATCH($A270,'AC Estimate'!$A$5:$A$238,0))</f>
        <v>0.0555555555555556</v>
      </c>
      <c r="H270" s="27" t="n">
        <f aca="false">INDEX('AC Estimate'!$M$5:$M$238,MATCH($A270,'AC Estimate'!$A$5:$A$238,0))</f>
        <v>0.0833333333333333</v>
      </c>
      <c r="I270" s="27" t="n">
        <f aca="false">INDEX('AC Estimate'!$N$5:$N$238,MATCH($A270,'AC Estimate'!$A$5:$A$238,0))</f>
        <v>0.305555555555556</v>
      </c>
      <c r="J270" s="7" t="str">
        <f aca="false">INDEX('AC Estimate'!$P$5:$P$238,MATCH($A270,'AC Estimate'!$A$5:$A$238,0))</f>
        <v>DMK+</v>
      </c>
      <c r="K270" s="7" t="str">
        <f aca="false">INDEX('AC Estimate'!$AK$5:$AK$238,MATCH($A270,'AC Estimate'!$A$5:$A$238,0))</f>
        <v>DMK+</v>
      </c>
      <c r="L270" s="27" t="n">
        <f aca="false">INDEX('AC Estimate'!$AM$5:$AM$238,MATCH($A270,'AC Estimate'!$A$5:$A$238,0))</f>
        <v>0.399872137277113</v>
      </c>
      <c r="M270" s="7" t="str">
        <f aca="false">INDEX('AC Estimate'!$Q$5:$Q$238,MATCH($A270,'AC Estimate'!$A$5:$A$238,0))</f>
        <v>TVK</v>
      </c>
      <c r="N270" s="7" t="str">
        <f aca="false">INDEX('AC Estimate'!$R$5:$R$238,MATCH($A270,'AC Estimate'!$A$5:$A$238,0))</f>
        <v>TVK</v>
      </c>
      <c r="O270" s="7" t="str">
        <f aca="false">INDEX('AC Estimate'!$AL$5:$AL$238,MATCH($A270,'AC Estimate'!$A$5:$A$238,0))</f>
        <v>No</v>
      </c>
    </row>
    <row r="271" customFormat="false" ht="15" hidden="false" customHeight="false" outlineLevel="0" collapsed="false">
      <c r="A271" s="17" t="n">
        <v>139</v>
      </c>
      <c r="B271" s="7" t="str">
        <f aca="false">INDEX('AC Estimate'!$B$5:$B$238,MATCH($A271,'AC Estimate'!$A$5:$A$238,0))</f>
        <v>Srirangam</v>
      </c>
      <c r="C271" s="7" t="str">
        <f aca="false">INDEX('AC Estimate'!$C$5:$C$238,MATCH($A271,'AC Estimate'!$A$5:$A$238,0))</f>
        <v>Tiruchirappalli</v>
      </c>
      <c r="D271" s="7" t="n">
        <f aca="false">INDEX('AC Estimate'!$I$5:$I$238,MATCH($A271,'AC Estimate'!$A$5:$A$238,0))</f>
        <v>75</v>
      </c>
      <c r="E271" s="27" t="n">
        <f aca="false">INDEX('AC Estimate'!$J$5:$J$238,MATCH($A271,'AC Estimate'!$A$5:$A$238,0))</f>
        <v>0.546666666666667</v>
      </c>
      <c r="F271" s="27" t="n">
        <f aca="false">INDEX('AC Estimate'!$K$5:$K$238,MATCH($A271,'AC Estimate'!$A$5:$A$238,0))</f>
        <v>0.226666666666667</v>
      </c>
      <c r="G271" s="27" t="n">
        <f aca="false">INDEX('AC Estimate'!$L$5:$L$238,MATCH($A271,'AC Estimate'!$A$5:$A$238,0))</f>
        <v>0</v>
      </c>
      <c r="H271" s="27" t="n">
        <f aca="false">INDEX('AC Estimate'!$M$5:$M$238,MATCH($A271,'AC Estimate'!$A$5:$A$238,0))</f>
        <v>0.04</v>
      </c>
      <c r="I271" s="27" t="n">
        <f aca="false">INDEX('AC Estimate'!$N$5:$N$238,MATCH($A271,'AC Estimate'!$A$5:$A$238,0))</f>
        <v>0.186666666666667</v>
      </c>
      <c r="J271" s="7" t="str">
        <f aca="false">INDEX('AC Estimate'!$P$5:$P$238,MATCH($A271,'AC Estimate'!$A$5:$A$238,0))</f>
        <v>AIADMK+</v>
      </c>
      <c r="K271" s="7" t="str">
        <f aca="false">INDEX('AC Estimate'!$AK$5:$AK$238,MATCH($A271,'AC Estimate'!$A$5:$A$238,0))</f>
        <v>TVK</v>
      </c>
      <c r="L271" s="27" t="n">
        <f aca="false">INDEX('AC Estimate'!$AM$5:$AM$238,MATCH($A271,'AC Estimate'!$A$5:$A$238,0))</f>
        <v>0.564294525090959</v>
      </c>
      <c r="M271" s="7" t="str">
        <f aca="false">INDEX('AC Estimate'!$Q$5:$Q$238,MATCH($A271,'AC Estimate'!$A$5:$A$238,0))</f>
        <v>TVK</v>
      </c>
      <c r="N271" s="7" t="str">
        <f aca="false">INDEX('AC Estimate'!$R$5:$R$238,MATCH($A271,'AC Estimate'!$A$5:$A$238,0))</f>
        <v>TVK</v>
      </c>
      <c r="O271" s="7" t="str">
        <f aca="false">INDEX('AC Estimate'!$AL$5:$AL$238,MATCH($A271,'AC Estimate'!$A$5:$A$238,0))</f>
        <v>Yes</v>
      </c>
    </row>
    <row r="272" customFormat="false" ht="15" hidden="false" customHeight="false" outlineLevel="0" collapsed="false">
      <c r="A272" s="17" t="n">
        <v>140</v>
      </c>
      <c r="B272" s="7" t="str">
        <f aca="false">INDEX('AC Estimate'!$B$5:$B$238,MATCH($A272,'AC Estimate'!$A$5:$A$238,0))</f>
        <v>Tiruchirappalli (West)</v>
      </c>
      <c r="C272" s="7" t="str">
        <f aca="false">INDEX('AC Estimate'!$C$5:$C$238,MATCH($A272,'AC Estimate'!$A$5:$A$238,0))</f>
        <v>Tiruchirappalli</v>
      </c>
      <c r="D272" s="7" t="n">
        <f aca="false">INDEX('AC Estimate'!$I$5:$I$238,MATCH($A272,'AC Estimate'!$A$5:$A$238,0))</f>
        <v>78</v>
      </c>
      <c r="E272" s="27" t="n">
        <f aca="false">INDEX('AC Estimate'!$J$5:$J$238,MATCH($A272,'AC Estimate'!$A$5:$A$238,0))</f>
        <v>0.17948717948718</v>
      </c>
      <c r="F272" s="27" t="n">
        <f aca="false">INDEX('AC Estimate'!$K$5:$K$238,MATCH($A272,'AC Estimate'!$A$5:$A$238,0))</f>
        <v>0.230769230769231</v>
      </c>
      <c r="G272" s="27" t="n">
        <f aca="false">INDEX('AC Estimate'!$L$5:$L$238,MATCH($A272,'AC Estimate'!$A$5:$A$238,0))</f>
        <v>0.0256410256410256</v>
      </c>
      <c r="H272" s="27" t="n">
        <f aca="false">INDEX('AC Estimate'!$M$5:$M$238,MATCH($A272,'AC Estimate'!$A$5:$A$238,0))</f>
        <v>0.102564102564103</v>
      </c>
      <c r="I272" s="27" t="n">
        <f aca="false">INDEX('AC Estimate'!$N$5:$N$238,MATCH($A272,'AC Estimate'!$A$5:$A$238,0))</f>
        <v>0.461538461538462</v>
      </c>
      <c r="J272" s="7" t="str">
        <f aca="false">INDEX('AC Estimate'!$P$5:$P$238,MATCH($A272,'AC Estimate'!$A$5:$A$238,0))</f>
        <v>TVK</v>
      </c>
      <c r="K272" s="7" t="str">
        <f aca="false">INDEX('AC Estimate'!$AK$5:$AK$238,MATCH($A272,'AC Estimate'!$A$5:$A$238,0))</f>
        <v>TVK</v>
      </c>
      <c r="L272" s="27" t="n">
        <f aca="false">INDEX('AC Estimate'!$AM$5:$AM$238,MATCH($A272,'AC Estimate'!$A$5:$A$238,0))</f>
        <v>0.641136644452644</v>
      </c>
      <c r="M272" s="7" t="str">
        <f aca="false">INDEX('AC Estimate'!$Q$5:$Q$238,MATCH($A272,'AC Estimate'!$A$5:$A$238,0))</f>
        <v>DMK</v>
      </c>
      <c r="N272" s="7" t="str">
        <f aca="false">INDEX('AC Estimate'!$R$5:$R$238,MATCH($A272,'AC Estimate'!$A$5:$A$238,0))</f>
        <v>DMK+</v>
      </c>
      <c r="O272" s="7" t="str">
        <f aca="false">INDEX('AC Estimate'!$AL$5:$AL$238,MATCH($A272,'AC Estimate'!$A$5:$A$238,0))</f>
        <v>No</v>
      </c>
    </row>
    <row r="273" customFormat="false" ht="15" hidden="false" customHeight="false" outlineLevel="0" collapsed="false">
      <c r="A273" s="17" t="n">
        <v>141</v>
      </c>
      <c r="B273" s="7" t="str">
        <f aca="false">INDEX('AC Estimate'!$B$5:$B$238,MATCH($A273,'AC Estimate'!$A$5:$A$238,0))</f>
        <v>Tiruchirappalli (East)</v>
      </c>
      <c r="C273" s="7" t="str">
        <f aca="false">INDEX('AC Estimate'!$C$5:$C$238,MATCH($A273,'AC Estimate'!$A$5:$A$238,0))</f>
        <v>Tiruchirappalli</v>
      </c>
      <c r="D273" s="7" t="n">
        <f aca="false">INDEX('AC Estimate'!$I$5:$I$238,MATCH($A273,'AC Estimate'!$A$5:$A$238,0))</f>
        <v>92</v>
      </c>
      <c r="E273" s="27" t="n">
        <f aca="false">INDEX('AC Estimate'!$J$5:$J$238,MATCH($A273,'AC Estimate'!$A$5:$A$238,0))</f>
        <v>0.239130434782609</v>
      </c>
      <c r="F273" s="27" t="n">
        <f aca="false">INDEX('AC Estimate'!$K$5:$K$238,MATCH($A273,'AC Estimate'!$A$5:$A$238,0))</f>
        <v>0.260869565217391</v>
      </c>
      <c r="G273" s="27" t="n">
        <f aca="false">INDEX('AC Estimate'!$L$5:$L$238,MATCH($A273,'AC Estimate'!$A$5:$A$238,0))</f>
        <v>0</v>
      </c>
      <c r="H273" s="27" t="n">
        <f aca="false">INDEX('AC Estimate'!$M$5:$M$238,MATCH($A273,'AC Estimate'!$A$5:$A$238,0))</f>
        <v>0.0434782608695652</v>
      </c>
      <c r="I273" s="27" t="n">
        <f aca="false">INDEX('AC Estimate'!$N$5:$N$238,MATCH($A273,'AC Estimate'!$A$5:$A$238,0))</f>
        <v>0.456521739130435</v>
      </c>
      <c r="J273" s="7" t="str">
        <f aca="false">INDEX('AC Estimate'!$P$5:$P$238,MATCH($A273,'AC Estimate'!$A$5:$A$238,0))</f>
        <v>TVK</v>
      </c>
      <c r="K273" s="7" t="str">
        <f aca="false">INDEX('AC Estimate'!$AK$5:$AK$238,MATCH($A273,'AC Estimate'!$A$5:$A$238,0))</f>
        <v>TVK</v>
      </c>
      <c r="L273" s="27" t="n">
        <f aca="false">INDEX('AC Estimate'!$AM$5:$AM$238,MATCH($A273,'AC Estimate'!$A$5:$A$238,0))</f>
        <v>0.701722605195201</v>
      </c>
      <c r="M273" s="7" t="str">
        <f aca="false">INDEX('AC Estimate'!$Q$5:$Q$238,MATCH($A273,'AC Estimate'!$A$5:$A$238,0))</f>
        <v>TVK</v>
      </c>
      <c r="N273" s="7" t="str">
        <f aca="false">INDEX('AC Estimate'!$R$5:$R$238,MATCH($A273,'AC Estimate'!$A$5:$A$238,0))</f>
        <v>TVK</v>
      </c>
      <c r="O273" s="7" t="str">
        <f aca="false">INDEX('AC Estimate'!$AL$5:$AL$238,MATCH($A273,'AC Estimate'!$A$5:$A$238,0))</f>
        <v>Yes</v>
      </c>
    </row>
    <row r="274" customFormat="false" ht="15" hidden="false" customHeight="false" outlineLevel="0" collapsed="false">
      <c r="A274" s="17" t="n">
        <v>142</v>
      </c>
      <c r="B274" s="7" t="str">
        <f aca="false">INDEX('AC Estimate'!$B$5:$B$238,MATCH($A274,'AC Estimate'!$A$5:$A$238,0))</f>
        <v>Thiruverumbur</v>
      </c>
      <c r="C274" s="7" t="str">
        <f aca="false">INDEX('AC Estimate'!$C$5:$C$238,MATCH($A274,'AC Estimate'!$A$5:$A$238,0))</f>
        <v>Tiruchirappalli</v>
      </c>
      <c r="D274" s="7" t="n">
        <f aca="false">INDEX('AC Estimate'!$I$5:$I$238,MATCH($A274,'AC Estimate'!$A$5:$A$238,0))</f>
        <v>69</v>
      </c>
      <c r="E274" s="27" t="n">
        <f aca="false">INDEX('AC Estimate'!$J$5:$J$238,MATCH($A274,'AC Estimate'!$A$5:$A$238,0))</f>
        <v>0.217391304347826</v>
      </c>
      <c r="F274" s="27" t="n">
        <f aca="false">INDEX('AC Estimate'!$K$5:$K$238,MATCH($A274,'AC Estimate'!$A$5:$A$238,0))</f>
        <v>0.376811594202899</v>
      </c>
      <c r="G274" s="27" t="n">
        <f aca="false">INDEX('AC Estimate'!$L$5:$L$238,MATCH($A274,'AC Estimate'!$A$5:$A$238,0))</f>
        <v>0</v>
      </c>
      <c r="H274" s="27" t="n">
        <f aca="false">INDEX('AC Estimate'!$M$5:$M$238,MATCH($A274,'AC Estimate'!$A$5:$A$238,0))</f>
        <v>0.0579710144927536</v>
      </c>
      <c r="I274" s="27" t="n">
        <f aca="false">INDEX('AC Estimate'!$N$5:$N$238,MATCH($A274,'AC Estimate'!$A$5:$A$238,0))</f>
        <v>0.347826086956522</v>
      </c>
      <c r="J274" s="7" t="str">
        <f aca="false">INDEX('AC Estimate'!$P$5:$P$238,MATCH($A274,'AC Estimate'!$A$5:$A$238,0))</f>
        <v>DMK+</v>
      </c>
      <c r="K274" s="7" t="str">
        <f aca="false">INDEX('AC Estimate'!$AK$5:$AK$238,MATCH($A274,'AC Estimate'!$A$5:$A$238,0))</f>
        <v>TVK</v>
      </c>
      <c r="L274" s="27" t="n">
        <f aca="false">INDEX('AC Estimate'!$AM$5:$AM$238,MATCH($A274,'AC Estimate'!$A$5:$A$238,0))</f>
        <v>0.549894245236754</v>
      </c>
      <c r="M274" s="7" t="str">
        <f aca="false">INDEX('AC Estimate'!$Q$5:$Q$238,MATCH($A274,'AC Estimate'!$A$5:$A$238,0))</f>
        <v>TVK</v>
      </c>
      <c r="N274" s="7" t="str">
        <f aca="false">INDEX('AC Estimate'!$R$5:$R$238,MATCH($A274,'AC Estimate'!$A$5:$A$238,0))</f>
        <v>TVK</v>
      </c>
      <c r="O274" s="7" t="str">
        <f aca="false">INDEX('AC Estimate'!$AL$5:$AL$238,MATCH($A274,'AC Estimate'!$A$5:$A$238,0))</f>
        <v>Yes</v>
      </c>
    </row>
    <row r="275" customFormat="false" ht="15" hidden="false" customHeight="false" outlineLevel="0" collapsed="false">
      <c r="A275" s="17" t="n">
        <v>143</v>
      </c>
      <c r="B275" s="7" t="str">
        <f aca="false">INDEX('AC Estimate'!$B$5:$B$238,MATCH($A275,'AC Estimate'!$A$5:$A$238,0))</f>
        <v>Lalgudi</v>
      </c>
      <c r="C275" s="7" t="str">
        <f aca="false">INDEX('AC Estimate'!$C$5:$C$238,MATCH($A275,'AC Estimate'!$A$5:$A$238,0))</f>
        <v>Tiruchirappalli</v>
      </c>
      <c r="D275" s="7" t="n">
        <f aca="false">INDEX('AC Estimate'!$I$5:$I$238,MATCH($A275,'AC Estimate'!$A$5:$A$238,0))</f>
        <v>27</v>
      </c>
      <c r="E275" s="27" t="n">
        <f aca="false">INDEX('AC Estimate'!$J$5:$J$238,MATCH($A275,'AC Estimate'!$A$5:$A$238,0))</f>
        <v>0.222222222222222</v>
      </c>
      <c r="F275" s="27" t="n">
        <f aca="false">INDEX('AC Estimate'!$K$5:$K$238,MATCH($A275,'AC Estimate'!$A$5:$A$238,0))</f>
        <v>0.111111111111111</v>
      </c>
      <c r="G275" s="27" t="n">
        <f aca="false">INDEX('AC Estimate'!$L$5:$L$238,MATCH($A275,'AC Estimate'!$A$5:$A$238,0))</f>
        <v>0</v>
      </c>
      <c r="H275" s="27" t="n">
        <f aca="false">INDEX('AC Estimate'!$M$5:$M$238,MATCH($A275,'AC Estimate'!$A$5:$A$238,0))</f>
        <v>0.148148148148148</v>
      </c>
      <c r="I275" s="27" t="n">
        <f aca="false">INDEX('AC Estimate'!$N$5:$N$238,MATCH($A275,'AC Estimate'!$A$5:$A$238,0))</f>
        <v>0.518518518518519</v>
      </c>
      <c r="J275" s="7" t="str">
        <f aca="false">INDEX('AC Estimate'!$P$5:$P$238,MATCH($A275,'AC Estimate'!$A$5:$A$238,0))</f>
        <v>TVK</v>
      </c>
      <c r="K275" s="7" t="str">
        <f aca="false">INDEX('AC Estimate'!$AK$5:$AK$238,MATCH($A275,'AC Estimate'!$A$5:$A$238,0))</f>
        <v>AIADMK+</v>
      </c>
      <c r="L275" s="27" t="n">
        <f aca="false">INDEX('AC Estimate'!$AM$5:$AM$238,MATCH($A275,'AC Estimate'!$A$5:$A$238,0))</f>
        <v>0.388661770436378</v>
      </c>
      <c r="M275" s="7" t="str">
        <f aca="false">INDEX('AC Estimate'!$Q$5:$Q$238,MATCH($A275,'AC Estimate'!$A$5:$A$238,0))</f>
        <v>AIADMK</v>
      </c>
      <c r="N275" s="7" t="str">
        <f aca="false">INDEX('AC Estimate'!$R$5:$R$238,MATCH($A275,'AC Estimate'!$A$5:$A$238,0))</f>
        <v>AIADMK+</v>
      </c>
      <c r="O275" s="7" t="str">
        <f aca="false">INDEX('AC Estimate'!$AL$5:$AL$238,MATCH($A275,'AC Estimate'!$A$5:$A$238,0))</f>
        <v>Yes</v>
      </c>
    </row>
    <row r="276" customFormat="false" ht="15" hidden="false" customHeight="false" outlineLevel="0" collapsed="false">
      <c r="A276" s="17" t="n">
        <v>144</v>
      </c>
      <c r="B276" s="7" t="str">
        <f aca="false">INDEX('AC Estimate'!$B$5:$B$238,MATCH($A276,'AC Estimate'!$A$5:$A$238,0))</f>
        <v>Manachanallur</v>
      </c>
      <c r="C276" s="7" t="str">
        <f aca="false">INDEX('AC Estimate'!$C$5:$C$238,MATCH($A276,'AC Estimate'!$A$5:$A$238,0))</f>
        <v>Tiruchirappalli</v>
      </c>
      <c r="D276" s="7" t="n">
        <f aca="false">INDEX('AC Estimate'!$I$5:$I$238,MATCH($A276,'AC Estimate'!$A$5:$A$238,0))</f>
        <v>45</v>
      </c>
      <c r="E276" s="27" t="n">
        <f aca="false">INDEX('AC Estimate'!$J$5:$J$238,MATCH($A276,'AC Estimate'!$A$5:$A$238,0))</f>
        <v>0.0888888888888889</v>
      </c>
      <c r="F276" s="27" t="n">
        <f aca="false">INDEX('AC Estimate'!$K$5:$K$238,MATCH($A276,'AC Estimate'!$A$5:$A$238,0))</f>
        <v>0.422222222222222</v>
      </c>
      <c r="G276" s="27" t="n">
        <f aca="false">INDEX('AC Estimate'!$L$5:$L$238,MATCH($A276,'AC Estimate'!$A$5:$A$238,0))</f>
        <v>0</v>
      </c>
      <c r="H276" s="27" t="n">
        <f aca="false">INDEX('AC Estimate'!$M$5:$M$238,MATCH($A276,'AC Estimate'!$A$5:$A$238,0))</f>
        <v>0.133333333333333</v>
      </c>
      <c r="I276" s="27" t="n">
        <f aca="false">INDEX('AC Estimate'!$N$5:$N$238,MATCH($A276,'AC Estimate'!$A$5:$A$238,0))</f>
        <v>0.355555555555556</v>
      </c>
      <c r="J276" s="7" t="str">
        <f aca="false">INDEX('AC Estimate'!$P$5:$P$238,MATCH($A276,'AC Estimate'!$A$5:$A$238,0))</f>
        <v>DMK+</v>
      </c>
      <c r="K276" s="7" t="str">
        <f aca="false">INDEX('AC Estimate'!$AK$5:$AK$238,MATCH($A276,'AC Estimate'!$A$5:$A$238,0))</f>
        <v>DMK+</v>
      </c>
      <c r="L276" s="27" t="n">
        <f aca="false">INDEX('AC Estimate'!$AM$5:$AM$238,MATCH($A276,'AC Estimate'!$A$5:$A$238,0))</f>
        <v>0.433834508752977</v>
      </c>
      <c r="M276" s="7" t="str">
        <f aca="false">INDEX('AC Estimate'!$Q$5:$Q$238,MATCH($A276,'AC Estimate'!$A$5:$A$238,0))</f>
        <v>DMK</v>
      </c>
      <c r="N276" s="7" t="str">
        <f aca="false">INDEX('AC Estimate'!$R$5:$R$238,MATCH($A276,'AC Estimate'!$A$5:$A$238,0))</f>
        <v>DMK+</v>
      </c>
      <c r="O276" s="7" t="str">
        <f aca="false">INDEX('AC Estimate'!$AL$5:$AL$238,MATCH($A276,'AC Estimate'!$A$5:$A$238,0))</f>
        <v>Yes</v>
      </c>
    </row>
    <row r="277" customFormat="false" ht="15" hidden="false" customHeight="false" outlineLevel="0" collapsed="false">
      <c r="A277" s="17" t="n">
        <v>145</v>
      </c>
      <c r="B277" s="7" t="str">
        <f aca="false">INDEX('AC Estimate'!$B$5:$B$238,MATCH($A277,'AC Estimate'!$A$5:$A$238,0))</f>
        <v>Musiri</v>
      </c>
      <c r="C277" s="7" t="str">
        <f aca="false">INDEX('AC Estimate'!$C$5:$C$238,MATCH($A277,'AC Estimate'!$A$5:$A$238,0))</f>
        <v>Tiruchirappalli</v>
      </c>
      <c r="D277" s="7" t="n">
        <f aca="false">INDEX('AC Estimate'!$I$5:$I$238,MATCH($A277,'AC Estimate'!$A$5:$A$238,0))</f>
        <v>44</v>
      </c>
      <c r="E277" s="27" t="n">
        <f aca="false">INDEX('AC Estimate'!$J$5:$J$238,MATCH($A277,'AC Estimate'!$A$5:$A$238,0))</f>
        <v>0.227272727272727</v>
      </c>
      <c r="F277" s="27" t="n">
        <f aca="false">INDEX('AC Estimate'!$K$5:$K$238,MATCH($A277,'AC Estimate'!$A$5:$A$238,0))</f>
        <v>0.363636363636364</v>
      </c>
      <c r="G277" s="27" t="n">
        <f aca="false">INDEX('AC Estimate'!$L$5:$L$238,MATCH($A277,'AC Estimate'!$A$5:$A$238,0))</f>
        <v>0</v>
      </c>
      <c r="H277" s="27" t="n">
        <f aca="false">INDEX('AC Estimate'!$M$5:$M$238,MATCH($A277,'AC Estimate'!$A$5:$A$238,0))</f>
        <v>0.113636363636364</v>
      </c>
      <c r="I277" s="27" t="n">
        <f aca="false">INDEX('AC Estimate'!$N$5:$N$238,MATCH($A277,'AC Estimate'!$A$5:$A$238,0))</f>
        <v>0.295454545454545</v>
      </c>
      <c r="J277" s="7" t="str">
        <f aca="false">INDEX('AC Estimate'!$P$5:$P$238,MATCH($A277,'AC Estimate'!$A$5:$A$238,0))</f>
        <v>DMK+</v>
      </c>
      <c r="K277" s="7" t="str">
        <f aca="false">INDEX('AC Estimate'!$AK$5:$AK$238,MATCH($A277,'AC Estimate'!$A$5:$A$238,0))</f>
        <v>TVK</v>
      </c>
      <c r="L277" s="27" t="n">
        <f aca="false">INDEX('AC Estimate'!$AM$5:$AM$238,MATCH($A277,'AC Estimate'!$A$5:$A$238,0))</f>
        <v>0.349646835415118</v>
      </c>
      <c r="M277" s="7" t="str">
        <f aca="false">INDEX('AC Estimate'!$Q$5:$Q$238,MATCH($A277,'AC Estimate'!$A$5:$A$238,0))</f>
        <v>TVK</v>
      </c>
      <c r="N277" s="7" t="str">
        <f aca="false">INDEX('AC Estimate'!$R$5:$R$238,MATCH($A277,'AC Estimate'!$A$5:$A$238,0))</f>
        <v>TVK</v>
      </c>
      <c r="O277" s="7" t="str">
        <f aca="false">INDEX('AC Estimate'!$AL$5:$AL$238,MATCH($A277,'AC Estimate'!$A$5:$A$238,0))</f>
        <v>Yes</v>
      </c>
    </row>
    <row r="278" customFormat="false" ht="15" hidden="false" customHeight="false" outlineLevel="0" collapsed="false">
      <c r="A278" s="17" t="n">
        <v>146</v>
      </c>
      <c r="B278" s="7" t="str">
        <f aca="false">INDEX('AC Estimate'!$B$5:$B$238,MATCH($A278,'AC Estimate'!$A$5:$A$238,0))</f>
        <v>Thuraiyur</v>
      </c>
      <c r="C278" s="7" t="str">
        <f aca="false">INDEX('AC Estimate'!$C$5:$C$238,MATCH($A278,'AC Estimate'!$A$5:$A$238,0))</f>
        <v>Tiruchirappalli</v>
      </c>
      <c r="D278" s="7" t="n">
        <f aca="false">INDEX('AC Estimate'!$I$5:$I$238,MATCH($A278,'AC Estimate'!$A$5:$A$238,0))</f>
        <v>40</v>
      </c>
      <c r="E278" s="27" t="n">
        <f aca="false">INDEX('AC Estimate'!$J$5:$J$238,MATCH($A278,'AC Estimate'!$A$5:$A$238,0))</f>
        <v>0.45</v>
      </c>
      <c r="F278" s="27" t="n">
        <f aca="false">INDEX('AC Estimate'!$K$5:$K$238,MATCH($A278,'AC Estimate'!$A$5:$A$238,0))</f>
        <v>0.125</v>
      </c>
      <c r="G278" s="27" t="n">
        <f aca="false">INDEX('AC Estimate'!$L$5:$L$238,MATCH($A278,'AC Estimate'!$A$5:$A$238,0))</f>
        <v>0.025</v>
      </c>
      <c r="H278" s="27" t="n">
        <f aca="false">INDEX('AC Estimate'!$M$5:$M$238,MATCH($A278,'AC Estimate'!$A$5:$A$238,0))</f>
        <v>0.025</v>
      </c>
      <c r="I278" s="27" t="n">
        <f aca="false">INDEX('AC Estimate'!$N$5:$N$238,MATCH($A278,'AC Estimate'!$A$5:$A$238,0))</f>
        <v>0.375</v>
      </c>
      <c r="J278" s="7" t="str">
        <f aca="false">INDEX('AC Estimate'!$P$5:$P$238,MATCH($A278,'AC Estimate'!$A$5:$A$238,0))</f>
        <v>AIADMK+</v>
      </c>
      <c r="K278" s="7" t="str">
        <f aca="false">INDEX('AC Estimate'!$AK$5:$AK$238,MATCH($A278,'AC Estimate'!$A$5:$A$238,0))</f>
        <v>TVK</v>
      </c>
      <c r="L278" s="27" t="n">
        <f aca="false">INDEX('AC Estimate'!$AM$5:$AM$238,MATCH($A278,'AC Estimate'!$A$5:$A$238,0))</f>
        <v>0.353461777600182</v>
      </c>
      <c r="M278" s="7" t="str">
        <f aca="false">INDEX('AC Estimate'!$Q$5:$Q$238,MATCH($A278,'AC Estimate'!$A$5:$A$238,0))</f>
        <v>TVK</v>
      </c>
      <c r="N278" s="7" t="str">
        <f aca="false">INDEX('AC Estimate'!$R$5:$R$238,MATCH($A278,'AC Estimate'!$A$5:$A$238,0))</f>
        <v>TVK</v>
      </c>
      <c r="O278" s="7" t="str">
        <f aca="false">INDEX('AC Estimate'!$AL$5:$AL$238,MATCH($A278,'AC Estimate'!$A$5:$A$238,0))</f>
        <v>Yes</v>
      </c>
    </row>
    <row r="279" customFormat="false" ht="15" hidden="false" customHeight="false" outlineLevel="0" collapsed="false">
      <c r="A279" s="33"/>
      <c r="B279" s="34" t="s">
        <v>151</v>
      </c>
      <c r="C279" s="33"/>
      <c r="D279" s="34" t="n">
        <f aca="false">SUM(D270:D278)</f>
        <v>506</v>
      </c>
      <c r="E279" s="33"/>
      <c r="F279" s="33"/>
      <c r="G279" s="33"/>
      <c r="H279" s="33"/>
      <c r="I279" s="33"/>
      <c r="J279" s="34" t="s">
        <v>92</v>
      </c>
      <c r="K279" s="34" t="str">
        <f aca="false">COUNTIF(K270:K278,"TVK")&amp;" / "&amp;COUNTIF(K270:K278,"AIADMK+")&amp;" / "&amp;COUNTIF(K270:K278,"DMK+")</f>
        <v>6 / 1 / 2</v>
      </c>
      <c r="L279" s="33"/>
      <c r="M279" s="34" t="s">
        <v>93</v>
      </c>
      <c r="N279" s="34" t="str">
        <f aca="false">COUNTIF(N270:N278,"TVK")&amp;" / "&amp;COUNTIF(N270:N278,"AIADMK+")&amp;" / "&amp;COUNTIF(N270:N278,"DMK+")</f>
        <v>6 / 1 / 2</v>
      </c>
      <c r="O279" s="34" t="str">
        <f aca="false">IF(AND(ABS(COUNTIF(K270:K278,"TVK")-COUNTIF(N270:N278,"TVK"))&lt;=Calibration!$B$3,ABS(COUNTIF(K270:K278,"AIADMK+")-COUNTIF(N270:N278,"AIADMK+"))&lt;=Calibration!$B$3,ABS(COUNTIF(K270:K278,"DMK+")-COUNTIF(N270:N278,"DMK+"))&lt;=Calibration!$B$3),"Within","Off")</f>
        <v>Within</v>
      </c>
    </row>
    <row r="281" customFormat="false" ht="15" hidden="false" customHeight="false" outlineLevel="0" collapsed="false">
      <c r="A281" s="31" t="s">
        <v>152</v>
      </c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customFormat="false" ht="15" hidden="false" customHeight="false" outlineLevel="0" collapsed="false">
      <c r="A282" s="17" t="n">
        <v>224</v>
      </c>
      <c r="B282" s="7" t="str">
        <f aca="false">INDEX('AC Estimate'!$B$5:$B$238,MATCH($A282,'AC Estimate'!$A$5:$A$238,0))</f>
        <v>Tirunelveli</v>
      </c>
      <c r="C282" s="7" t="str">
        <f aca="false">INDEX('AC Estimate'!$C$5:$C$238,MATCH($A282,'AC Estimate'!$A$5:$A$238,0))</f>
        <v>Tirunelveli</v>
      </c>
      <c r="D282" s="7" t="n">
        <f aca="false">INDEX('AC Estimate'!$I$5:$I$238,MATCH($A282,'AC Estimate'!$A$5:$A$238,0))</f>
        <v>86</v>
      </c>
      <c r="E282" s="27" t="n">
        <f aca="false">INDEX('AC Estimate'!$J$5:$J$238,MATCH($A282,'AC Estimate'!$A$5:$A$238,0))</f>
        <v>0.197674418604651</v>
      </c>
      <c r="F282" s="27" t="n">
        <f aca="false">INDEX('AC Estimate'!$K$5:$K$238,MATCH($A282,'AC Estimate'!$A$5:$A$238,0))</f>
        <v>0.209302325581395</v>
      </c>
      <c r="G282" s="27" t="n">
        <f aca="false">INDEX('AC Estimate'!$L$5:$L$238,MATCH($A282,'AC Estimate'!$A$5:$A$238,0))</f>
        <v>0.0348837209302326</v>
      </c>
      <c r="H282" s="27" t="n">
        <f aca="false">INDEX('AC Estimate'!$M$5:$M$238,MATCH($A282,'AC Estimate'!$A$5:$A$238,0))</f>
        <v>0.116279069767442</v>
      </c>
      <c r="I282" s="27" t="n">
        <f aca="false">INDEX('AC Estimate'!$N$5:$N$238,MATCH($A282,'AC Estimate'!$A$5:$A$238,0))</f>
        <v>0.441860465116279</v>
      </c>
      <c r="J282" s="7" t="str">
        <f aca="false">INDEX('AC Estimate'!$P$5:$P$238,MATCH($A282,'AC Estimate'!$A$5:$A$238,0))</f>
        <v>TVK</v>
      </c>
      <c r="K282" s="7" t="str">
        <f aca="false">INDEX('AC Estimate'!$AK$5:$AK$238,MATCH($A282,'AC Estimate'!$A$5:$A$238,0))</f>
        <v>TVK</v>
      </c>
      <c r="L282" s="27" t="n">
        <f aca="false">INDEX('AC Estimate'!$AM$5:$AM$238,MATCH($A282,'AC Estimate'!$A$5:$A$238,0))</f>
        <v>0.668328592518534</v>
      </c>
      <c r="M282" s="7" t="str">
        <f aca="false">INDEX('AC Estimate'!$Q$5:$Q$238,MATCH($A282,'AC Estimate'!$A$5:$A$238,0))</f>
        <v>TVK</v>
      </c>
      <c r="N282" s="7" t="str">
        <f aca="false">INDEX('AC Estimate'!$R$5:$R$238,MATCH($A282,'AC Estimate'!$A$5:$A$238,0))</f>
        <v>TVK</v>
      </c>
      <c r="O282" s="7" t="str">
        <f aca="false">INDEX('AC Estimate'!$AL$5:$AL$238,MATCH($A282,'AC Estimate'!$A$5:$A$238,0))</f>
        <v>Yes</v>
      </c>
    </row>
    <row r="283" customFormat="false" ht="15" hidden="false" customHeight="false" outlineLevel="0" collapsed="false">
      <c r="A283" s="17" t="n">
        <v>225</v>
      </c>
      <c r="B283" s="7" t="str">
        <f aca="false">INDEX('AC Estimate'!$B$5:$B$238,MATCH($A283,'AC Estimate'!$A$5:$A$238,0))</f>
        <v>Ambasamudram</v>
      </c>
      <c r="C283" s="7" t="str">
        <f aca="false">INDEX('AC Estimate'!$C$5:$C$238,MATCH($A283,'AC Estimate'!$A$5:$A$238,0))</f>
        <v>Tirunelveli</v>
      </c>
      <c r="D283" s="7" t="n">
        <f aca="false">INDEX('AC Estimate'!$I$5:$I$238,MATCH($A283,'AC Estimate'!$A$5:$A$238,0))</f>
        <v>53</v>
      </c>
      <c r="E283" s="27" t="n">
        <f aca="false">INDEX('AC Estimate'!$J$5:$J$238,MATCH($A283,'AC Estimate'!$A$5:$A$238,0))</f>
        <v>0.150943396226415</v>
      </c>
      <c r="F283" s="27" t="n">
        <f aca="false">INDEX('AC Estimate'!$K$5:$K$238,MATCH($A283,'AC Estimate'!$A$5:$A$238,0))</f>
        <v>0.415094339622642</v>
      </c>
      <c r="G283" s="27" t="n">
        <f aca="false">INDEX('AC Estimate'!$L$5:$L$238,MATCH($A283,'AC Estimate'!$A$5:$A$238,0))</f>
        <v>0.0188679245283019</v>
      </c>
      <c r="H283" s="27" t="n">
        <f aca="false">INDEX('AC Estimate'!$M$5:$M$238,MATCH($A283,'AC Estimate'!$A$5:$A$238,0))</f>
        <v>0.0943396226415094</v>
      </c>
      <c r="I283" s="27" t="n">
        <f aca="false">INDEX('AC Estimate'!$N$5:$N$238,MATCH($A283,'AC Estimate'!$A$5:$A$238,0))</f>
        <v>0.320754716981132</v>
      </c>
      <c r="J283" s="7" t="str">
        <f aca="false">INDEX('AC Estimate'!$P$5:$P$238,MATCH($A283,'AC Estimate'!$A$5:$A$238,0))</f>
        <v>DMK+</v>
      </c>
      <c r="K283" s="7" t="str">
        <f aca="false">INDEX('AC Estimate'!$AK$5:$AK$238,MATCH($A283,'AC Estimate'!$A$5:$A$238,0))</f>
        <v>TVK</v>
      </c>
      <c r="L283" s="27" t="n">
        <f aca="false">INDEX('AC Estimate'!$AM$5:$AM$238,MATCH($A283,'AC Estimate'!$A$5:$A$238,0))</f>
        <v>0.405736551982467</v>
      </c>
      <c r="M283" s="7" t="str">
        <f aca="false">INDEX('AC Estimate'!$Q$5:$Q$238,MATCH($A283,'AC Estimate'!$A$5:$A$238,0))</f>
        <v>AIADMK</v>
      </c>
      <c r="N283" s="7" t="str">
        <f aca="false">INDEX('AC Estimate'!$R$5:$R$238,MATCH($A283,'AC Estimate'!$A$5:$A$238,0))</f>
        <v>AIADMK+</v>
      </c>
      <c r="O283" s="7" t="str">
        <f aca="false">INDEX('AC Estimate'!$AL$5:$AL$238,MATCH($A283,'AC Estimate'!$A$5:$A$238,0))</f>
        <v>No</v>
      </c>
    </row>
    <row r="284" customFormat="false" ht="15" hidden="false" customHeight="false" outlineLevel="0" collapsed="false">
      <c r="A284" s="17" t="n">
        <v>226</v>
      </c>
      <c r="B284" s="7" t="str">
        <f aca="false">INDEX('AC Estimate'!$B$5:$B$238,MATCH($A284,'AC Estimate'!$A$5:$A$238,0))</f>
        <v>Palayamkottai</v>
      </c>
      <c r="C284" s="7" t="str">
        <f aca="false">INDEX('AC Estimate'!$C$5:$C$238,MATCH($A284,'AC Estimate'!$A$5:$A$238,0))</f>
        <v>Tirunelveli</v>
      </c>
      <c r="D284" s="7" t="n">
        <f aca="false">INDEX('AC Estimate'!$I$5:$I$238,MATCH($A284,'AC Estimate'!$A$5:$A$238,0))</f>
        <v>50</v>
      </c>
      <c r="E284" s="27" t="n">
        <f aca="false">INDEX('AC Estimate'!$J$5:$J$238,MATCH($A284,'AC Estimate'!$A$5:$A$238,0))</f>
        <v>0.24</v>
      </c>
      <c r="F284" s="27" t="n">
        <f aca="false">INDEX('AC Estimate'!$K$5:$K$238,MATCH($A284,'AC Estimate'!$A$5:$A$238,0))</f>
        <v>0.48</v>
      </c>
      <c r="G284" s="27" t="n">
        <f aca="false">INDEX('AC Estimate'!$L$5:$L$238,MATCH($A284,'AC Estimate'!$A$5:$A$238,0))</f>
        <v>0</v>
      </c>
      <c r="H284" s="27" t="n">
        <f aca="false">INDEX('AC Estimate'!$M$5:$M$238,MATCH($A284,'AC Estimate'!$A$5:$A$238,0))</f>
        <v>0.04</v>
      </c>
      <c r="I284" s="27" t="n">
        <f aca="false">INDEX('AC Estimate'!$N$5:$N$238,MATCH($A284,'AC Estimate'!$A$5:$A$238,0))</f>
        <v>0.24</v>
      </c>
      <c r="J284" s="7" t="str">
        <f aca="false">INDEX('AC Estimate'!$P$5:$P$238,MATCH($A284,'AC Estimate'!$A$5:$A$238,0))</f>
        <v>DMK+</v>
      </c>
      <c r="K284" s="7" t="str">
        <f aca="false">INDEX('AC Estimate'!$AK$5:$AK$238,MATCH($A284,'AC Estimate'!$A$5:$A$238,0))</f>
        <v>DMK+</v>
      </c>
      <c r="L284" s="27" t="n">
        <f aca="false">INDEX('AC Estimate'!$AM$5:$AM$238,MATCH($A284,'AC Estimate'!$A$5:$A$238,0))</f>
        <v>0.431699255788343</v>
      </c>
      <c r="M284" s="7" t="str">
        <f aca="false">INDEX('AC Estimate'!$Q$5:$Q$238,MATCH($A284,'AC Estimate'!$A$5:$A$238,0))</f>
        <v>DMK</v>
      </c>
      <c r="N284" s="7" t="str">
        <f aca="false">INDEX('AC Estimate'!$R$5:$R$238,MATCH($A284,'AC Estimate'!$A$5:$A$238,0))</f>
        <v>DMK+</v>
      </c>
      <c r="O284" s="7" t="str">
        <f aca="false">INDEX('AC Estimate'!$AL$5:$AL$238,MATCH($A284,'AC Estimate'!$A$5:$A$238,0))</f>
        <v>Yes</v>
      </c>
    </row>
    <row r="285" customFormat="false" ht="15" hidden="false" customHeight="false" outlineLevel="0" collapsed="false">
      <c r="A285" s="17" t="n">
        <v>227</v>
      </c>
      <c r="B285" s="7" t="str">
        <f aca="false">INDEX('AC Estimate'!$B$5:$B$238,MATCH($A285,'AC Estimate'!$A$5:$A$238,0))</f>
        <v>Nanguneri</v>
      </c>
      <c r="C285" s="7" t="str">
        <f aca="false">INDEX('AC Estimate'!$C$5:$C$238,MATCH($A285,'AC Estimate'!$A$5:$A$238,0))</f>
        <v>Tirunelveli</v>
      </c>
      <c r="D285" s="7" t="n">
        <f aca="false">INDEX('AC Estimate'!$I$5:$I$238,MATCH($A285,'AC Estimate'!$A$5:$A$238,0))</f>
        <v>43</v>
      </c>
      <c r="E285" s="27" t="n">
        <f aca="false">INDEX('AC Estimate'!$J$5:$J$238,MATCH($A285,'AC Estimate'!$A$5:$A$238,0))</f>
        <v>0.116279069767442</v>
      </c>
      <c r="F285" s="27" t="n">
        <f aca="false">INDEX('AC Estimate'!$K$5:$K$238,MATCH($A285,'AC Estimate'!$A$5:$A$238,0))</f>
        <v>0.27906976744186</v>
      </c>
      <c r="G285" s="27" t="n">
        <f aca="false">INDEX('AC Estimate'!$L$5:$L$238,MATCH($A285,'AC Estimate'!$A$5:$A$238,0))</f>
        <v>0</v>
      </c>
      <c r="H285" s="27" t="n">
        <f aca="false">INDEX('AC Estimate'!$M$5:$M$238,MATCH($A285,'AC Estimate'!$A$5:$A$238,0))</f>
        <v>0.162790697674419</v>
      </c>
      <c r="I285" s="27" t="n">
        <f aca="false">INDEX('AC Estimate'!$N$5:$N$238,MATCH($A285,'AC Estimate'!$A$5:$A$238,0))</f>
        <v>0.441860465116279</v>
      </c>
      <c r="J285" s="7" t="str">
        <f aca="false">INDEX('AC Estimate'!$P$5:$P$238,MATCH($A285,'AC Estimate'!$A$5:$A$238,0))</f>
        <v>AIADMK+</v>
      </c>
      <c r="K285" s="7" t="str">
        <f aca="false">INDEX('AC Estimate'!$AK$5:$AK$238,MATCH($A285,'AC Estimate'!$A$5:$A$238,0))</f>
        <v>AIADMK+</v>
      </c>
      <c r="L285" s="27" t="n">
        <f aca="false">INDEX('AC Estimate'!$AM$5:$AM$238,MATCH($A285,'AC Estimate'!$A$5:$A$238,0))</f>
        <v>0.228154721868817</v>
      </c>
      <c r="M285" s="7" t="str">
        <f aca="false">INDEX('AC Estimate'!$Q$5:$Q$238,MATCH($A285,'AC Estimate'!$A$5:$A$238,0))</f>
        <v>TVK</v>
      </c>
      <c r="N285" s="7" t="str">
        <f aca="false">INDEX('AC Estimate'!$R$5:$R$238,MATCH($A285,'AC Estimate'!$A$5:$A$238,0))</f>
        <v>TVK</v>
      </c>
      <c r="O285" s="7" t="str">
        <f aca="false">INDEX('AC Estimate'!$AL$5:$AL$238,MATCH($A285,'AC Estimate'!$A$5:$A$238,0))</f>
        <v>No</v>
      </c>
    </row>
    <row r="286" customFormat="false" ht="15" hidden="false" customHeight="false" outlineLevel="0" collapsed="false">
      <c r="A286" s="17" t="n">
        <v>228</v>
      </c>
      <c r="B286" s="7" t="str">
        <f aca="false">INDEX('AC Estimate'!$B$5:$B$238,MATCH($A286,'AC Estimate'!$A$5:$A$238,0))</f>
        <v>Radhapuram</v>
      </c>
      <c r="C286" s="7" t="str">
        <f aca="false">INDEX('AC Estimate'!$C$5:$C$238,MATCH($A286,'AC Estimate'!$A$5:$A$238,0))</f>
        <v>Tirunelveli</v>
      </c>
      <c r="D286" s="7" t="n">
        <f aca="false">INDEX('AC Estimate'!$I$5:$I$238,MATCH($A286,'AC Estimate'!$A$5:$A$238,0))</f>
        <v>59</v>
      </c>
      <c r="E286" s="27" t="n">
        <f aca="false">INDEX('AC Estimate'!$J$5:$J$238,MATCH($A286,'AC Estimate'!$A$5:$A$238,0))</f>
        <v>0.254237288135593</v>
      </c>
      <c r="F286" s="27" t="n">
        <f aca="false">INDEX('AC Estimate'!$K$5:$K$238,MATCH($A286,'AC Estimate'!$A$5:$A$238,0))</f>
        <v>0.322033898305085</v>
      </c>
      <c r="G286" s="27" t="n">
        <f aca="false">INDEX('AC Estimate'!$L$5:$L$238,MATCH($A286,'AC Estimate'!$A$5:$A$238,0))</f>
        <v>0</v>
      </c>
      <c r="H286" s="27" t="n">
        <f aca="false">INDEX('AC Estimate'!$M$5:$M$238,MATCH($A286,'AC Estimate'!$A$5:$A$238,0))</f>
        <v>0.135593220338983</v>
      </c>
      <c r="I286" s="27" t="n">
        <f aca="false">INDEX('AC Estimate'!$N$5:$N$238,MATCH($A286,'AC Estimate'!$A$5:$A$238,0))</f>
        <v>0.288135593220339</v>
      </c>
      <c r="J286" s="7" t="str">
        <f aca="false">INDEX('AC Estimate'!$P$5:$P$238,MATCH($A286,'AC Estimate'!$A$5:$A$238,0))</f>
        <v>DMK+</v>
      </c>
      <c r="K286" s="7" t="str">
        <f aca="false">INDEX('AC Estimate'!$AK$5:$AK$238,MATCH($A286,'AC Estimate'!$A$5:$A$238,0))</f>
        <v>TVK</v>
      </c>
      <c r="L286" s="27" t="n">
        <f aca="false">INDEX('AC Estimate'!$AM$5:$AM$238,MATCH($A286,'AC Estimate'!$A$5:$A$238,0))</f>
        <v>0.463541272426739</v>
      </c>
      <c r="M286" s="7" t="str">
        <f aca="false">INDEX('AC Estimate'!$Q$5:$Q$238,MATCH($A286,'AC Estimate'!$A$5:$A$238,0))</f>
        <v>TVK</v>
      </c>
      <c r="N286" s="7" t="str">
        <f aca="false">INDEX('AC Estimate'!$R$5:$R$238,MATCH($A286,'AC Estimate'!$A$5:$A$238,0))</f>
        <v>TVK</v>
      </c>
      <c r="O286" s="7" t="str">
        <f aca="false">INDEX('AC Estimate'!$AL$5:$AL$238,MATCH($A286,'AC Estimate'!$A$5:$A$238,0))</f>
        <v>Yes</v>
      </c>
    </row>
    <row r="287" customFormat="false" ht="15" hidden="false" customHeight="false" outlineLevel="0" collapsed="false">
      <c r="A287" s="33"/>
      <c r="B287" s="34" t="s">
        <v>153</v>
      </c>
      <c r="C287" s="33"/>
      <c r="D287" s="34" t="n">
        <f aca="false">SUM(D282:D286)</f>
        <v>291</v>
      </c>
      <c r="E287" s="33"/>
      <c r="F287" s="33"/>
      <c r="G287" s="33"/>
      <c r="H287" s="33"/>
      <c r="I287" s="33"/>
      <c r="J287" s="34" t="s">
        <v>92</v>
      </c>
      <c r="K287" s="34" t="str">
        <f aca="false">COUNTIF(K282:K286,"TVK")&amp;" / "&amp;COUNTIF(K282:K286,"AIADMK+")&amp;" / "&amp;COUNTIF(K282:K286,"DMK+")</f>
        <v>3 / 1 / 1</v>
      </c>
      <c r="L287" s="33"/>
      <c r="M287" s="34" t="s">
        <v>93</v>
      </c>
      <c r="N287" s="34" t="str">
        <f aca="false">COUNTIF(N282:N286,"TVK")&amp;" / "&amp;COUNTIF(N282:N286,"AIADMK+")&amp;" / "&amp;COUNTIF(N282:N286,"DMK+")</f>
        <v>3 / 1 / 1</v>
      </c>
      <c r="O287" s="34" t="str">
        <f aca="false">IF(AND(ABS(COUNTIF(K282:K286,"TVK")-COUNTIF(N282:N286,"TVK"))&lt;=Calibration!$B$3,ABS(COUNTIF(K282:K286,"AIADMK+")-COUNTIF(N282:N286,"AIADMK+"))&lt;=Calibration!$B$3,ABS(COUNTIF(K282:K286,"DMK+")-COUNTIF(N282:N286,"DMK+"))&lt;=Calibration!$B$3),"Within","Off")</f>
        <v>Within</v>
      </c>
    </row>
    <row r="289" customFormat="false" ht="15" hidden="false" customHeight="false" outlineLevel="0" collapsed="false">
      <c r="A289" s="31" t="s">
        <v>154</v>
      </c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customFormat="false" ht="15" hidden="false" customHeight="false" outlineLevel="0" collapsed="false">
      <c r="A290" s="17" t="n">
        <v>47</v>
      </c>
      <c r="B290" s="7" t="str">
        <f aca="false">INDEX('AC Estimate'!$B$5:$B$238,MATCH($A290,'AC Estimate'!$A$5:$A$238,0))</f>
        <v>Vaniyambadi</v>
      </c>
      <c r="C290" s="7" t="str">
        <f aca="false">INDEX('AC Estimate'!$C$5:$C$238,MATCH($A290,'AC Estimate'!$A$5:$A$238,0))</f>
        <v>Tirupathur</v>
      </c>
      <c r="D290" s="7" t="n">
        <f aca="false">INDEX('AC Estimate'!$I$5:$I$238,MATCH($A290,'AC Estimate'!$A$5:$A$238,0))</f>
        <v>19</v>
      </c>
      <c r="E290" s="27" t="n">
        <f aca="false">INDEX('AC Estimate'!$J$5:$J$238,MATCH($A290,'AC Estimate'!$A$5:$A$238,0))</f>
        <v>0.210526315789474</v>
      </c>
      <c r="F290" s="27" t="n">
        <f aca="false">INDEX('AC Estimate'!$K$5:$K$238,MATCH($A290,'AC Estimate'!$A$5:$A$238,0))</f>
        <v>0.157894736842105</v>
      </c>
      <c r="G290" s="27" t="n">
        <f aca="false">INDEX('AC Estimate'!$L$5:$L$238,MATCH($A290,'AC Estimate'!$A$5:$A$238,0))</f>
        <v>0</v>
      </c>
      <c r="H290" s="27" t="n">
        <f aca="false">INDEX('AC Estimate'!$M$5:$M$238,MATCH($A290,'AC Estimate'!$A$5:$A$238,0))</f>
        <v>0</v>
      </c>
      <c r="I290" s="27" t="n">
        <f aca="false">INDEX('AC Estimate'!$N$5:$N$238,MATCH($A290,'AC Estimate'!$A$5:$A$238,0))</f>
        <v>0.631578947368421</v>
      </c>
      <c r="J290" s="7" t="str">
        <f aca="false">INDEX('AC Estimate'!$P$5:$P$238,MATCH($A290,'AC Estimate'!$A$5:$A$238,0))</f>
        <v>TVK</v>
      </c>
      <c r="K290" s="7" t="str">
        <f aca="false">INDEX('AC Estimate'!$AK$5:$AK$238,MATCH($A290,'AC Estimate'!$A$5:$A$238,0))</f>
        <v>AIADMK+</v>
      </c>
      <c r="L290" s="27" t="n">
        <f aca="false">INDEX('AC Estimate'!$AM$5:$AM$238,MATCH($A290,'AC Estimate'!$A$5:$A$238,0))</f>
        <v>0.371770489419136</v>
      </c>
      <c r="M290" s="7" t="str">
        <f aca="false">INDEX('AC Estimate'!$Q$5:$Q$238,MATCH($A290,'AC Estimate'!$A$5:$A$238,0))</f>
        <v>IUML</v>
      </c>
      <c r="N290" s="7" t="str">
        <f aca="false">INDEX('AC Estimate'!$R$5:$R$238,MATCH($A290,'AC Estimate'!$A$5:$A$238,0))</f>
        <v>DMK+</v>
      </c>
      <c r="O290" s="7" t="str">
        <f aca="false">INDEX('AC Estimate'!$AL$5:$AL$238,MATCH($A290,'AC Estimate'!$A$5:$A$238,0))</f>
        <v>No</v>
      </c>
    </row>
    <row r="291" customFormat="false" ht="15" hidden="false" customHeight="false" outlineLevel="0" collapsed="false">
      <c r="A291" s="17" t="n">
        <v>48</v>
      </c>
      <c r="B291" s="7" t="str">
        <f aca="false">INDEX('AC Estimate'!$B$5:$B$238,MATCH($A291,'AC Estimate'!$A$5:$A$238,0))</f>
        <v>Ambur</v>
      </c>
      <c r="C291" s="7" t="str">
        <f aca="false">INDEX('AC Estimate'!$C$5:$C$238,MATCH($A291,'AC Estimate'!$A$5:$A$238,0))</f>
        <v>Tirupathur</v>
      </c>
      <c r="D291" s="7" t="n">
        <f aca="false">INDEX('AC Estimate'!$I$5:$I$238,MATCH($A291,'AC Estimate'!$A$5:$A$238,0))</f>
        <v>37</v>
      </c>
      <c r="E291" s="27" t="n">
        <f aca="false">INDEX('AC Estimate'!$J$5:$J$238,MATCH($A291,'AC Estimate'!$A$5:$A$238,0))</f>
        <v>0.243243243243243</v>
      </c>
      <c r="F291" s="27" t="n">
        <f aca="false">INDEX('AC Estimate'!$K$5:$K$238,MATCH($A291,'AC Estimate'!$A$5:$A$238,0))</f>
        <v>0.405405405405405</v>
      </c>
      <c r="G291" s="27" t="n">
        <f aca="false">INDEX('AC Estimate'!$L$5:$L$238,MATCH($A291,'AC Estimate'!$A$5:$A$238,0))</f>
        <v>0</v>
      </c>
      <c r="H291" s="27" t="n">
        <f aca="false">INDEX('AC Estimate'!$M$5:$M$238,MATCH($A291,'AC Estimate'!$A$5:$A$238,0))</f>
        <v>0</v>
      </c>
      <c r="I291" s="27" t="n">
        <f aca="false">INDEX('AC Estimate'!$N$5:$N$238,MATCH($A291,'AC Estimate'!$A$5:$A$238,0))</f>
        <v>0.351351351351351</v>
      </c>
      <c r="J291" s="7" t="str">
        <f aca="false">INDEX('AC Estimate'!$P$5:$P$238,MATCH($A291,'AC Estimate'!$A$5:$A$238,0))</f>
        <v>DMK+</v>
      </c>
      <c r="K291" s="7" t="str">
        <f aca="false">INDEX('AC Estimate'!$AK$5:$AK$238,MATCH($A291,'AC Estimate'!$A$5:$A$238,0))</f>
        <v>DMK+</v>
      </c>
      <c r="L291" s="27" t="n">
        <f aca="false">INDEX('AC Estimate'!$AM$5:$AM$238,MATCH($A291,'AC Estimate'!$A$5:$A$238,0))</f>
        <v>0.44661127845174</v>
      </c>
      <c r="M291" s="7" t="str">
        <f aca="false">INDEX('AC Estimate'!$Q$5:$Q$238,MATCH($A291,'AC Estimate'!$A$5:$A$238,0))</f>
        <v>DMK</v>
      </c>
      <c r="N291" s="7" t="str">
        <f aca="false">INDEX('AC Estimate'!$R$5:$R$238,MATCH($A291,'AC Estimate'!$A$5:$A$238,0))</f>
        <v>DMK+</v>
      </c>
      <c r="O291" s="7" t="str">
        <f aca="false">INDEX('AC Estimate'!$AL$5:$AL$238,MATCH($A291,'AC Estimate'!$A$5:$A$238,0))</f>
        <v>Yes</v>
      </c>
    </row>
    <row r="292" customFormat="false" ht="15" hidden="false" customHeight="false" outlineLevel="0" collapsed="false">
      <c r="A292" s="17" t="n">
        <v>49</v>
      </c>
      <c r="B292" s="7" t="str">
        <f aca="false">INDEX('AC Estimate'!$B$5:$B$238,MATCH($A292,'AC Estimate'!$A$5:$A$238,0))</f>
        <v>Jolarpet</v>
      </c>
      <c r="C292" s="7" t="str">
        <f aca="false">INDEX('AC Estimate'!$C$5:$C$238,MATCH($A292,'AC Estimate'!$A$5:$A$238,0))</f>
        <v>Tirupathur</v>
      </c>
      <c r="D292" s="7" t="n">
        <f aca="false">INDEX('AC Estimate'!$I$5:$I$238,MATCH($A292,'AC Estimate'!$A$5:$A$238,0))</f>
        <v>24</v>
      </c>
      <c r="E292" s="27" t="n">
        <f aca="false">INDEX('AC Estimate'!$J$5:$J$238,MATCH($A292,'AC Estimate'!$A$5:$A$238,0))</f>
        <v>0.25</v>
      </c>
      <c r="F292" s="27" t="n">
        <f aca="false">INDEX('AC Estimate'!$K$5:$K$238,MATCH($A292,'AC Estimate'!$A$5:$A$238,0))</f>
        <v>0.25</v>
      </c>
      <c r="G292" s="27" t="n">
        <f aca="false">INDEX('AC Estimate'!$L$5:$L$238,MATCH($A292,'AC Estimate'!$A$5:$A$238,0))</f>
        <v>0</v>
      </c>
      <c r="H292" s="27" t="n">
        <f aca="false">INDEX('AC Estimate'!$M$5:$M$238,MATCH($A292,'AC Estimate'!$A$5:$A$238,0))</f>
        <v>0.125</v>
      </c>
      <c r="I292" s="27" t="n">
        <f aca="false">INDEX('AC Estimate'!$N$5:$N$238,MATCH($A292,'AC Estimate'!$A$5:$A$238,0))</f>
        <v>0.375</v>
      </c>
      <c r="J292" s="7" t="str">
        <f aca="false">INDEX('AC Estimate'!$P$5:$P$238,MATCH($A292,'AC Estimate'!$A$5:$A$238,0))</f>
        <v>TVK</v>
      </c>
      <c r="K292" s="7" t="str">
        <f aca="false">INDEX('AC Estimate'!$AK$5:$AK$238,MATCH($A292,'AC Estimate'!$A$5:$A$238,0))</f>
        <v>DMK+</v>
      </c>
      <c r="L292" s="27" t="n">
        <f aca="false">INDEX('AC Estimate'!$AM$5:$AM$238,MATCH($A292,'AC Estimate'!$A$5:$A$238,0))</f>
        <v>0.475167447436923</v>
      </c>
      <c r="M292" s="7" t="str">
        <f aca="false">INDEX('AC Estimate'!$Q$5:$Q$238,MATCH($A292,'AC Estimate'!$A$5:$A$238,0))</f>
        <v>AIADMK</v>
      </c>
      <c r="N292" s="7" t="str">
        <f aca="false">INDEX('AC Estimate'!$R$5:$R$238,MATCH($A292,'AC Estimate'!$A$5:$A$238,0))</f>
        <v>AIADMK+</v>
      </c>
      <c r="O292" s="7" t="str">
        <f aca="false">INDEX('AC Estimate'!$AL$5:$AL$238,MATCH($A292,'AC Estimate'!$A$5:$A$238,0))</f>
        <v>No</v>
      </c>
    </row>
    <row r="293" customFormat="false" ht="15" hidden="false" customHeight="false" outlineLevel="0" collapsed="false">
      <c r="A293" s="17" t="n">
        <v>50</v>
      </c>
      <c r="B293" s="7" t="str">
        <f aca="false">INDEX('AC Estimate'!$B$5:$B$238,MATCH($A293,'AC Estimate'!$A$5:$A$238,0))</f>
        <v>Tiruppattur</v>
      </c>
      <c r="C293" s="7" t="str">
        <f aca="false">INDEX('AC Estimate'!$C$5:$C$238,MATCH($A293,'AC Estimate'!$A$5:$A$238,0))</f>
        <v>Tirupathur</v>
      </c>
      <c r="D293" s="7" t="n">
        <f aca="false">INDEX('AC Estimate'!$I$5:$I$238,MATCH($A293,'AC Estimate'!$A$5:$A$238,0))</f>
        <v>51</v>
      </c>
      <c r="E293" s="27" t="n">
        <f aca="false">INDEX('AC Estimate'!$J$5:$J$238,MATCH($A293,'AC Estimate'!$A$5:$A$238,0))</f>
        <v>0.117647058823529</v>
      </c>
      <c r="F293" s="27" t="n">
        <f aca="false">INDEX('AC Estimate'!$K$5:$K$238,MATCH($A293,'AC Estimate'!$A$5:$A$238,0))</f>
        <v>0.509803921568627</v>
      </c>
      <c r="G293" s="27" t="n">
        <f aca="false">INDEX('AC Estimate'!$L$5:$L$238,MATCH($A293,'AC Estimate'!$A$5:$A$238,0))</f>
        <v>0</v>
      </c>
      <c r="H293" s="27" t="n">
        <f aca="false">INDEX('AC Estimate'!$M$5:$M$238,MATCH($A293,'AC Estimate'!$A$5:$A$238,0))</f>
        <v>0</v>
      </c>
      <c r="I293" s="27" t="n">
        <f aca="false">INDEX('AC Estimate'!$N$5:$N$238,MATCH($A293,'AC Estimate'!$A$5:$A$238,0))</f>
        <v>0.372549019607843</v>
      </c>
      <c r="J293" s="7" t="str">
        <f aca="false">INDEX('AC Estimate'!$P$5:$P$238,MATCH($A293,'AC Estimate'!$A$5:$A$238,0))</f>
        <v>DMK+</v>
      </c>
      <c r="K293" s="7" t="str">
        <f aca="false">INDEX('AC Estimate'!$AK$5:$AK$238,MATCH($A293,'AC Estimate'!$A$5:$A$238,0))</f>
        <v>TVK</v>
      </c>
      <c r="L293" s="27" t="n">
        <f aca="false">INDEX('AC Estimate'!$AM$5:$AM$238,MATCH($A293,'AC Estimate'!$A$5:$A$238,0))</f>
        <v>0.407066005127494</v>
      </c>
      <c r="M293" s="7" t="str">
        <f aca="false">INDEX('AC Estimate'!$Q$5:$Q$238,MATCH($A293,'AC Estimate'!$A$5:$A$238,0))</f>
        <v>TVK</v>
      </c>
      <c r="N293" s="7" t="str">
        <f aca="false">INDEX('AC Estimate'!$R$5:$R$238,MATCH($A293,'AC Estimate'!$A$5:$A$238,0))</f>
        <v>TVK</v>
      </c>
      <c r="O293" s="7" t="str">
        <f aca="false">INDEX('AC Estimate'!$AL$5:$AL$238,MATCH($A293,'AC Estimate'!$A$5:$A$238,0))</f>
        <v>Yes</v>
      </c>
    </row>
    <row r="294" customFormat="false" ht="15" hidden="false" customHeight="false" outlineLevel="0" collapsed="false">
      <c r="A294" s="33"/>
      <c r="B294" s="34" t="s">
        <v>155</v>
      </c>
      <c r="C294" s="33"/>
      <c r="D294" s="34" t="n">
        <f aca="false">SUM(D290:D293)</f>
        <v>131</v>
      </c>
      <c r="E294" s="33"/>
      <c r="F294" s="33"/>
      <c r="G294" s="33"/>
      <c r="H294" s="33"/>
      <c r="I294" s="33"/>
      <c r="J294" s="34" t="s">
        <v>92</v>
      </c>
      <c r="K294" s="34" t="str">
        <f aca="false">COUNTIF(K290:K293,"TVK")&amp;" / "&amp;COUNTIF(K290:K293,"AIADMK+")&amp;" / "&amp;COUNTIF(K290:K293,"DMK+")</f>
        <v>1 / 1 / 2</v>
      </c>
      <c r="L294" s="33"/>
      <c r="M294" s="34" t="s">
        <v>93</v>
      </c>
      <c r="N294" s="34" t="str">
        <f aca="false">COUNTIF(N290:N293,"TVK")&amp;" / "&amp;COUNTIF(N290:N293,"AIADMK+")&amp;" / "&amp;COUNTIF(N290:N293,"DMK+")</f>
        <v>1 / 1 / 2</v>
      </c>
      <c r="O294" s="34" t="str">
        <f aca="false">IF(AND(ABS(COUNTIF(K290:K293,"TVK")-COUNTIF(N290:N293,"TVK"))&lt;=Calibration!$B$3,ABS(COUNTIF(K290:K293,"AIADMK+")-COUNTIF(N290:N293,"AIADMK+"))&lt;=Calibration!$B$3,ABS(COUNTIF(K290:K293,"DMK+")-COUNTIF(N290:N293,"DMK+"))&lt;=Calibration!$B$3),"Within","Off")</f>
        <v>Within</v>
      </c>
    </row>
    <row r="296" customFormat="false" ht="15" hidden="false" customHeight="false" outlineLevel="0" collapsed="false">
      <c r="A296" s="31" t="s">
        <v>156</v>
      </c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customFormat="false" ht="15" hidden="false" customHeight="false" outlineLevel="0" collapsed="false">
      <c r="A297" s="17" t="n">
        <v>101</v>
      </c>
      <c r="B297" s="7" t="str">
        <f aca="false">INDEX('AC Estimate'!$B$5:$B$238,MATCH($A297,'AC Estimate'!$A$5:$A$238,0))</f>
        <v>Dharapuram</v>
      </c>
      <c r="C297" s="7" t="str">
        <f aca="false">INDEX('AC Estimate'!$C$5:$C$238,MATCH($A297,'AC Estimate'!$A$5:$A$238,0))</f>
        <v>Tiruppur</v>
      </c>
      <c r="D297" s="7" t="n">
        <f aca="false">INDEX('AC Estimate'!$I$5:$I$238,MATCH($A297,'AC Estimate'!$A$5:$A$238,0))</f>
        <v>23</v>
      </c>
      <c r="E297" s="27" t="n">
        <f aca="false">INDEX('AC Estimate'!$J$5:$J$238,MATCH($A297,'AC Estimate'!$A$5:$A$238,0))</f>
        <v>0.260869565217391</v>
      </c>
      <c r="F297" s="27" t="n">
        <f aca="false">INDEX('AC Estimate'!$K$5:$K$238,MATCH($A297,'AC Estimate'!$A$5:$A$238,0))</f>
        <v>0.347826086956522</v>
      </c>
      <c r="G297" s="27" t="n">
        <f aca="false">INDEX('AC Estimate'!$L$5:$L$238,MATCH($A297,'AC Estimate'!$A$5:$A$238,0))</f>
        <v>0.0434782608695652</v>
      </c>
      <c r="H297" s="27" t="n">
        <f aca="false">INDEX('AC Estimate'!$M$5:$M$238,MATCH($A297,'AC Estimate'!$A$5:$A$238,0))</f>
        <v>0.0434782608695652</v>
      </c>
      <c r="I297" s="27" t="n">
        <f aca="false">INDEX('AC Estimate'!$N$5:$N$238,MATCH($A297,'AC Estimate'!$A$5:$A$238,0))</f>
        <v>0.304347826086957</v>
      </c>
      <c r="J297" s="7" t="str">
        <f aca="false">INDEX('AC Estimate'!$P$5:$P$238,MATCH($A297,'AC Estimate'!$A$5:$A$238,0))</f>
        <v>DMK+</v>
      </c>
      <c r="K297" s="7" t="str">
        <f aca="false">INDEX('AC Estimate'!$AK$5:$AK$238,MATCH($A297,'AC Estimate'!$A$5:$A$238,0))</f>
        <v>DMK+</v>
      </c>
      <c r="L297" s="27" t="n">
        <f aca="false">INDEX('AC Estimate'!$AM$5:$AM$238,MATCH($A297,'AC Estimate'!$A$5:$A$238,0))</f>
        <v>0.458910112176821</v>
      </c>
      <c r="M297" s="7" t="str">
        <f aca="false">INDEX('AC Estimate'!$Q$5:$Q$238,MATCH($A297,'AC Estimate'!$A$5:$A$238,0))</f>
        <v>AIADMK</v>
      </c>
      <c r="N297" s="7" t="str">
        <f aca="false">INDEX('AC Estimate'!$R$5:$R$238,MATCH($A297,'AC Estimate'!$A$5:$A$238,0))</f>
        <v>AIADMK+</v>
      </c>
      <c r="O297" s="7" t="str">
        <f aca="false">INDEX('AC Estimate'!$AL$5:$AL$238,MATCH($A297,'AC Estimate'!$A$5:$A$238,0))</f>
        <v>No</v>
      </c>
    </row>
    <row r="298" customFormat="false" ht="15" hidden="false" customHeight="false" outlineLevel="0" collapsed="false">
      <c r="A298" s="17" t="n">
        <v>102</v>
      </c>
      <c r="B298" s="7" t="str">
        <f aca="false">INDEX('AC Estimate'!$B$5:$B$238,MATCH($A298,'AC Estimate'!$A$5:$A$238,0))</f>
        <v>Kangayam</v>
      </c>
      <c r="C298" s="7" t="str">
        <f aca="false">INDEX('AC Estimate'!$C$5:$C$238,MATCH($A298,'AC Estimate'!$A$5:$A$238,0))</f>
        <v>Tiruppur</v>
      </c>
      <c r="D298" s="7" t="n">
        <f aca="false">INDEX('AC Estimate'!$I$5:$I$238,MATCH($A298,'AC Estimate'!$A$5:$A$238,0))</f>
        <v>26</v>
      </c>
      <c r="E298" s="27" t="n">
        <f aca="false">INDEX('AC Estimate'!$J$5:$J$238,MATCH($A298,'AC Estimate'!$A$5:$A$238,0))</f>
        <v>0.423076923076923</v>
      </c>
      <c r="F298" s="27" t="n">
        <f aca="false">INDEX('AC Estimate'!$K$5:$K$238,MATCH($A298,'AC Estimate'!$A$5:$A$238,0))</f>
        <v>0.0384615384615385</v>
      </c>
      <c r="G298" s="27" t="n">
        <f aca="false">INDEX('AC Estimate'!$L$5:$L$238,MATCH($A298,'AC Estimate'!$A$5:$A$238,0))</f>
        <v>0</v>
      </c>
      <c r="H298" s="27" t="n">
        <f aca="false">INDEX('AC Estimate'!$M$5:$M$238,MATCH($A298,'AC Estimate'!$A$5:$A$238,0))</f>
        <v>0.0384615384615385</v>
      </c>
      <c r="I298" s="27" t="n">
        <f aca="false">INDEX('AC Estimate'!$N$5:$N$238,MATCH($A298,'AC Estimate'!$A$5:$A$238,0))</f>
        <v>0.5</v>
      </c>
      <c r="J298" s="7" t="str">
        <f aca="false">INDEX('AC Estimate'!$P$5:$P$238,MATCH($A298,'AC Estimate'!$A$5:$A$238,0))</f>
        <v>TVK</v>
      </c>
      <c r="K298" s="7" t="str">
        <f aca="false">INDEX('AC Estimate'!$AK$5:$AK$238,MATCH($A298,'AC Estimate'!$A$5:$A$238,0))</f>
        <v>AIADMK+</v>
      </c>
      <c r="L298" s="27" t="n">
        <f aca="false">INDEX('AC Estimate'!$AM$5:$AM$238,MATCH($A298,'AC Estimate'!$A$5:$A$238,0))</f>
        <v>0.497938494159273</v>
      </c>
      <c r="M298" s="7" t="str">
        <f aca="false">INDEX('AC Estimate'!$Q$5:$Q$238,MATCH($A298,'AC Estimate'!$A$5:$A$238,0))</f>
        <v>AIADMK</v>
      </c>
      <c r="N298" s="7" t="str">
        <f aca="false">INDEX('AC Estimate'!$R$5:$R$238,MATCH($A298,'AC Estimate'!$A$5:$A$238,0))</f>
        <v>AIADMK+</v>
      </c>
      <c r="O298" s="7" t="str">
        <f aca="false">INDEX('AC Estimate'!$AL$5:$AL$238,MATCH($A298,'AC Estimate'!$A$5:$A$238,0))</f>
        <v>Yes</v>
      </c>
    </row>
    <row r="299" customFormat="false" ht="15" hidden="false" customHeight="false" outlineLevel="0" collapsed="false">
      <c r="A299" s="17" t="n">
        <v>112</v>
      </c>
      <c r="B299" s="7" t="str">
        <f aca="false">INDEX('AC Estimate'!$B$5:$B$238,MATCH($A299,'AC Estimate'!$A$5:$A$238,0))</f>
        <v>Avanashi</v>
      </c>
      <c r="C299" s="7" t="str">
        <f aca="false">INDEX('AC Estimate'!$C$5:$C$238,MATCH($A299,'AC Estimate'!$A$5:$A$238,0))</f>
        <v>Tiruppur</v>
      </c>
      <c r="D299" s="7" t="n">
        <f aca="false">INDEX('AC Estimate'!$I$5:$I$238,MATCH($A299,'AC Estimate'!$A$5:$A$238,0))</f>
        <v>49</v>
      </c>
      <c r="E299" s="27" t="n">
        <f aca="false">INDEX('AC Estimate'!$J$5:$J$238,MATCH($A299,'AC Estimate'!$A$5:$A$238,0))</f>
        <v>0.285714285714286</v>
      </c>
      <c r="F299" s="27" t="n">
        <f aca="false">INDEX('AC Estimate'!$K$5:$K$238,MATCH($A299,'AC Estimate'!$A$5:$A$238,0))</f>
        <v>0.0816326530612245</v>
      </c>
      <c r="G299" s="27" t="n">
        <f aca="false">INDEX('AC Estimate'!$L$5:$L$238,MATCH($A299,'AC Estimate'!$A$5:$A$238,0))</f>
        <v>0</v>
      </c>
      <c r="H299" s="27" t="n">
        <f aca="false">INDEX('AC Estimate'!$M$5:$M$238,MATCH($A299,'AC Estimate'!$A$5:$A$238,0))</f>
        <v>0.0408163265306122</v>
      </c>
      <c r="I299" s="27" t="n">
        <f aca="false">INDEX('AC Estimate'!$N$5:$N$238,MATCH($A299,'AC Estimate'!$A$5:$A$238,0))</f>
        <v>0.591836734693878</v>
      </c>
      <c r="J299" s="7" t="str">
        <f aca="false">INDEX('AC Estimate'!$P$5:$P$238,MATCH($A299,'AC Estimate'!$A$5:$A$238,0))</f>
        <v>TVK</v>
      </c>
      <c r="K299" s="7" t="str">
        <f aca="false">INDEX('AC Estimate'!$AK$5:$AK$238,MATCH($A299,'AC Estimate'!$A$5:$A$238,0))</f>
        <v>TVK</v>
      </c>
      <c r="L299" s="27" t="n">
        <f aca="false">INDEX('AC Estimate'!$AM$5:$AM$238,MATCH($A299,'AC Estimate'!$A$5:$A$238,0))</f>
        <v>0.513505398630616</v>
      </c>
      <c r="M299" s="7" t="str">
        <f aca="false">INDEX('AC Estimate'!$Q$5:$Q$238,MATCH($A299,'AC Estimate'!$A$5:$A$238,0))</f>
        <v>TVK</v>
      </c>
      <c r="N299" s="7" t="str">
        <f aca="false">INDEX('AC Estimate'!$R$5:$R$238,MATCH($A299,'AC Estimate'!$A$5:$A$238,0))</f>
        <v>TVK</v>
      </c>
      <c r="O299" s="7" t="str">
        <f aca="false">INDEX('AC Estimate'!$AL$5:$AL$238,MATCH($A299,'AC Estimate'!$A$5:$A$238,0))</f>
        <v>Yes</v>
      </c>
    </row>
    <row r="300" customFormat="false" ht="15" hidden="false" customHeight="false" outlineLevel="0" collapsed="false">
      <c r="A300" s="17" t="n">
        <v>113</v>
      </c>
      <c r="B300" s="7" t="str">
        <f aca="false">INDEX('AC Estimate'!$B$5:$B$238,MATCH($A300,'AC Estimate'!$A$5:$A$238,0))</f>
        <v>Tiruppur (North)</v>
      </c>
      <c r="C300" s="7" t="str">
        <f aca="false">INDEX('AC Estimate'!$C$5:$C$238,MATCH($A300,'AC Estimate'!$A$5:$A$238,0))</f>
        <v>Tiruppur</v>
      </c>
      <c r="D300" s="7" t="n">
        <f aca="false">INDEX('AC Estimate'!$I$5:$I$238,MATCH($A300,'AC Estimate'!$A$5:$A$238,0))</f>
        <v>76</v>
      </c>
      <c r="E300" s="27" t="n">
        <f aca="false">INDEX('AC Estimate'!$J$5:$J$238,MATCH($A300,'AC Estimate'!$A$5:$A$238,0))</f>
        <v>0.328947368421053</v>
      </c>
      <c r="F300" s="27" t="n">
        <f aca="false">INDEX('AC Estimate'!$K$5:$K$238,MATCH($A300,'AC Estimate'!$A$5:$A$238,0))</f>
        <v>0.144736842105263</v>
      </c>
      <c r="G300" s="27" t="n">
        <f aca="false">INDEX('AC Estimate'!$L$5:$L$238,MATCH($A300,'AC Estimate'!$A$5:$A$238,0))</f>
        <v>0</v>
      </c>
      <c r="H300" s="27" t="n">
        <f aca="false">INDEX('AC Estimate'!$M$5:$M$238,MATCH($A300,'AC Estimate'!$A$5:$A$238,0))</f>
        <v>0.105263157894737</v>
      </c>
      <c r="I300" s="27" t="n">
        <f aca="false">INDEX('AC Estimate'!$N$5:$N$238,MATCH($A300,'AC Estimate'!$A$5:$A$238,0))</f>
        <v>0.421052631578947</v>
      </c>
      <c r="J300" s="7" t="str">
        <f aca="false">INDEX('AC Estimate'!$P$5:$P$238,MATCH($A300,'AC Estimate'!$A$5:$A$238,0))</f>
        <v>TVK</v>
      </c>
      <c r="K300" s="7" t="str">
        <f aca="false">INDEX('AC Estimate'!$AK$5:$AK$238,MATCH($A300,'AC Estimate'!$A$5:$A$238,0))</f>
        <v>TVK</v>
      </c>
      <c r="L300" s="27" t="n">
        <f aca="false">INDEX('AC Estimate'!$AM$5:$AM$238,MATCH($A300,'AC Estimate'!$A$5:$A$238,0))</f>
        <v>0.650443801513669</v>
      </c>
      <c r="M300" s="7" t="str">
        <f aca="false">INDEX('AC Estimate'!$Q$5:$Q$238,MATCH($A300,'AC Estimate'!$A$5:$A$238,0))</f>
        <v>TVK</v>
      </c>
      <c r="N300" s="7" t="str">
        <f aca="false">INDEX('AC Estimate'!$R$5:$R$238,MATCH($A300,'AC Estimate'!$A$5:$A$238,0))</f>
        <v>TVK</v>
      </c>
      <c r="O300" s="7" t="str">
        <f aca="false">INDEX('AC Estimate'!$AL$5:$AL$238,MATCH($A300,'AC Estimate'!$A$5:$A$238,0))</f>
        <v>Yes</v>
      </c>
    </row>
    <row r="301" customFormat="false" ht="15" hidden="false" customHeight="false" outlineLevel="0" collapsed="false">
      <c r="A301" s="17" t="n">
        <v>114</v>
      </c>
      <c r="B301" s="7" t="str">
        <f aca="false">INDEX('AC Estimate'!$B$5:$B$238,MATCH($A301,'AC Estimate'!$A$5:$A$238,0))</f>
        <v>Tiruppur (South)</v>
      </c>
      <c r="C301" s="7" t="str">
        <f aca="false">INDEX('AC Estimate'!$C$5:$C$238,MATCH($A301,'AC Estimate'!$A$5:$A$238,0))</f>
        <v>Tiruppur</v>
      </c>
      <c r="D301" s="7" t="n">
        <f aca="false">INDEX('AC Estimate'!$I$5:$I$238,MATCH($A301,'AC Estimate'!$A$5:$A$238,0))</f>
        <v>92</v>
      </c>
      <c r="E301" s="27" t="n">
        <f aca="false">INDEX('AC Estimate'!$J$5:$J$238,MATCH($A301,'AC Estimate'!$A$5:$A$238,0))</f>
        <v>0.184782608695652</v>
      </c>
      <c r="F301" s="27" t="n">
        <f aca="false">INDEX('AC Estimate'!$K$5:$K$238,MATCH($A301,'AC Estimate'!$A$5:$A$238,0))</f>
        <v>0.380434782608696</v>
      </c>
      <c r="G301" s="27" t="n">
        <f aca="false">INDEX('AC Estimate'!$L$5:$L$238,MATCH($A301,'AC Estimate'!$A$5:$A$238,0))</f>
        <v>0</v>
      </c>
      <c r="H301" s="27" t="n">
        <f aca="false">INDEX('AC Estimate'!$M$5:$M$238,MATCH($A301,'AC Estimate'!$A$5:$A$238,0))</f>
        <v>0.0869565217391304</v>
      </c>
      <c r="I301" s="27" t="n">
        <f aca="false">INDEX('AC Estimate'!$N$5:$N$238,MATCH($A301,'AC Estimate'!$A$5:$A$238,0))</f>
        <v>0.347826086956522</v>
      </c>
      <c r="J301" s="7" t="str">
        <f aca="false">INDEX('AC Estimate'!$P$5:$P$238,MATCH($A301,'AC Estimate'!$A$5:$A$238,0))</f>
        <v>DMK+</v>
      </c>
      <c r="K301" s="7" t="str">
        <f aca="false">INDEX('AC Estimate'!$AK$5:$AK$238,MATCH($A301,'AC Estimate'!$A$5:$A$238,0))</f>
        <v>TVK</v>
      </c>
      <c r="L301" s="27" t="n">
        <f aca="false">INDEX('AC Estimate'!$AM$5:$AM$238,MATCH($A301,'AC Estimate'!$A$5:$A$238,0))</f>
        <v>0.689198953360769</v>
      </c>
      <c r="M301" s="7" t="str">
        <f aca="false">INDEX('AC Estimate'!$Q$5:$Q$238,MATCH($A301,'AC Estimate'!$A$5:$A$238,0))</f>
        <v>TVK</v>
      </c>
      <c r="N301" s="7" t="str">
        <f aca="false">INDEX('AC Estimate'!$R$5:$R$238,MATCH($A301,'AC Estimate'!$A$5:$A$238,0))</f>
        <v>TVK</v>
      </c>
      <c r="O301" s="7" t="str">
        <f aca="false">INDEX('AC Estimate'!$AL$5:$AL$238,MATCH($A301,'AC Estimate'!$A$5:$A$238,0))</f>
        <v>Yes</v>
      </c>
    </row>
    <row r="302" customFormat="false" ht="15" hidden="false" customHeight="false" outlineLevel="0" collapsed="false">
      <c r="A302" s="17" t="n">
        <v>115</v>
      </c>
      <c r="B302" s="7" t="str">
        <f aca="false">INDEX('AC Estimate'!$B$5:$B$238,MATCH($A302,'AC Estimate'!$A$5:$A$238,0))</f>
        <v>Palladam</v>
      </c>
      <c r="C302" s="7" t="str">
        <f aca="false">INDEX('AC Estimate'!$C$5:$C$238,MATCH($A302,'AC Estimate'!$A$5:$A$238,0))</f>
        <v>Tiruppur</v>
      </c>
      <c r="D302" s="7" t="n">
        <f aca="false">INDEX('AC Estimate'!$I$5:$I$238,MATCH($A302,'AC Estimate'!$A$5:$A$238,0))</f>
        <v>54</v>
      </c>
      <c r="E302" s="27" t="n">
        <f aca="false">INDEX('AC Estimate'!$J$5:$J$238,MATCH($A302,'AC Estimate'!$A$5:$A$238,0))</f>
        <v>0.407407407407407</v>
      </c>
      <c r="F302" s="27" t="n">
        <f aca="false">INDEX('AC Estimate'!$K$5:$K$238,MATCH($A302,'AC Estimate'!$A$5:$A$238,0))</f>
        <v>0.166666666666667</v>
      </c>
      <c r="G302" s="27" t="n">
        <f aca="false">INDEX('AC Estimate'!$L$5:$L$238,MATCH($A302,'AC Estimate'!$A$5:$A$238,0))</f>
        <v>0</v>
      </c>
      <c r="H302" s="27" t="n">
        <f aca="false">INDEX('AC Estimate'!$M$5:$M$238,MATCH($A302,'AC Estimate'!$A$5:$A$238,0))</f>
        <v>0.0555555555555556</v>
      </c>
      <c r="I302" s="27" t="n">
        <f aca="false">INDEX('AC Estimate'!$N$5:$N$238,MATCH($A302,'AC Estimate'!$A$5:$A$238,0))</f>
        <v>0.37037037037037</v>
      </c>
      <c r="J302" s="7" t="str">
        <f aca="false">INDEX('AC Estimate'!$P$5:$P$238,MATCH($A302,'AC Estimate'!$A$5:$A$238,0))</f>
        <v>AIADMK+</v>
      </c>
      <c r="K302" s="7" t="str">
        <f aca="false">INDEX('AC Estimate'!$AK$5:$AK$238,MATCH($A302,'AC Estimate'!$A$5:$A$238,0))</f>
        <v>TVK</v>
      </c>
      <c r="L302" s="27" t="n">
        <f aca="false">INDEX('AC Estimate'!$AM$5:$AM$238,MATCH($A302,'AC Estimate'!$A$5:$A$238,0))</f>
        <v>0.496030764139124</v>
      </c>
      <c r="M302" s="7" t="str">
        <f aca="false">INDEX('AC Estimate'!$Q$5:$Q$238,MATCH($A302,'AC Estimate'!$A$5:$A$238,0))</f>
        <v>TVK</v>
      </c>
      <c r="N302" s="7" t="str">
        <f aca="false">INDEX('AC Estimate'!$R$5:$R$238,MATCH($A302,'AC Estimate'!$A$5:$A$238,0))</f>
        <v>TVK</v>
      </c>
      <c r="O302" s="7" t="str">
        <f aca="false">INDEX('AC Estimate'!$AL$5:$AL$238,MATCH($A302,'AC Estimate'!$A$5:$A$238,0))</f>
        <v>Yes</v>
      </c>
    </row>
    <row r="303" customFormat="false" ht="15" hidden="false" customHeight="false" outlineLevel="0" collapsed="false">
      <c r="A303" s="17" t="n">
        <v>125</v>
      </c>
      <c r="B303" s="7" t="str">
        <f aca="false">INDEX('AC Estimate'!$B$5:$B$238,MATCH($A303,'AC Estimate'!$A$5:$A$238,0))</f>
        <v>Udumalaipettai</v>
      </c>
      <c r="C303" s="7" t="str">
        <f aca="false">INDEX('AC Estimate'!$C$5:$C$238,MATCH($A303,'AC Estimate'!$A$5:$A$238,0))</f>
        <v>Tiruppur</v>
      </c>
      <c r="D303" s="7" t="n">
        <f aca="false">INDEX('AC Estimate'!$I$5:$I$238,MATCH($A303,'AC Estimate'!$A$5:$A$238,0))</f>
        <v>31</v>
      </c>
      <c r="E303" s="27" t="n">
        <f aca="false">INDEX('AC Estimate'!$J$5:$J$238,MATCH($A303,'AC Estimate'!$A$5:$A$238,0))</f>
        <v>0.129032258064516</v>
      </c>
      <c r="F303" s="27" t="n">
        <f aca="false">INDEX('AC Estimate'!$K$5:$K$238,MATCH($A303,'AC Estimate'!$A$5:$A$238,0))</f>
        <v>0.193548387096774</v>
      </c>
      <c r="G303" s="27" t="n">
        <f aca="false">INDEX('AC Estimate'!$L$5:$L$238,MATCH($A303,'AC Estimate'!$A$5:$A$238,0))</f>
        <v>0</v>
      </c>
      <c r="H303" s="27" t="n">
        <f aca="false">INDEX('AC Estimate'!$M$5:$M$238,MATCH($A303,'AC Estimate'!$A$5:$A$238,0))</f>
        <v>0.0967741935483871</v>
      </c>
      <c r="I303" s="27" t="n">
        <f aca="false">INDEX('AC Estimate'!$N$5:$N$238,MATCH($A303,'AC Estimate'!$A$5:$A$238,0))</f>
        <v>0.580645161290323</v>
      </c>
      <c r="J303" s="7" t="str">
        <f aca="false">INDEX('AC Estimate'!$P$5:$P$238,MATCH($A303,'AC Estimate'!$A$5:$A$238,0))</f>
        <v>TVK</v>
      </c>
      <c r="K303" s="7" t="str">
        <f aca="false">INDEX('AC Estimate'!$AK$5:$AK$238,MATCH($A303,'AC Estimate'!$A$5:$A$238,0))</f>
        <v>AIADMK+</v>
      </c>
      <c r="L303" s="27" t="n">
        <f aca="false">INDEX('AC Estimate'!$AM$5:$AM$238,MATCH($A303,'AC Estimate'!$A$5:$A$238,0))</f>
        <v>0.325176389185799</v>
      </c>
      <c r="M303" s="7" t="str">
        <f aca="false">INDEX('AC Estimate'!$Q$5:$Q$238,MATCH($A303,'AC Estimate'!$A$5:$A$238,0))</f>
        <v>DMK</v>
      </c>
      <c r="N303" s="7" t="str">
        <f aca="false">INDEX('AC Estimate'!$R$5:$R$238,MATCH($A303,'AC Estimate'!$A$5:$A$238,0))</f>
        <v>DMK+</v>
      </c>
      <c r="O303" s="7" t="str">
        <f aca="false">INDEX('AC Estimate'!$AL$5:$AL$238,MATCH($A303,'AC Estimate'!$A$5:$A$238,0))</f>
        <v>No</v>
      </c>
    </row>
    <row r="304" customFormat="false" ht="15" hidden="false" customHeight="false" outlineLevel="0" collapsed="false">
      <c r="A304" s="17" t="n">
        <v>126</v>
      </c>
      <c r="B304" s="7" t="str">
        <f aca="false">INDEX('AC Estimate'!$B$5:$B$238,MATCH($A304,'AC Estimate'!$A$5:$A$238,0))</f>
        <v>Madathukulam</v>
      </c>
      <c r="C304" s="7" t="str">
        <f aca="false">INDEX('AC Estimate'!$C$5:$C$238,MATCH($A304,'AC Estimate'!$A$5:$A$238,0))</f>
        <v>Tiruppur</v>
      </c>
      <c r="D304" s="7" t="n">
        <f aca="false">INDEX('AC Estimate'!$I$5:$I$238,MATCH($A304,'AC Estimate'!$A$5:$A$238,0))</f>
        <v>26</v>
      </c>
      <c r="E304" s="27" t="n">
        <f aca="false">INDEX('AC Estimate'!$J$5:$J$238,MATCH($A304,'AC Estimate'!$A$5:$A$238,0))</f>
        <v>0.192307692307692</v>
      </c>
      <c r="F304" s="27" t="n">
        <f aca="false">INDEX('AC Estimate'!$K$5:$K$238,MATCH($A304,'AC Estimate'!$A$5:$A$238,0))</f>
        <v>0.269230769230769</v>
      </c>
      <c r="G304" s="27" t="n">
        <f aca="false">INDEX('AC Estimate'!$L$5:$L$238,MATCH($A304,'AC Estimate'!$A$5:$A$238,0))</f>
        <v>0.0384615384615385</v>
      </c>
      <c r="H304" s="27" t="n">
        <f aca="false">INDEX('AC Estimate'!$M$5:$M$238,MATCH($A304,'AC Estimate'!$A$5:$A$238,0))</f>
        <v>0.0384615384615385</v>
      </c>
      <c r="I304" s="27" t="n">
        <f aca="false">INDEX('AC Estimate'!$N$5:$N$238,MATCH($A304,'AC Estimate'!$A$5:$A$238,0))</f>
        <v>0.461538461538462</v>
      </c>
      <c r="J304" s="7" t="str">
        <f aca="false">INDEX('AC Estimate'!$P$5:$P$238,MATCH($A304,'AC Estimate'!$A$5:$A$238,0))</f>
        <v>TVK</v>
      </c>
      <c r="K304" s="7" t="str">
        <f aca="false">INDEX('AC Estimate'!$AK$5:$AK$238,MATCH($A304,'AC Estimate'!$A$5:$A$238,0))</f>
        <v>DMK+</v>
      </c>
      <c r="L304" s="27" t="n">
        <f aca="false">INDEX('AC Estimate'!$AM$5:$AM$238,MATCH($A304,'AC Estimate'!$A$5:$A$238,0))</f>
        <v>0.413688390361612</v>
      </c>
      <c r="M304" s="7" t="str">
        <f aca="false">INDEX('AC Estimate'!$Q$5:$Q$238,MATCH($A304,'AC Estimate'!$A$5:$A$238,0))</f>
        <v>DMK</v>
      </c>
      <c r="N304" s="7" t="str">
        <f aca="false">INDEX('AC Estimate'!$R$5:$R$238,MATCH($A304,'AC Estimate'!$A$5:$A$238,0))</f>
        <v>DMK+</v>
      </c>
      <c r="O304" s="7" t="str">
        <f aca="false">INDEX('AC Estimate'!$AL$5:$AL$238,MATCH($A304,'AC Estimate'!$A$5:$A$238,0))</f>
        <v>Yes</v>
      </c>
    </row>
    <row r="305" customFormat="false" ht="15" hidden="false" customHeight="false" outlineLevel="0" collapsed="false">
      <c r="A305" s="33"/>
      <c r="B305" s="34" t="s">
        <v>157</v>
      </c>
      <c r="C305" s="33"/>
      <c r="D305" s="34" t="n">
        <f aca="false">SUM(D297:D304)</f>
        <v>377</v>
      </c>
      <c r="E305" s="33"/>
      <c r="F305" s="33"/>
      <c r="G305" s="33"/>
      <c r="H305" s="33"/>
      <c r="I305" s="33"/>
      <c r="J305" s="34" t="s">
        <v>92</v>
      </c>
      <c r="K305" s="34" t="str">
        <f aca="false">COUNTIF(K297:K304,"TVK")&amp;" / "&amp;COUNTIF(K297:K304,"AIADMK+")&amp;" / "&amp;COUNTIF(K297:K304,"DMK+")</f>
        <v>4 / 2 / 2</v>
      </c>
      <c r="L305" s="33"/>
      <c r="M305" s="34" t="s">
        <v>93</v>
      </c>
      <c r="N305" s="34" t="str">
        <f aca="false">COUNTIF(N297:N304,"TVK")&amp;" / "&amp;COUNTIF(N297:N304,"AIADMK+")&amp;" / "&amp;COUNTIF(N297:N304,"DMK+")</f>
        <v>4 / 2 / 2</v>
      </c>
      <c r="O305" s="34" t="str">
        <f aca="false">IF(AND(ABS(COUNTIF(K297:K304,"TVK")-COUNTIF(N297:N304,"TVK"))&lt;=Calibration!$B$3,ABS(COUNTIF(K297:K304,"AIADMK+")-COUNTIF(N297:N304,"AIADMK+"))&lt;=Calibration!$B$3,ABS(COUNTIF(K297:K304,"DMK+")-COUNTIF(N297:N304,"DMK+"))&lt;=Calibration!$B$3),"Within","Off")</f>
        <v>Within</v>
      </c>
    </row>
    <row r="307" customFormat="false" ht="15" hidden="false" customHeight="false" outlineLevel="0" collapsed="false">
      <c r="A307" s="31" t="s">
        <v>158</v>
      </c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customFormat="false" ht="15" hidden="false" customHeight="false" outlineLevel="0" collapsed="false">
      <c r="A308" s="17" t="n">
        <v>62</v>
      </c>
      <c r="B308" s="7" t="str">
        <f aca="false">INDEX('AC Estimate'!$B$5:$B$238,MATCH($A308,'AC Estimate'!$A$5:$A$238,0))</f>
        <v>Chengam</v>
      </c>
      <c r="C308" s="7" t="str">
        <f aca="false">INDEX('AC Estimate'!$C$5:$C$238,MATCH($A308,'AC Estimate'!$A$5:$A$238,0))</f>
        <v>Tiruvannamalai</v>
      </c>
      <c r="D308" s="7" t="n">
        <f aca="false">INDEX('AC Estimate'!$I$5:$I$238,MATCH($A308,'AC Estimate'!$A$5:$A$238,0))</f>
        <v>22</v>
      </c>
      <c r="E308" s="27" t="n">
        <f aca="false">INDEX('AC Estimate'!$J$5:$J$238,MATCH($A308,'AC Estimate'!$A$5:$A$238,0))</f>
        <v>0.272727272727273</v>
      </c>
      <c r="F308" s="27" t="n">
        <f aca="false">INDEX('AC Estimate'!$K$5:$K$238,MATCH($A308,'AC Estimate'!$A$5:$A$238,0))</f>
        <v>0.227272727272727</v>
      </c>
      <c r="G308" s="27" t="n">
        <f aca="false">INDEX('AC Estimate'!$L$5:$L$238,MATCH($A308,'AC Estimate'!$A$5:$A$238,0))</f>
        <v>0</v>
      </c>
      <c r="H308" s="27" t="n">
        <f aca="false">INDEX('AC Estimate'!$M$5:$M$238,MATCH($A308,'AC Estimate'!$A$5:$A$238,0))</f>
        <v>0</v>
      </c>
      <c r="I308" s="27" t="n">
        <f aca="false">INDEX('AC Estimate'!$N$5:$N$238,MATCH($A308,'AC Estimate'!$A$5:$A$238,0))</f>
        <v>0.5</v>
      </c>
      <c r="J308" s="7" t="str">
        <f aca="false">INDEX('AC Estimate'!$P$5:$P$238,MATCH($A308,'AC Estimate'!$A$5:$A$238,0))</f>
        <v>TVK</v>
      </c>
      <c r="K308" s="7" t="str">
        <f aca="false">INDEX('AC Estimate'!$AK$5:$AK$238,MATCH($A308,'AC Estimate'!$A$5:$A$238,0))</f>
        <v>AIADMK+</v>
      </c>
      <c r="L308" s="27" t="n">
        <f aca="false">INDEX('AC Estimate'!$AM$5:$AM$238,MATCH($A308,'AC Estimate'!$A$5:$A$238,0))</f>
        <v>0.434378781003087</v>
      </c>
      <c r="M308" s="7" t="str">
        <f aca="false">INDEX('AC Estimate'!$Q$5:$Q$238,MATCH($A308,'AC Estimate'!$A$5:$A$238,0))</f>
        <v>AIADMK</v>
      </c>
      <c r="N308" s="7" t="str">
        <f aca="false">INDEX('AC Estimate'!$R$5:$R$238,MATCH($A308,'AC Estimate'!$A$5:$A$238,0))</f>
        <v>AIADMK+</v>
      </c>
      <c r="O308" s="7" t="str">
        <f aca="false">INDEX('AC Estimate'!$AL$5:$AL$238,MATCH($A308,'AC Estimate'!$A$5:$A$238,0))</f>
        <v>Yes</v>
      </c>
    </row>
    <row r="309" customFormat="false" ht="15" hidden="false" customHeight="false" outlineLevel="0" collapsed="false">
      <c r="A309" s="17" t="n">
        <v>63</v>
      </c>
      <c r="B309" s="7" t="str">
        <f aca="false">INDEX('AC Estimate'!$B$5:$B$238,MATCH($A309,'AC Estimate'!$A$5:$A$238,0))</f>
        <v>Tiruvannamalai</v>
      </c>
      <c r="C309" s="7" t="str">
        <f aca="false">INDEX('AC Estimate'!$C$5:$C$238,MATCH($A309,'AC Estimate'!$A$5:$A$238,0))</f>
        <v>Tiruvannamalai</v>
      </c>
      <c r="D309" s="7" t="n">
        <f aca="false">INDEX('AC Estimate'!$I$5:$I$238,MATCH($A309,'AC Estimate'!$A$5:$A$238,0))</f>
        <v>33</v>
      </c>
      <c r="E309" s="27" t="n">
        <f aca="false">INDEX('AC Estimate'!$J$5:$J$238,MATCH($A309,'AC Estimate'!$A$5:$A$238,0))</f>
        <v>0.212121212121212</v>
      </c>
      <c r="F309" s="27" t="n">
        <f aca="false">INDEX('AC Estimate'!$K$5:$K$238,MATCH($A309,'AC Estimate'!$A$5:$A$238,0))</f>
        <v>0.393939393939394</v>
      </c>
      <c r="G309" s="27" t="n">
        <f aca="false">INDEX('AC Estimate'!$L$5:$L$238,MATCH($A309,'AC Estimate'!$A$5:$A$238,0))</f>
        <v>0</v>
      </c>
      <c r="H309" s="27" t="n">
        <f aca="false">INDEX('AC Estimate'!$M$5:$M$238,MATCH($A309,'AC Estimate'!$A$5:$A$238,0))</f>
        <v>0.0303030303030303</v>
      </c>
      <c r="I309" s="27" t="n">
        <f aca="false">INDEX('AC Estimate'!$N$5:$N$238,MATCH($A309,'AC Estimate'!$A$5:$A$238,0))</f>
        <v>0.363636363636364</v>
      </c>
      <c r="J309" s="7" t="str">
        <f aca="false">INDEX('AC Estimate'!$P$5:$P$238,MATCH($A309,'AC Estimate'!$A$5:$A$238,0))</f>
        <v>DMK+</v>
      </c>
      <c r="K309" s="7" t="str">
        <f aca="false">INDEX('AC Estimate'!$AK$5:$AK$238,MATCH($A309,'AC Estimate'!$A$5:$A$238,0))</f>
        <v>DMK+</v>
      </c>
      <c r="L309" s="27" t="n">
        <f aca="false">INDEX('AC Estimate'!$AM$5:$AM$238,MATCH($A309,'AC Estimate'!$A$5:$A$238,0))</f>
        <v>0.382320799739606</v>
      </c>
      <c r="M309" s="7" t="str">
        <f aca="false">INDEX('AC Estimate'!$Q$5:$Q$238,MATCH($A309,'AC Estimate'!$A$5:$A$238,0))</f>
        <v>DMK</v>
      </c>
      <c r="N309" s="7" t="str">
        <f aca="false">INDEX('AC Estimate'!$R$5:$R$238,MATCH($A309,'AC Estimate'!$A$5:$A$238,0))</f>
        <v>DMK+</v>
      </c>
      <c r="O309" s="7" t="str">
        <f aca="false">INDEX('AC Estimate'!$AL$5:$AL$238,MATCH($A309,'AC Estimate'!$A$5:$A$238,0))</f>
        <v>Yes</v>
      </c>
    </row>
    <row r="310" customFormat="false" ht="15" hidden="false" customHeight="false" outlineLevel="0" collapsed="false">
      <c r="A310" s="17" t="n">
        <v>64</v>
      </c>
      <c r="B310" s="7" t="str">
        <f aca="false">INDEX('AC Estimate'!$B$5:$B$238,MATCH($A310,'AC Estimate'!$A$5:$A$238,0))</f>
        <v>Kilpennathur</v>
      </c>
      <c r="C310" s="7" t="str">
        <f aca="false">INDEX('AC Estimate'!$C$5:$C$238,MATCH($A310,'AC Estimate'!$A$5:$A$238,0))</f>
        <v>Tiruvannamalai</v>
      </c>
      <c r="D310" s="7" t="n">
        <f aca="false">INDEX('AC Estimate'!$I$5:$I$238,MATCH($A310,'AC Estimate'!$A$5:$A$238,0))</f>
        <v>19</v>
      </c>
      <c r="E310" s="27" t="n">
        <f aca="false">INDEX('AC Estimate'!$J$5:$J$238,MATCH($A310,'AC Estimate'!$A$5:$A$238,0))</f>
        <v>0.210526315789474</v>
      </c>
      <c r="F310" s="27" t="n">
        <f aca="false">INDEX('AC Estimate'!$K$5:$K$238,MATCH($A310,'AC Estimate'!$A$5:$A$238,0))</f>
        <v>0</v>
      </c>
      <c r="G310" s="27" t="n">
        <f aca="false">INDEX('AC Estimate'!$L$5:$L$238,MATCH($A310,'AC Estimate'!$A$5:$A$238,0))</f>
        <v>0</v>
      </c>
      <c r="H310" s="27" t="n">
        <f aca="false">INDEX('AC Estimate'!$M$5:$M$238,MATCH($A310,'AC Estimate'!$A$5:$A$238,0))</f>
        <v>0.0526315789473684</v>
      </c>
      <c r="I310" s="27" t="n">
        <f aca="false">INDEX('AC Estimate'!$N$5:$N$238,MATCH($A310,'AC Estimate'!$A$5:$A$238,0))</f>
        <v>0.736842105263158</v>
      </c>
      <c r="J310" s="7" t="str">
        <f aca="false">INDEX('AC Estimate'!$P$5:$P$238,MATCH($A310,'AC Estimate'!$A$5:$A$238,0))</f>
        <v>TVK</v>
      </c>
      <c r="K310" s="7" t="str">
        <f aca="false">INDEX('AC Estimate'!$AK$5:$AK$238,MATCH($A310,'AC Estimate'!$A$5:$A$238,0))</f>
        <v>AIADMK+</v>
      </c>
      <c r="L310" s="27" t="n">
        <f aca="false">INDEX('AC Estimate'!$AM$5:$AM$238,MATCH($A310,'AC Estimate'!$A$5:$A$238,0))</f>
        <v>0.49401465489594</v>
      </c>
      <c r="M310" s="7" t="str">
        <f aca="false">INDEX('AC Estimate'!$Q$5:$Q$238,MATCH($A310,'AC Estimate'!$A$5:$A$238,0))</f>
        <v>AIADMK</v>
      </c>
      <c r="N310" s="7" t="str">
        <f aca="false">INDEX('AC Estimate'!$R$5:$R$238,MATCH($A310,'AC Estimate'!$A$5:$A$238,0))</f>
        <v>AIADMK+</v>
      </c>
      <c r="O310" s="7" t="str">
        <f aca="false">INDEX('AC Estimate'!$AL$5:$AL$238,MATCH($A310,'AC Estimate'!$A$5:$A$238,0))</f>
        <v>Yes</v>
      </c>
    </row>
    <row r="311" customFormat="false" ht="15" hidden="false" customHeight="false" outlineLevel="0" collapsed="false">
      <c r="A311" s="17" t="n">
        <v>65</v>
      </c>
      <c r="B311" s="7" t="str">
        <f aca="false">INDEX('AC Estimate'!$B$5:$B$238,MATCH($A311,'AC Estimate'!$A$5:$A$238,0))</f>
        <v>Kalasapakkam</v>
      </c>
      <c r="C311" s="7" t="str">
        <f aca="false">INDEX('AC Estimate'!$C$5:$C$238,MATCH($A311,'AC Estimate'!$A$5:$A$238,0))</f>
        <v>Tiruvannamalai</v>
      </c>
      <c r="D311" s="7" t="n">
        <f aca="false">INDEX('AC Estimate'!$I$5:$I$238,MATCH($A311,'AC Estimate'!$A$5:$A$238,0))</f>
        <v>14</v>
      </c>
      <c r="E311" s="27" t="n">
        <f aca="false">INDEX('AC Estimate'!$J$5:$J$238,MATCH($A311,'AC Estimate'!$A$5:$A$238,0))</f>
        <v>0.285714285714286</v>
      </c>
      <c r="F311" s="27" t="n">
        <f aca="false">INDEX('AC Estimate'!$K$5:$K$238,MATCH($A311,'AC Estimate'!$A$5:$A$238,0))</f>
        <v>0.142857142857143</v>
      </c>
      <c r="G311" s="27" t="n">
        <f aca="false">INDEX('AC Estimate'!$L$5:$L$238,MATCH($A311,'AC Estimate'!$A$5:$A$238,0))</f>
        <v>0</v>
      </c>
      <c r="H311" s="27" t="n">
        <f aca="false">INDEX('AC Estimate'!$M$5:$M$238,MATCH($A311,'AC Estimate'!$A$5:$A$238,0))</f>
        <v>0</v>
      </c>
      <c r="I311" s="27" t="n">
        <f aca="false">INDEX('AC Estimate'!$N$5:$N$238,MATCH($A311,'AC Estimate'!$A$5:$A$238,0))</f>
        <v>0.571428571428571</v>
      </c>
      <c r="J311" s="7" t="str">
        <f aca="false">INDEX('AC Estimate'!$P$5:$P$238,MATCH($A311,'AC Estimate'!$A$5:$A$238,0))</f>
        <v>TVK</v>
      </c>
      <c r="K311" s="7" t="str">
        <f aca="false">INDEX('AC Estimate'!$AK$5:$AK$238,MATCH($A311,'AC Estimate'!$A$5:$A$238,0))</f>
        <v>AIADMK+</v>
      </c>
      <c r="L311" s="27" t="n">
        <f aca="false">INDEX('AC Estimate'!$AM$5:$AM$238,MATCH($A311,'AC Estimate'!$A$5:$A$238,0))</f>
        <v>0.515402491063291</v>
      </c>
      <c r="M311" s="7" t="str">
        <f aca="false">INDEX('AC Estimate'!$Q$5:$Q$238,MATCH($A311,'AC Estimate'!$A$5:$A$238,0))</f>
        <v>AIADMK</v>
      </c>
      <c r="N311" s="7" t="str">
        <f aca="false">INDEX('AC Estimate'!$R$5:$R$238,MATCH($A311,'AC Estimate'!$A$5:$A$238,0))</f>
        <v>AIADMK+</v>
      </c>
      <c r="O311" s="7" t="str">
        <f aca="false">INDEX('AC Estimate'!$AL$5:$AL$238,MATCH($A311,'AC Estimate'!$A$5:$A$238,0))</f>
        <v>Yes</v>
      </c>
    </row>
    <row r="312" customFormat="false" ht="15" hidden="false" customHeight="false" outlineLevel="0" collapsed="false">
      <c r="A312" s="17" t="n">
        <v>66</v>
      </c>
      <c r="B312" s="7" t="str">
        <f aca="false">INDEX('AC Estimate'!$B$5:$B$238,MATCH($A312,'AC Estimate'!$A$5:$A$238,0))</f>
        <v>Polur</v>
      </c>
      <c r="C312" s="7" t="str">
        <f aca="false">INDEX('AC Estimate'!$C$5:$C$238,MATCH($A312,'AC Estimate'!$A$5:$A$238,0))</f>
        <v>Tiruvannamalai</v>
      </c>
      <c r="D312" s="7" t="n">
        <f aca="false">INDEX('AC Estimate'!$I$5:$I$238,MATCH($A312,'AC Estimate'!$A$5:$A$238,0))</f>
        <v>25</v>
      </c>
      <c r="E312" s="27" t="n">
        <f aca="false">INDEX('AC Estimate'!$J$5:$J$238,MATCH($A312,'AC Estimate'!$A$5:$A$238,0))</f>
        <v>0.4</v>
      </c>
      <c r="F312" s="27" t="n">
        <f aca="false">INDEX('AC Estimate'!$K$5:$K$238,MATCH($A312,'AC Estimate'!$A$5:$A$238,0))</f>
        <v>0.04</v>
      </c>
      <c r="G312" s="27" t="n">
        <f aca="false">INDEX('AC Estimate'!$L$5:$L$238,MATCH($A312,'AC Estimate'!$A$5:$A$238,0))</f>
        <v>0</v>
      </c>
      <c r="H312" s="27" t="n">
        <f aca="false">INDEX('AC Estimate'!$M$5:$M$238,MATCH($A312,'AC Estimate'!$A$5:$A$238,0))</f>
        <v>0.04</v>
      </c>
      <c r="I312" s="27" t="n">
        <f aca="false">INDEX('AC Estimate'!$N$5:$N$238,MATCH($A312,'AC Estimate'!$A$5:$A$238,0))</f>
        <v>0.52</v>
      </c>
      <c r="J312" s="7" t="str">
        <f aca="false">INDEX('AC Estimate'!$P$5:$P$238,MATCH($A312,'AC Estimate'!$A$5:$A$238,0))</f>
        <v>TVK</v>
      </c>
      <c r="K312" s="7" t="str">
        <f aca="false">INDEX('AC Estimate'!$AK$5:$AK$238,MATCH($A312,'AC Estimate'!$A$5:$A$238,0))</f>
        <v>AIADMK+</v>
      </c>
      <c r="L312" s="27" t="n">
        <f aca="false">INDEX('AC Estimate'!$AM$5:$AM$238,MATCH($A312,'AC Estimate'!$A$5:$A$238,0))</f>
        <v>0.510718309270869</v>
      </c>
      <c r="M312" s="7" t="str">
        <f aca="false">INDEX('AC Estimate'!$Q$5:$Q$238,MATCH($A312,'AC Estimate'!$A$5:$A$238,0))</f>
        <v>TVK</v>
      </c>
      <c r="N312" s="7" t="str">
        <f aca="false">INDEX('AC Estimate'!$R$5:$R$238,MATCH($A312,'AC Estimate'!$A$5:$A$238,0))</f>
        <v>TVK</v>
      </c>
      <c r="O312" s="7" t="str">
        <f aca="false">INDEX('AC Estimate'!$AL$5:$AL$238,MATCH($A312,'AC Estimate'!$A$5:$A$238,0))</f>
        <v>No</v>
      </c>
    </row>
    <row r="313" customFormat="false" ht="15" hidden="false" customHeight="false" outlineLevel="0" collapsed="false">
      <c r="A313" s="17" t="n">
        <v>67</v>
      </c>
      <c r="B313" s="7" t="str">
        <f aca="false">INDEX('AC Estimate'!$B$5:$B$238,MATCH($A313,'AC Estimate'!$A$5:$A$238,0))</f>
        <v>Arani</v>
      </c>
      <c r="C313" s="7" t="str">
        <f aca="false">INDEX('AC Estimate'!$C$5:$C$238,MATCH($A313,'AC Estimate'!$A$5:$A$238,0))</f>
        <v>Tiruvannamalai</v>
      </c>
      <c r="D313" s="7" t="n">
        <f aca="false">INDEX('AC Estimate'!$I$5:$I$238,MATCH($A313,'AC Estimate'!$A$5:$A$238,0))</f>
        <v>30</v>
      </c>
      <c r="E313" s="27" t="n">
        <f aca="false">INDEX('AC Estimate'!$J$5:$J$238,MATCH($A313,'AC Estimate'!$A$5:$A$238,0))</f>
        <v>0.366666666666667</v>
      </c>
      <c r="F313" s="27" t="n">
        <f aca="false">INDEX('AC Estimate'!$K$5:$K$238,MATCH($A313,'AC Estimate'!$A$5:$A$238,0))</f>
        <v>0.166666666666667</v>
      </c>
      <c r="G313" s="27" t="n">
        <f aca="false">INDEX('AC Estimate'!$L$5:$L$238,MATCH($A313,'AC Estimate'!$A$5:$A$238,0))</f>
        <v>0</v>
      </c>
      <c r="H313" s="27" t="n">
        <f aca="false">INDEX('AC Estimate'!$M$5:$M$238,MATCH($A313,'AC Estimate'!$A$5:$A$238,0))</f>
        <v>0</v>
      </c>
      <c r="I313" s="27" t="n">
        <f aca="false">INDEX('AC Estimate'!$N$5:$N$238,MATCH($A313,'AC Estimate'!$A$5:$A$238,0))</f>
        <v>0.466666666666667</v>
      </c>
      <c r="J313" s="7" t="str">
        <f aca="false">INDEX('AC Estimate'!$P$5:$P$238,MATCH($A313,'AC Estimate'!$A$5:$A$238,0))</f>
        <v>TVK</v>
      </c>
      <c r="K313" s="7" t="str">
        <f aca="false">INDEX('AC Estimate'!$AK$5:$AK$238,MATCH($A313,'AC Estimate'!$A$5:$A$238,0))</f>
        <v>TVK</v>
      </c>
      <c r="L313" s="27" t="n">
        <f aca="false">INDEX('AC Estimate'!$AM$5:$AM$238,MATCH($A313,'AC Estimate'!$A$5:$A$238,0))</f>
        <v>0.303522154847702</v>
      </c>
      <c r="M313" s="7" t="str">
        <f aca="false">INDEX('AC Estimate'!$Q$5:$Q$238,MATCH($A313,'AC Estimate'!$A$5:$A$238,0))</f>
        <v>AIADMK</v>
      </c>
      <c r="N313" s="7" t="str">
        <f aca="false">INDEX('AC Estimate'!$R$5:$R$238,MATCH($A313,'AC Estimate'!$A$5:$A$238,0))</f>
        <v>AIADMK+</v>
      </c>
      <c r="O313" s="7" t="str">
        <f aca="false">INDEX('AC Estimate'!$AL$5:$AL$238,MATCH($A313,'AC Estimate'!$A$5:$A$238,0))</f>
        <v>No</v>
      </c>
    </row>
    <row r="314" customFormat="false" ht="15" hidden="false" customHeight="false" outlineLevel="0" collapsed="false">
      <c r="A314" s="17" t="n">
        <v>68</v>
      </c>
      <c r="B314" s="7" t="str">
        <f aca="false">INDEX('AC Estimate'!$B$5:$B$238,MATCH($A314,'AC Estimate'!$A$5:$A$238,0))</f>
        <v>Cheyyar</v>
      </c>
      <c r="C314" s="7" t="str">
        <f aca="false">INDEX('AC Estimate'!$C$5:$C$238,MATCH($A314,'AC Estimate'!$A$5:$A$238,0))</f>
        <v>Tiruvannamalai</v>
      </c>
      <c r="D314" s="7" t="n">
        <f aca="false">INDEX('AC Estimate'!$I$5:$I$238,MATCH($A314,'AC Estimate'!$A$5:$A$238,0))</f>
        <v>16</v>
      </c>
      <c r="E314" s="27" t="n">
        <f aca="false">INDEX('AC Estimate'!$J$5:$J$238,MATCH($A314,'AC Estimate'!$A$5:$A$238,0))</f>
        <v>0.375</v>
      </c>
      <c r="F314" s="27" t="n">
        <f aca="false">INDEX('AC Estimate'!$K$5:$K$238,MATCH($A314,'AC Estimate'!$A$5:$A$238,0))</f>
        <v>0.0625</v>
      </c>
      <c r="G314" s="27" t="n">
        <f aca="false">INDEX('AC Estimate'!$L$5:$L$238,MATCH($A314,'AC Estimate'!$A$5:$A$238,0))</f>
        <v>0.0625</v>
      </c>
      <c r="H314" s="27" t="n">
        <f aca="false">INDEX('AC Estimate'!$M$5:$M$238,MATCH($A314,'AC Estimate'!$A$5:$A$238,0))</f>
        <v>0.125</v>
      </c>
      <c r="I314" s="27" t="n">
        <f aca="false">INDEX('AC Estimate'!$N$5:$N$238,MATCH($A314,'AC Estimate'!$A$5:$A$238,0))</f>
        <v>0.375</v>
      </c>
      <c r="J314" s="7" t="str">
        <f aca="false">INDEX('AC Estimate'!$P$5:$P$238,MATCH($A314,'AC Estimate'!$A$5:$A$238,0))</f>
        <v>TVK</v>
      </c>
      <c r="K314" s="7" t="str">
        <f aca="false">INDEX('AC Estimate'!$AK$5:$AK$238,MATCH($A314,'AC Estimate'!$A$5:$A$238,0))</f>
        <v>AIADMK+</v>
      </c>
      <c r="L314" s="27" t="n">
        <f aca="false">INDEX('AC Estimate'!$AM$5:$AM$238,MATCH($A314,'AC Estimate'!$A$5:$A$238,0))</f>
        <v>0.570530881817567</v>
      </c>
      <c r="M314" s="7" t="str">
        <f aca="false">INDEX('AC Estimate'!$Q$5:$Q$238,MATCH($A314,'AC Estimate'!$A$5:$A$238,0))</f>
        <v>AIADMK</v>
      </c>
      <c r="N314" s="7" t="str">
        <f aca="false">INDEX('AC Estimate'!$R$5:$R$238,MATCH($A314,'AC Estimate'!$A$5:$A$238,0))</f>
        <v>AIADMK+</v>
      </c>
      <c r="O314" s="7" t="str">
        <f aca="false">INDEX('AC Estimate'!$AL$5:$AL$238,MATCH($A314,'AC Estimate'!$A$5:$A$238,0))</f>
        <v>Yes</v>
      </c>
    </row>
    <row r="315" customFormat="false" ht="15" hidden="false" customHeight="false" outlineLevel="0" collapsed="false">
      <c r="A315" s="17" t="n">
        <v>69</v>
      </c>
      <c r="B315" s="7" t="str">
        <f aca="false">INDEX('AC Estimate'!$B$5:$B$238,MATCH($A315,'AC Estimate'!$A$5:$A$238,0))</f>
        <v>Vandavasi</v>
      </c>
      <c r="C315" s="7" t="str">
        <f aca="false">INDEX('AC Estimate'!$C$5:$C$238,MATCH($A315,'AC Estimate'!$A$5:$A$238,0))</f>
        <v>Tiruvannamalai</v>
      </c>
      <c r="D315" s="7" t="n">
        <f aca="false">INDEX('AC Estimate'!$I$5:$I$238,MATCH($A315,'AC Estimate'!$A$5:$A$238,0))</f>
        <v>12</v>
      </c>
      <c r="E315" s="27" t="n">
        <f aca="false">INDEX('AC Estimate'!$J$5:$J$238,MATCH($A315,'AC Estimate'!$A$5:$A$238,0))</f>
        <v>0.25</v>
      </c>
      <c r="F315" s="27" t="n">
        <f aca="false">INDEX('AC Estimate'!$K$5:$K$238,MATCH($A315,'AC Estimate'!$A$5:$A$238,0))</f>
        <v>0.25</v>
      </c>
      <c r="G315" s="27" t="n">
        <f aca="false">INDEX('AC Estimate'!$L$5:$L$238,MATCH($A315,'AC Estimate'!$A$5:$A$238,0))</f>
        <v>0</v>
      </c>
      <c r="H315" s="27" t="n">
        <f aca="false">INDEX('AC Estimate'!$M$5:$M$238,MATCH($A315,'AC Estimate'!$A$5:$A$238,0))</f>
        <v>0</v>
      </c>
      <c r="I315" s="27" t="n">
        <f aca="false">INDEX('AC Estimate'!$N$5:$N$238,MATCH($A315,'AC Estimate'!$A$5:$A$238,0))</f>
        <v>0.5</v>
      </c>
      <c r="J315" s="7" t="str">
        <f aca="false">INDEX('AC Estimate'!$P$5:$P$238,MATCH($A315,'AC Estimate'!$A$5:$A$238,0))</f>
        <v>TVK</v>
      </c>
      <c r="K315" s="7" t="str">
        <f aca="false">INDEX('AC Estimate'!$AK$5:$AK$238,MATCH($A315,'AC Estimate'!$A$5:$A$238,0))</f>
        <v>DMK+</v>
      </c>
      <c r="L315" s="27" t="n">
        <f aca="false">INDEX('AC Estimate'!$AM$5:$AM$238,MATCH($A315,'AC Estimate'!$A$5:$A$238,0))</f>
        <v>0.44409864853789</v>
      </c>
      <c r="M315" s="7" t="str">
        <f aca="false">INDEX('AC Estimate'!$Q$5:$Q$238,MATCH($A315,'AC Estimate'!$A$5:$A$238,0))</f>
        <v>DMK</v>
      </c>
      <c r="N315" s="7" t="str">
        <f aca="false">INDEX('AC Estimate'!$R$5:$R$238,MATCH($A315,'AC Estimate'!$A$5:$A$238,0))</f>
        <v>DMK+</v>
      </c>
      <c r="O315" s="7" t="str">
        <f aca="false">INDEX('AC Estimate'!$AL$5:$AL$238,MATCH($A315,'AC Estimate'!$A$5:$A$238,0))</f>
        <v>Yes</v>
      </c>
    </row>
    <row r="316" customFormat="false" ht="15" hidden="false" customHeight="false" outlineLevel="0" collapsed="false">
      <c r="A316" s="33"/>
      <c r="B316" s="34" t="s">
        <v>159</v>
      </c>
      <c r="C316" s="33"/>
      <c r="D316" s="34" t="n">
        <f aca="false">SUM(D308:D315)</f>
        <v>171</v>
      </c>
      <c r="E316" s="33"/>
      <c r="F316" s="33"/>
      <c r="G316" s="33"/>
      <c r="H316" s="33"/>
      <c r="I316" s="33"/>
      <c r="J316" s="34" t="s">
        <v>92</v>
      </c>
      <c r="K316" s="34" t="str">
        <f aca="false">COUNTIF(K308:K315,"TVK")&amp;" / "&amp;COUNTIF(K308:K315,"AIADMK+")&amp;" / "&amp;COUNTIF(K308:K315,"DMK+")</f>
        <v>1 / 5 / 2</v>
      </c>
      <c r="L316" s="33"/>
      <c r="M316" s="34" t="s">
        <v>93</v>
      </c>
      <c r="N316" s="34" t="str">
        <f aca="false">COUNTIF(N308:N315,"TVK")&amp;" / "&amp;COUNTIF(N308:N315,"AIADMK+")&amp;" / "&amp;COUNTIF(N308:N315,"DMK+")</f>
        <v>1 / 5 / 2</v>
      </c>
      <c r="O316" s="34" t="str">
        <f aca="false">IF(AND(ABS(COUNTIF(K308:K315,"TVK")-COUNTIF(N308:N315,"TVK"))&lt;=Calibration!$B$3,ABS(COUNTIF(K308:K315,"AIADMK+")-COUNTIF(N308:N315,"AIADMK+"))&lt;=Calibration!$B$3,ABS(COUNTIF(K308:K315,"DMK+")-COUNTIF(N308:N315,"DMK+"))&lt;=Calibration!$B$3),"Within","Off")</f>
        <v>Within</v>
      </c>
    </row>
    <row r="318" customFormat="false" ht="15" hidden="false" customHeight="false" outlineLevel="0" collapsed="false">
      <c r="A318" s="31" t="s">
        <v>160</v>
      </c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customFormat="false" ht="15" hidden="false" customHeight="false" outlineLevel="0" collapsed="false">
      <c r="A319" s="17" t="n">
        <v>166</v>
      </c>
      <c r="B319" s="7" t="str">
        <f aca="false">INDEX('AC Estimate'!$B$5:$B$238,MATCH($A319,'AC Estimate'!$A$5:$A$238,0))</f>
        <v>Thiruthuraipoondi</v>
      </c>
      <c r="C319" s="7" t="str">
        <f aca="false">INDEX('AC Estimate'!$C$5:$C$238,MATCH($A319,'AC Estimate'!$A$5:$A$238,0))</f>
        <v>Tiruvarur</v>
      </c>
      <c r="D319" s="7" t="n">
        <f aca="false">INDEX('AC Estimate'!$I$5:$I$238,MATCH($A319,'AC Estimate'!$A$5:$A$238,0))</f>
        <v>40</v>
      </c>
      <c r="E319" s="27" t="n">
        <f aca="false">INDEX('AC Estimate'!$J$5:$J$238,MATCH($A319,'AC Estimate'!$A$5:$A$238,0))</f>
        <v>0.05</v>
      </c>
      <c r="F319" s="27" t="n">
        <f aca="false">INDEX('AC Estimate'!$K$5:$K$238,MATCH($A319,'AC Estimate'!$A$5:$A$238,0))</f>
        <v>0.475</v>
      </c>
      <c r="G319" s="27" t="n">
        <f aca="false">INDEX('AC Estimate'!$L$5:$L$238,MATCH($A319,'AC Estimate'!$A$5:$A$238,0))</f>
        <v>0</v>
      </c>
      <c r="H319" s="27" t="n">
        <f aca="false">INDEX('AC Estimate'!$M$5:$M$238,MATCH($A319,'AC Estimate'!$A$5:$A$238,0))</f>
        <v>0.05</v>
      </c>
      <c r="I319" s="27" t="n">
        <f aca="false">INDEX('AC Estimate'!$N$5:$N$238,MATCH($A319,'AC Estimate'!$A$5:$A$238,0))</f>
        <v>0.425</v>
      </c>
      <c r="J319" s="7" t="str">
        <f aca="false">INDEX('AC Estimate'!$P$5:$P$238,MATCH($A319,'AC Estimate'!$A$5:$A$238,0))</f>
        <v>DMK+</v>
      </c>
      <c r="K319" s="7" t="str">
        <f aca="false">INDEX('AC Estimate'!$AK$5:$AK$238,MATCH($A319,'AC Estimate'!$A$5:$A$238,0))</f>
        <v>DMK+</v>
      </c>
      <c r="L319" s="27" t="n">
        <f aca="false">INDEX('AC Estimate'!$AM$5:$AM$238,MATCH($A319,'AC Estimate'!$A$5:$A$238,0))</f>
        <v>0.54153768715597</v>
      </c>
      <c r="M319" s="7" t="str">
        <f aca="false">INDEX('AC Estimate'!$Q$5:$Q$238,MATCH($A319,'AC Estimate'!$A$5:$A$238,0))</f>
        <v>CPI</v>
      </c>
      <c r="N319" s="7" t="str">
        <f aca="false">INDEX('AC Estimate'!$R$5:$R$238,MATCH($A319,'AC Estimate'!$A$5:$A$238,0))</f>
        <v>DMK+</v>
      </c>
      <c r="O319" s="7" t="str">
        <f aca="false">INDEX('AC Estimate'!$AL$5:$AL$238,MATCH($A319,'AC Estimate'!$A$5:$A$238,0))</f>
        <v>Yes</v>
      </c>
    </row>
    <row r="320" customFormat="false" ht="15" hidden="false" customHeight="false" outlineLevel="0" collapsed="false">
      <c r="A320" s="17" t="n">
        <v>167</v>
      </c>
      <c r="B320" s="7" t="str">
        <f aca="false">INDEX('AC Estimate'!$B$5:$B$238,MATCH($A320,'AC Estimate'!$A$5:$A$238,0))</f>
        <v>Mannargudi</v>
      </c>
      <c r="C320" s="7" t="str">
        <f aca="false">INDEX('AC Estimate'!$C$5:$C$238,MATCH($A320,'AC Estimate'!$A$5:$A$238,0))</f>
        <v>Tiruvarur</v>
      </c>
      <c r="D320" s="7" t="n">
        <f aca="false">INDEX('AC Estimate'!$I$5:$I$238,MATCH($A320,'AC Estimate'!$A$5:$A$238,0))</f>
        <v>53</v>
      </c>
      <c r="E320" s="27" t="n">
        <f aca="false">INDEX('AC Estimate'!$J$5:$J$238,MATCH($A320,'AC Estimate'!$A$5:$A$238,0))</f>
        <v>0.320754716981132</v>
      </c>
      <c r="F320" s="27" t="n">
        <f aca="false">INDEX('AC Estimate'!$K$5:$K$238,MATCH($A320,'AC Estimate'!$A$5:$A$238,0))</f>
        <v>0.30188679245283</v>
      </c>
      <c r="G320" s="27" t="n">
        <f aca="false">INDEX('AC Estimate'!$L$5:$L$238,MATCH($A320,'AC Estimate'!$A$5:$A$238,0))</f>
        <v>0.0188679245283019</v>
      </c>
      <c r="H320" s="27" t="n">
        <f aca="false">INDEX('AC Estimate'!$M$5:$M$238,MATCH($A320,'AC Estimate'!$A$5:$A$238,0))</f>
        <v>0.132075471698113</v>
      </c>
      <c r="I320" s="27" t="n">
        <f aca="false">INDEX('AC Estimate'!$N$5:$N$238,MATCH($A320,'AC Estimate'!$A$5:$A$238,0))</f>
        <v>0.226415094339623</v>
      </c>
      <c r="J320" s="7" t="str">
        <f aca="false">INDEX('AC Estimate'!$P$5:$P$238,MATCH($A320,'AC Estimate'!$A$5:$A$238,0))</f>
        <v>AIADMK+</v>
      </c>
      <c r="K320" s="7" t="str">
        <f aca="false">INDEX('AC Estimate'!$AK$5:$AK$238,MATCH($A320,'AC Estimate'!$A$5:$A$238,0))</f>
        <v>AIADMK+</v>
      </c>
      <c r="L320" s="27" t="n">
        <f aca="false">INDEX('AC Estimate'!$AM$5:$AM$238,MATCH($A320,'AC Estimate'!$A$5:$A$238,0))</f>
        <v>0.256773509612697</v>
      </c>
      <c r="M320" s="7" t="str">
        <f aca="false">INDEX('AC Estimate'!$Q$5:$Q$238,MATCH($A320,'AC Estimate'!$A$5:$A$238,0))</f>
        <v>AMMK</v>
      </c>
      <c r="N320" s="7" t="str">
        <f aca="false">INDEX('AC Estimate'!$R$5:$R$238,MATCH($A320,'AC Estimate'!$A$5:$A$238,0))</f>
        <v>AIADMK+</v>
      </c>
      <c r="O320" s="7" t="str">
        <f aca="false">INDEX('AC Estimate'!$AL$5:$AL$238,MATCH($A320,'AC Estimate'!$A$5:$A$238,0))</f>
        <v>Yes</v>
      </c>
    </row>
    <row r="321" customFormat="false" ht="15" hidden="false" customHeight="false" outlineLevel="0" collapsed="false">
      <c r="A321" s="17" t="n">
        <v>168</v>
      </c>
      <c r="B321" s="7" t="str">
        <f aca="false">INDEX('AC Estimate'!$B$5:$B$238,MATCH($A321,'AC Estimate'!$A$5:$A$238,0))</f>
        <v>Thiruvarur</v>
      </c>
      <c r="C321" s="7" t="str">
        <f aca="false">INDEX('AC Estimate'!$C$5:$C$238,MATCH($A321,'AC Estimate'!$A$5:$A$238,0))</f>
        <v>Tiruvarur</v>
      </c>
      <c r="D321" s="7" t="n">
        <f aca="false">INDEX('AC Estimate'!$I$5:$I$238,MATCH($A321,'AC Estimate'!$A$5:$A$238,0))</f>
        <v>43</v>
      </c>
      <c r="E321" s="27" t="n">
        <f aca="false">INDEX('AC Estimate'!$J$5:$J$238,MATCH($A321,'AC Estimate'!$A$5:$A$238,0))</f>
        <v>0.302325581395349</v>
      </c>
      <c r="F321" s="27" t="n">
        <f aca="false">INDEX('AC Estimate'!$K$5:$K$238,MATCH($A321,'AC Estimate'!$A$5:$A$238,0))</f>
        <v>0.348837209302326</v>
      </c>
      <c r="G321" s="27" t="n">
        <f aca="false">INDEX('AC Estimate'!$L$5:$L$238,MATCH($A321,'AC Estimate'!$A$5:$A$238,0))</f>
        <v>0</v>
      </c>
      <c r="H321" s="27" t="n">
        <f aca="false">INDEX('AC Estimate'!$M$5:$M$238,MATCH($A321,'AC Estimate'!$A$5:$A$238,0))</f>
        <v>0.0930232558139535</v>
      </c>
      <c r="I321" s="27" t="n">
        <f aca="false">INDEX('AC Estimate'!$N$5:$N$238,MATCH($A321,'AC Estimate'!$A$5:$A$238,0))</f>
        <v>0.255813953488372</v>
      </c>
      <c r="J321" s="7" t="str">
        <f aca="false">INDEX('AC Estimate'!$P$5:$P$238,MATCH($A321,'AC Estimate'!$A$5:$A$238,0))</f>
        <v>DMK+</v>
      </c>
      <c r="K321" s="7" t="str">
        <f aca="false">INDEX('AC Estimate'!$AK$5:$AK$238,MATCH($A321,'AC Estimate'!$A$5:$A$238,0))</f>
        <v>AIADMK+</v>
      </c>
      <c r="L321" s="27" t="n">
        <f aca="false">INDEX('AC Estimate'!$AM$5:$AM$238,MATCH($A321,'AC Estimate'!$A$5:$A$238,0))</f>
        <v>0.268918437913575</v>
      </c>
      <c r="M321" s="7" t="str">
        <f aca="false">INDEX('AC Estimate'!$Q$5:$Q$238,MATCH($A321,'AC Estimate'!$A$5:$A$238,0))</f>
        <v>DMK</v>
      </c>
      <c r="N321" s="7" t="str">
        <f aca="false">INDEX('AC Estimate'!$R$5:$R$238,MATCH($A321,'AC Estimate'!$A$5:$A$238,0))</f>
        <v>DMK+</v>
      </c>
      <c r="O321" s="7" t="str">
        <f aca="false">INDEX('AC Estimate'!$AL$5:$AL$238,MATCH($A321,'AC Estimate'!$A$5:$A$238,0))</f>
        <v>No</v>
      </c>
    </row>
    <row r="322" customFormat="false" ht="15" hidden="false" customHeight="false" outlineLevel="0" collapsed="false">
      <c r="A322" s="17" t="n">
        <v>169</v>
      </c>
      <c r="B322" s="7" t="str">
        <f aca="false">INDEX('AC Estimate'!$B$5:$B$238,MATCH($A322,'AC Estimate'!$A$5:$A$238,0))</f>
        <v>Nannilam</v>
      </c>
      <c r="C322" s="7" t="str">
        <f aca="false">INDEX('AC Estimate'!$C$5:$C$238,MATCH($A322,'AC Estimate'!$A$5:$A$238,0))</f>
        <v>Tiruvarur</v>
      </c>
      <c r="D322" s="7" t="n">
        <f aca="false">INDEX('AC Estimate'!$I$5:$I$238,MATCH($A322,'AC Estimate'!$A$5:$A$238,0))</f>
        <v>41</v>
      </c>
      <c r="E322" s="27" t="n">
        <f aca="false">INDEX('AC Estimate'!$J$5:$J$238,MATCH($A322,'AC Estimate'!$A$5:$A$238,0))</f>
        <v>0.219512195121951</v>
      </c>
      <c r="F322" s="27" t="n">
        <f aca="false">INDEX('AC Estimate'!$K$5:$K$238,MATCH($A322,'AC Estimate'!$A$5:$A$238,0))</f>
        <v>0.317073170731707</v>
      </c>
      <c r="G322" s="27" t="n">
        <f aca="false">INDEX('AC Estimate'!$L$5:$L$238,MATCH($A322,'AC Estimate'!$A$5:$A$238,0))</f>
        <v>0</v>
      </c>
      <c r="H322" s="27" t="n">
        <f aca="false">INDEX('AC Estimate'!$M$5:$M$238,MATCH($A322,'AC Estimate'!$A$5:$A$238,0))</f>
        <v>0.170731707317073</v>
      </c>
      <c r="I322" s="27" t="n">
        <f aca="false">INDEX('AC Estimate'!$N$5:$N$238,MATCH($A322,'AC Estimate'!$A$5:$A$238,0))</f>
        <v>0.292682926829268</v>
      </c>
      <c r="J322" s="7" t="str">
        <f aca="false">INDEX('AC Estimate'!$P$5:$P$238,MATCH($A322,'AC Estimate'!$A$5:$A$238,0))</f>
        <v>DMK+</v>
      </c>
      <c r="K322" s="7" t="str">
        <f aca="false">INDEX('AC Estimate'!$AK$5:$AK$238,MATCH($A322,'AC Estimate'!$A$5:$A$238,0))</f>
        <v>DMK+</v>
      </c>
      <c r="L322" s="27" t="n">
        <f aca="false">INDEX('AC Estimate'!$AM$5:$AM$238,MATCH($A322,'AC Estimate'!$A$5:$A$238,0))</f>
        <v>0.447709200864921</v>
      </c>
      <c r="M322" s="7" t="str">
        <f aca="false">INDEX('AC Estimate'!$Q$5:$Q$238,MATCH($A322,'AC Estimate'!$A$5:$A$238,0))</f>
        <v>AIADMK</v>
      </c>
      <c r="N322" s="7" t="str">
        <f aca="false">INDEX('AC Estimate'!$R$5:$R$238,MATCH($A322,'AC Estimate'!$A$5:$A$238,0))</f>
        <v>AIADMK+</v>
      </c>
      <c r="O322" s="7" t="str">
        <f aca="false">INDEX('AC Estimate'!$AL$5:$AL$238,MATCH($A322,'AC Estimate'!$A$5:$A$238,0))</f>
        <v>No</v>
      </c>
    </row>
    <row r="323" customFormat="false" ht="15" hidden="false" customHeight="false" outlineLevel="0" collapsed="false">
      <c r="A323" s="33"/>
      <c r="B323" s="34" t="s">
        <v>161</v>
      </c>
      <c r="C323" s="33"/>
      <c r="D323" s="34" t="n">
        <f aca="false">SUM(D319:D322)</f>
        <v>177</v>
      </c>
      <c r="E323" s="33"/>
      <c r="F323" s="33"/>
      <c r="G323" s="33"/>
      <c r="H323" s="33"/>
      <c r="I323" s="33"/>
      <c r="J323" s="34" t="s">
        <v>92</v>
      </c>
      <c r="K323" s="34" t="str">
        <f aca="false">COUNTIF(K319:K322,"TVK")&amp;" / "&amp;COUNTIF(K319:K322,"AIADMK+")&amp;" / "&amp;COUNTIF(K319:K322,"DMK+")</f>
        <v>0 / 2 / 2</v>
      </c>
      <c r="L323" s="33"/>
      <c r="M323" s="34" t="s">
        <v>93</v>
      </c>
      <c r="N323" s="34" t="str">
        <f aca="false">COUNTIF(N319:N322,"TVK")&amp;" / "&amp;COUNTIF(N319:N322,"AIADMK+")&amp;" / "&amp;COUNTIF(N319:N322,"DMK+")</f>
        <v>0 / 2 / 2</v>
      </c>
      <c r="O323" s="34" t="str">
        <f aca="false">IF(AND(ABS(COUNTIF(K319:K322,"TVK")-COUNTIF(N319:N322,"TVK"))&lt;=Calibration!$B$3,ABS(COUNTIF(K319:K322,"AIADMK+")-COUNTIF(N319:N322,"AIADMK+"))&lt;=Calibration!$B$3,ABS(COUNTIF(K319:K322,"DMK+")-COUNTIF(N319:N322,"DMK+"))&lt;=Calibration!$B$3),"Within","Off")</f>
        <v>Within</v>
      </c>
    </row>
    <row r="325" customFormat="false" ht="15" hidden="false" customHeight="false" outlineLevel="0" collapsed="false">
      <c r="A325" s="31" t="s">
        <v>162</v>
      </c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customFormat="false" ht="15" hidden="false" customHeight="false" outlineLevel="0" collapsed="false">
      <c r="A326" s="17" t="n">
        <v>40</v>
      </c>
      <c r="B326" s="7" t="str">
        <f aca="false">INDEX('AC Estimate'!$B$5:$B$238,MATCH($A326,'AC Estimate'!$A$5:$A$238,0))</f>
        <v>Katpadi</v>
      </c>
      <c r="C326" s="7" t="str">
        <f aca="false">INDEX('AC Estimate'!$C$5:$C$238,MATCH($A326,'AC Estimate'!$A$5:$A$238,0))</f>
        <v>Vellore</v>
      </c>
      <c r="D326" s="7" t="n">
        <f aca="false">INDEX('AC Estimate'!$I$5:$I$238,MATCH($A326,'AC Estimate'!$A$5:$A$238,0))</f>
        <v>44</v>
      </c>
      <c r="E326" s="27" t="n">
        <f aca="false">INDEX('AC Estimate'!$J$5:$J$238,MATCH($A326,'AC Estimate'!$A$5:$A$238,0))</f>
        <v>0.545454545454545</v>
      </c>
      <c r="F326" s="27" t="n">
        <f aca="false">INDEX('AC Estimate'!$K$5:$K$238,MATCH($A326,'AC Estimate'!$A$5:$A$238,0))</f>
        <v>0.227272727272727</v>
      </c>
      <c r="G326" s="27" t="n">
        <f aca="false">INDEX('AC Estimate'!$L$5:$L$238,MATCH($A326,'AC Estimate'!$A$5:$A$238,0))</f>
        <v>0</v>
      </c>
      <c r="H326" s="27" t="n">
        <f aca="false">INDEX('AC Estimate'!$M$5:$M$238,MATCH($A326,'AC Estimate'!$A$5:$A$238,0))</f>
        <v>0.0681818181818182</v>
      </c>
      <c r="I326" s="27" t="n">
        <f aca="false">INDEX('AC Estimate'!$N$5:$N$238,MATCH($A326,'AC Estimate'!$A$5:$A$238,0))</f>
        <v>0.159090909090909</v>
      </c>
      <c r="J326" s="7" t="str">
        <f aca="false">INDEX('AC Estimate'!$P$5:$P$238,MATCH($A326,'AC Estimate'!$A$5:$A$238,0))</f>
        <v>AIADMK+</v>
      </c>
      <c r="K326" s="7" t="str">
        <f aca="false">INDEX('AC Estimate'!$AK$5:$AK$238,MATCH($A326,'AC Estimate'!$A$5:$A$238,0))</f>
        <v>TVK</v>
      </c>
      <c r="L326" s="27" t="n">
        <f aca="false">INDEX('AC Estimate'!$AM$5:$AM$238,MATCH($A326,'AC Estimate'!$A$5:$A$238,0))</f>
        <v>0.344013178515899</v>
      </c>
      <c r="M326" s="7" t="str">
        <f aca="false">INDEX('AC Estimate'!$Q$5:$Q$238,MATCH($A326,'AC Estimate'!$A$5:$A$238,0))</f>
        <v>TVK</v>
      </c>
      <c r="N326" s="7" t="str">
        <f aca="false">INDEX('AC Estimate'!$R$5:$R$238,MATCH($A326,'AC Estimate'!$A$5:$A$238,0))</f>
        <v>TVK</v>
      </c>
      <c r="O326" s="7" t="str">
        <f aca="false">INDEX('AC Estimate'!$AL$5:$AL$238,MATCH($A326,'AC Estimate'!$A$5:$A$238,0))</f>
        <v>Yes</v>
      </c>
    </row>
    <row r="327" customFormat="false" ht="15" hidden="false" customHeight="false" outlineLevel="0" collapsed="false">
      <c r="A327" s="17" t="n">
        <v>43</v>
      </c>
      <c r="B327" s="7" t="str">
        <f aca="false">INDEX('AC Estimate'!$B$5:$B$238,MATCH($A327,'AC Estimate'!$A$5:$A$238,0))</f>
        <v>Vellore</v>
      </c>
      <c r="C327" s="7" t="str">
        <f aca="false">INDEX('AC Estimate'!$C$5:$C$238,MATCH($A327,'AC Estimate'!$A$5:$A$238,0))</f>
        <v>Vellore</v>
      </c>
      <c r="D327" s="7" t="n">
        <f aca="false">INDEX('AC Estimate'!$I$5:$I$238,MATCH($A327,'AC Estimate'!$A$5:$A$238,0))</f>
        <v>59</v>
      </c>
      <c r="E327" s="27" t="n">
        <f aca="false">INDEX('AC Estimate'!$J$5:$J$238,MATCH($A327,'AC Estimate'!$A$5:$A$238,0))</f>
        <v>0.152542372881356</v>
      </c>
      <c r="F327" s="27" t="n">
        <f aca="false">INDEX('AC Estimate'!$K$5:$K$238,MATCH($A327,'AC Estimate'!$A$5:$A$238,0))</f>
        <v>0.423728813559322</v>
      </c>
      <c r="G327" s="27" t="n">
        <f aca="false">INDEX('AC Estimate'!$L$5:$L$238,MATCH($A327,'AC Estimate'!$A$5:$A$238,0))</f>
        <v>0</v>
      </c>
      <c r="H327" s="27" t="n">
        <f aca="false">INDEX('AC Estimate'!$M$5:$M$238,MATCH($A327,'AC Estimate'!$A$5:$A$238,0))</f>
        <v>0.0508474576271187</v>
      </c>
      <c r="I327" s="27" t="n">
        <f aca="false">INDEX('AC Estimate'!$N$5:$N$238,MATCH($A327,'AC Estimate'!$A$5:$A$238,0))</f>
        <v>0.372881355932203</v>
      </c>
      <c r="J327" s="7" t="str">
        <f aca="false">INDEX('AC Estimate'!$P$5:$P$238,MATCH($A327,'AC Estimate'!$A$5:$A$238,0))</f>
        <v>DMK+</v>
      </c>
      <c r="K327" s="7" t="str">
        <f aca="false">INDEX('AC Estimate'!$AK$5:$AK$238,MATCH($A327,'AC Estimate'!$A$5:$A$238,0))</f>
        <v>TVK</v>
      </c>
      <c r="L327" s="27" t="n">
        <f aca="false">INDEX('AC Estimate'!$AM$5:$AM$238,MATCH($A327,'AC Estimate'!$A$5:$A$238,0))</f>
        <v>0.488085589735784</v>
      </c>
      <c r="M327" s="7" t="str">
        <f aca="false">INDEX('AC Estimate'!$Q$5:$Q$238,MATCH($A327,'AC Estimate'!$A$5:$A$238,0))</f>
        <v>TVK</v>
      </c>
      <c r="N327" s="7" t="str">
        <f aca="false">INDEX('AC Estimate'!$R$5:$R$238,MATCH($A327,'AC Estimate'!$A$5:$A$238,0))</f>
        <v>TVK</v>
      </c>
      <c r="O327" s="7" t="str">
        <f aca="false">INDEX('AC Estimate'!$AL$5:$AL$238,MATCH($A327,'AC Estimate'!$A$5:$A$238,0))</f>
        <v>Yes</v>
      </c>
    </row>
    <row r="328" customFormat="false" ht="15" hidden="false" customHeight="false" outlineLevel="0" collapsed="false">
      <c r="A328" s="17" t="n">
        <v>44</v>
      </c>
      <c r="B328" s="7" t="str">
        <f aca="false">INDEX('AC Estimate'!$B$5:$B$238,MATCH($A328,'AC Estimate'!$A$5:$A$238,0))</f>
        <v>Anaikattu</v>
      </c>
      <c r="C328" s="7" t="str">
        <f aca="false">INDEX('AC Estimate'!$C$5:$C$238,MATCH($A328,'AC Estimate'!$A$5:$A$238,0))</f>
        <v>Vellore</v>
      </c>
      <c r="D328" s="7" t="n">
        <f aca="false">INDEX('AC Estimate'!$I$5:$I$238,MATCH($A328,'AC Estimate'!$A$5:$A$238,0))</f>
        <v>31</v>
      </c>
      <c r="E328" s="27" t="n">
        <f aca="false">INDEX('AC Estimate'!$J$5:$J$238,MATCH($A328,'AC Estimate'!$A$5:$A$238,0))</f>
        <v>0.32258064516129</v>
      </c>
      <c r="F328" s="27" t="n">
        <f aca="false">INDEX('AC Estimate'!$K$5:$K$238,MATCH($A328,'AC Estimate'!$A$5:$A$238,0))</f>
        <v>0.129032258064516</v>
      </c>
      <c r="G328" s="27" t="n">
        <f aca="false">INDEX('AC Estimate'!$L$5:$L$238,MATCH($A328,'AC Estimate'!$A$5:$A$238,0))</f>
        <v>0</v>
      </c>
      <c r="H328" s="27" t="n">
        <f aca="false">INDEX('AC Estimate'!$M$5:$M$238,MATCH($A328,'AC Estimate'!$A$5:$A$238,0))</f>
        <v>0</v>
      </c>
      <c r="I328" s="27" t="n">
        <f aca="false">INDEX('AC Estimate'!$N$5:$N$238,MATCH($A328,'AC Estimate'!$A$5:$A$238,0))</f>
        <v>0.548387096774194</v>
      </c>
      <c r="J328" s="7" t="str">
        <f aca="false">INDEX('AC Estimate'!$P$5:$P$238,MATCH($A328,'AC Estimate'!$A$5:$A$238,0))</f>
        <v>TVK</v>
      </c>
      <c r="K328" s="7" t="str">
        <f aca="false">INDEX('AC Estimate'!$AK$5:$AK$238,MATCH($A328,'AC Estimate'!$A$5:$A$238,0))</f>
        <v>TVK</v>
      </c>
      <c r="L328" s="27" t="n">
        <f aca="false">INDEX('AC Estimate'!$AM$5:$AM$238,MATCH($A328,'AC Estimate'!$A$5:$A$238,0))</f>
        <v>0.302555170926538</v>
      </c>
      <c r="M328" s="7" t="str">
        <f aca="false">INDEX('AC Estimate'!$Q$5:$Q$238,MATCH($A328,'AC Estimate'!$A$5:$A$238,0))</f>
        <v>AIADMK</v>
      </c>
      <c r="N328" s="7" t="str">
        <f aca="false">INDEX('AC Estimate'!$R$5:$R$238,MATCH($A328,'AC Estimate'!$A$5:$A$238,0))</f>
        <v>AIADMK+</v>
      </c>
      <c r="O328" s="7" t="str">
        <f aca="false">INDEX('AC Estimate'!$AL$5:$AL$238,MATCH($A328,'AC Estimate'!$A$5:$A$238,0))</f>
        <v>No</v>
      </c>
    </row>
    <row r="329" customFormat="false" ht="15" hidden="false" customHeight="false" outlineLevel="0" collapsed="false">
      <c r="A329" s="17" t="n">
        <v>45</v>
      </c>
      <c r="B329" s="7" t="str">
        <f aca="false">INDEX('AC Estimate'!$B$5:$B$238,MATCH($A329,'AC Estimate'!$A$5:$A$238,0))</f>
        <v>Kilvaithinankuppam</v>
      </c>
      <c r="C329" s="7" t="str">
        <f aca="false">INDEX('AC Estimate'!$C$5:$C$238,MATCH($A329,'AC Estimate'!$A$5:$A$238,0))</f>
        <v>Vellore</v>
      </c>
      <c r="D329" s="7" t="n">
        <f aca="false">INDEX('AC Estimate'!$I$5:$I$238,MATCH($A329,'AC Estimate'!$A$5:$A$238,0))</f>
        <v>22</v>
      </c>
      <c r="E329" s="27" t="n">
        <f aca="false">INDEX('AC Estimate'!$J$5:$J$238,MATCH($A329,'AC Estimate'!$A$5:$A$238,0))</f>
        <v>0.181818181818182</v>
      </c>
      <c r="F329" s="27" t="n">
        <f aca="false">INDEX('AC Estimate'!$K$5:$K$238,MATCH($A329,'AC Estimate'!$A$5:$A$238,0))</f>
        <v>0.227272727272727</v>
      </c>
      <c r="G329" s="27" t="n">
        <f aca="false">INDEX('AC Estimate'!$L$5:$L$238,MATCH($A329,'AC Estimate'!$A$5:$A$238,0))</f>
        <v>0</v>
      </c>
      <c r="H329" s="27" t="n">
        <f aca="false">INDEX('AC Estimate'!$M$5:$M$238,MATCH($A329,'AC Estimate'!$A$5:$A$238,0))</f>
        <v>0.0909090909090909</v>
      </c>
      <c r="I329" s="27" t="n">
        <f aca="false">INDEX('AC Estimate'!$N$5:$N$238,MATCH($A329,'AC Estimate'!$A$5:$A$238,0))</f>
        <v>0.5</v>
      </c>
      <c r="J329" s="7" t="str">
        <f aca="false">INDEX('AC Estimate'!$P$5:$P$238,MATCH($A329,'AC Estimate'!$A$5:$A$238,0))</f>
        <v>TVK</v>
      </c>
      <c r="K329" s="7" t="str">
        <f aca="false">INDEX('AC Estimate'!$AK$5:$AK$238,MATCH($A329,'AC Estimate'!$A$5:$A$238,0))</f>
        <v>AIADMK+</v>
      </c>
      <c r="L329" s="27" t="n">
        <f aca="false">INDEX('AC Estimate'!$AM$5:$AM$238,MATCH($A329,'AC Estimate'!$A$5:$A$238,0))</f>
        <v>0.368072846739296</v>
      </c>
      <c r="M329" s="7" t="str">
        <f aca="false">INDEX('AC Estimate'!$Q$5:$Q$238,MATCH($A329,'AC Estimate'!$A$5:$A$238,0))</f>
        <v>TVK</v>
      </c>
      <c r="N329" s="7" t="str">
        <f aca="false">INDEX('AC Estimate'!$R$5:$R$238,MATCH($A329,'AC Estimate'!$A$5:$A$238,0))</f>
        <v>TVK</v>
      </c>
      <c r="O329" s="7" t="str">
        <f aca="false">INDEX('AC Estimate'!$AL$5:$AL$238,MATCH($A329,'AC Estimate'!$A$5:$A$238,0))</f>
        <v>No</v>
      </c>
    </row>
    <row r="330" customFormat="false" ht="15" hidden="false" customHeight="false" outlineLevel="0" collapsed="false">
      <c r="A330" s="17" t="n">
        <v>46</v>
      </c>
      <c r="B330" s="7" t="str">
        <f aca="false">INDEX('AC Estimate'!$B$5:$B$238,MATCH($A330,'AC Estimate'!$A$5:$A$238,0))</f>
        <v>Gudiyatham</v>
      </c>
      <c r="C330" s="7" t="str">
        <f aca="false">INDEX('AC Estimate'!$C$5:$C$238,MATCH($A330,'AC Estimate'!$A$5:$A$238,0))</f>
        <v>Vellore</v>
      </c>
      <c r="D330" s="7" t="n">
        <f aca="false">INDEX('AC Estimate'!$I$5:$I$238,MATCH($A330,'AC Estimate'!$A$5:$A$238,0))</f>
        <v>33</v>
      </c>
      <c r="E330" s="27" t="n">
        <f aca="false">INDEX('AC Estimate'!$J$5:$J$238,MATCH($A330,'AC Estimate'!$A$5:$A$238,0))</f>
        <v>0.212121212121212</v>
      </c>
      <c r="F330" s="27" t="n">
        <f aca="false">INDEX('AC Estimate'!$K$5:$K$238,MATCH($A330,'AC Estimate'!$A$5:$A$238,0))</f>
        <v>0.272727272727273</v>
      </c>
      <c r="G330" s="27" t="n">
        <f aca="false">INDEX('AC Estimate'!$L$5:$L$238,MATCH($A330,'AC Estimate'!$A$5:$A$238,0))</f>
        <v>0</v>
      </c>
      <c r="H330" s="27" t="n">
        <f aca="false">INDEX('AC Estimate'!$M$5:$M$238,MATCH($A330,'AC Estimate'!$A$5:$A$238,0))</f>
        <v>0.0303030303030303</v>
      </c>
      <c r="I330" s="27" t="n">
        <f aca="false">INDEX('AC Estimate'!$N$5:$N$238,MATCH($A330,'AC Estimate'!$A$5:$A$238,0))</f>
        <v>0.484848484848485</v>
      </c>
      <c r="J330" s="7" t="str">
        <f aca="false">INDEX('AC Estimate'!$P$5:$P$238,MATCH($A330,'AC Estimate'!$A$5:$A$238,0))</f>
        <v>TVK</v>
      </c>
      <c r="K330" s="7" t="str">
        <f aca="false">INDEX('AC Estimate'!$AK$5:$AK$238,MATCH($A330,'AC Estimate'!$A$5:$A$238,0))</f>
        <v>TVK</v>
      </c>
      <c r="L330" s="27" t="n">
        <f aca="false">INDEX('AC Estimate'!$AM$5:$AM$238,MATCH($A330,'AC Estimate'!$A$5:$A$238,0))</f>
        <v>0.300289063198461</v>
      </c>
      <c r="M330" s="7" t="str">
        <f aca="false">INDEX('AC Estimate'!$Q$5:$Q$238,MATCH($A330,'AC Estimate'!$A$5:$A$238,0))</f>
        <v>TVK</v>
      </c>
      <c r="N330" s="7" t="str">
        <f aca="false">INDEX('AC Estimate'!$R$5:$R$238,MATCH($A330,'AC Estimate'!$A$5:$A$238,0))</f>
        <v>TVK</v>
      </c>
      <c r="O330" s="7" t="str">
        <f aca="false">INDEX('AC Estimate'!$AL$5:$AL$238,MATCH($A330,'AC Estimate'!$A$5:$A$238,0))</f>
        <v>Yes</v>
      </c>
    </row>
    <row r="331" customFormat="false" ht="15" hidden="false" customHeight="false" outlineLevel="0" collapsed="false">
      <c r="A331" s="33"/>
      <c r="B331" s="34" t="s">
        <v>163</v>
      </c>
      <c r="C331" s="33"/>
      <c r="D331" s="34" t="n">
        <f aca="false">SUM(D326:D330)</f>
        <v>189</v>
      </c>
      <c r="E331" s="33"/>
      <c r="F331" s="33"/>
      <c r="G331" s="33"/>
      <c r="H331" s="33"/>
      <c r="I331" s="33"/>
      <c r="J331" s="34" t="s">
        <v>92</v>
      </c>
      <c r="K331" s="34" t="str">
        <f aca="false">COUNTIF(K326:K330,"TVK")&amp;" / "&amp;COUNTIF(K326:K330,"AIADMK+")&amp;" / "&amp;COUNTIF(K326:K330,"DMK+")</f>
        <v>4 / 1 / 0</v>
      </c>
      <c r="L331" s="33"/>
      <c r="M331" s="34" t="s">
        <v>93</v>
      </c>
      <c r="N331" s="34" t="str">
        <f aca="false">COUNTIF(N326:N330,"TVK")&amp;" / "&amp;COUNTIF(N326:N330,"AIADMK+")&amp;" / "&amp;COUNTIF(N326:N330,"DMK+")</f>
        <v>4 / 1 / 0</v>
      </c>
      <c r="O331" s="34" t="str">
        <f aca="false">IF(AND(ABS(COUNTIF(K326:K330,"TVK")-COUNTIF(N326:N330,"TVK"))&lt;=Calibration!$B$3,ABS(COUNTIF(K326:K330,"AIADMK+")-COUNTIF(N326:N330,"AIADMK+"))&lt;=Calibration!$B$3,ABS(COUNTIF(K326:K330,"DMK+")-COUNTIF(N326:N330,"DMK+"))&lt;=Calibration!$B$3),"Within","Off")</f>
        <v>Within</v>
      </c>
    </row>
    <row r="333" customFormat="false" ht="15" hidden="false" customHeight="false" outlineLevel="0" collapsed="false">
      <c r="A333" s="31" t="s">
        <v>164</v>
      </c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customFormat="false" ht="15" hidden="false" customHeight="false" outlineLevel="0" collapsed="false">
      <c r="A334" s="17" t="n">
        <v>70</v>
      </c>
      <c r="B334" s="7" t="str">
        <f aca="false">INDEX('AC Estimate'!$B$5:$B$238,MATCH($A334,'AC Estimate'!$A$5:$A$238,0))</f>
        <v>Gingee</v>
      </c>
      <c r="C334" s="7" t="str">
        <f aca="false">INDEX('AC Estimate'!$C$5:$C$238,MATCH($A334,'AC Estimate'!$A$5:$A$238,0))</f>
        <v>Villupuram</v>
      </c>
      <c r="D334" s="7" t="n">
        <f aca="false">INDEX('AC Estimate'!$I$5:$I$238,MATCH($A334,'AC Estimate'!$A$5:$A$238,0))</f>
        <v>27</v>
      </c>
      <c r="E334" s="27" t="n">
        <f aca="false">INDEX('AC Estimate'!$J$5:$J$238,MATCH($A334,'AC Estimate'!$A$5:$A$238,0))</f>
        <v>0.407407407407407</v>
      </c>
      <c r="F334" s="27" t="n">
        <f aca="false">INDEX('AC Estimate'!$K$5:$K$238,MATCH($A334,'AC Estimate'!$A$5:$A$238,0))</f>
        <v>0.222222222222222</v>
      </c>
      <c r="G334" s="27" t="n">
        <f aca="false">INDEX('AC Estimate'!$L$5:$L$238,MATCH($A334,'AC Estimate'!$A$5:$A$238,0))</f>
        <v>0</v>
      </c>
      <c r="H334" s="27" t="n">
        <f aca="false">INDEX('AC Estimate'!$M$5:$M$238,MATCH($A334,'AC Estimate'!$A$5:$A$238,0))</f>
        <v>0.148148148148148</v>
      </c>
      <c r="I334" s="27" t="n">
        <f aca="false">INDEX('AC Estimate'!$N$5:$N$238,MATCH($A334,'AC Estimate'!$A$5:$A$238,0))</f>
        <v>0.222222222222222</v>
      </c>
      <c r="J334" s="7" t="str">
        <f aca="false">INDEX('AC Estimate'!$P$5:$P$238,MATCH($A334,'AC Estimate'!$A$5:$A$238,0))</f>
        <v>AIADMK+</v>
      </c>
      <c r="K334" s="7" t="str">
        <f aca="false">INDEX('AC Estimate'!$AK$5:$AK$238,MATCH($A334,'AC Estimate'!$A$5:$A$238,0))</f>
        <v>AIADMK+</v>
      </c>
      <c r="L334" s="27" t="n">
        <f aca="false">INDEX('AC Estimate'!$AM$5:$AM$238,MATCH($A334,'AC Estimate'!$A$5:$A$238,0))</f>
        <v>0.454244391532172</v>
      </c>
      <c r="M334" s="7" t="str">
        <f aca="false">INDEX('AC Estimate'!$Q$5:$Q$238,MATCH($A334,'AC Estimate'!$A$5:$A$238,0))</f>
        <v>PMK</v>
      </c>
      <c r="N334" s="7" t="str">
        <f aca="false">INDEX('AC Estimate'!$R$5:$R$238,MATCH($A334,'AC Estimate'!$A$5:$A$238,0))</f>
        <v>AIADMK+</v>
      </c>
      <c r="O334" s="7" t="str">
        <f aca="false">INDEX('AC Estimate'!$AL$5:$AL$238,MATCH($A334,'AC Estimate'!$A$5:$A$238,0))</f>
        <v>Yes</v>
      </c>
    </row>
    <row r="335" customFormat="false" ht="15" hidden="false" customHeight="false" outlineLevel="0" collapsed="false">
      <c r="A335" s="17" t="n">
        <v>71</v>
      </c>
      <c r="B335" s="7" t="str">
        <f aca="false">INDEX('AC Estimate'!$B$5:$B$238,MATCH($A335,'AC Estimate'!$A$5:$A$238,0))</f>
        <v>Mailam</v>
      </c>
      <c r="C335" s="7" t="str">
        <f aca="false">INDEX('AC Estimate'!$C$5:$C$238,MATCH($A335,'AC Estimate'!$A$5:$A$238,0))</f>
        <v>Villupuram</v>
      </c>
      <c r="D335" s="7" t="n">
        <f aca="false">INDEX('AC Estimate'!$I$5:$I$238,MATCH($A335,'AC Estimate'!$A$5:$A$238,0))</f>
        <v>13</v>
      </c>
      <c r="E335" s="27" t="n">
        <f aca="false">INDEX('AC Estimate'!$J$5:$J$238,MATCH($A335,'AC Estimate'!$A$5:$A$238,0))</f>
        <v>0.538461538461538</v>
      </c>
      <c r="F335" s="27" t="n">
        <f aca="false">INDEX('AC Estimate'!$K$5:$K$238,MATCH($A335,'AC Estimate'!$A$5:$A$238,0))</f>
        <v>0.0769230769230769</v>
      </c>
      <c r="G335" s="27" t="n">
        <f aca="false">INDEX('AC Estimate'!$L$5:$L$238,MATCH($A335,'AC Estimate'!$A$5:$A$238,0))</f>
        <v>0</v>
      </c>
      <c r="H335" s="27" t="n">
        <f aca="false">INDEX('AC Estimate'!$M$5:$M$238,MATCH($A335,'AC Estimate'!$A$5:$A$238,0))</f>
        <v>0</v>
      </c>
      <c r="I335" s="27" t="n">
        <f aca="false">INDEX('AC Estimate'!$N$5:$N$238,MATCH($A335,'AC Estimate'!$A$5:$A$238,0))</f>
        <v>0.384615384615385</v>
      </c>
      <c r="J335" s="7" t="str">
        <f aca="false">INDEX('AC Estimate'!$P$5:$P$238,MATCH($A335,'AC Estimate'!$A$5:$A$238,0))</f>
        <v>AIADMK+</v>
      </c>
      <c r="K335" s="7" t="str">
        <f aca="false">INDEX('AC Estimate'!$AK$5:$AK$238,MATCH($A335,'AC Estimate'!$A$5:$A$238,0))</f>
        <v>AIADMK+</v>
      </c>
      <c r="L335" s="27" t="n">
        <f aca="false">INDEX('AC Estimate'!$AM$5:$AM$238,MATCH($A335,'AC Estimate'!$A$5:$A$238,0))</f>
        <v>0.616137171886531</v>
      </c>
      <c r="M335" s="7" t="str">
        <f aca="false">INDEX('AC Estimate'!$Q$5:$Q$238,MATCH($A335,'AC Estimate'!$A$5:$A$238,0))</f>
        <v>AIADMK</v>
      </c>
      <c r="N335" s="7" t="str">
        <f aca="false">INDEX('AC Estimate'!$R$5:$R$238,MATCH($A335,'AC Estimate'!$A$5:$A$238,0))</f>
        <v>AIADMK+</v>
      </c>
      <c r="O335" s="7" t="str">
        <f aca="false">INDEX('AC Estimate'!$AL$5:$AL$238,MATCH($A335,'AC Estimate'!$A$5:$A$238,0))</f>
        <v>Yes</v>
      </c>
    </row>
    <row r="336" customFormat="false" ht="15" hidden="false" customHeight="false" outlineLevel="0" collapsed="false">
      <c r="A336" s="17" t="n">
        <v>72</v>
      </c>
      <c r="B336" s="7" t="str">
        <f aca="false">INDEX('AC Estimate'!$B$5:$B$238,MATCH($A336,'AC Estimate'!$A$5:$A$238,0))</f>
        <v>Tindivanam</v>
      </c>
      <c r="C336" s="7" t="str">
        <f aca="false">INDEX('AC Estimate'!$C$5:$C$238,MATCH($A336,'AC Estimate'!$A$5:$A$238,0))</f>
        <v>Villupuram</v>
      </c>
      <c r="D336" s="7" t="n">
        <f aca="false">INDEX('AC Estimate'!$I$5:$I$238,MATCH($A336,'AC Estimate'!$A$5:$A$238,0))</f>
        <v>13</v>
      </c>
      <c r="E336" s="27" t="n">
        <f aca="false">INDEX('AC Estimate'!$J$5:$J$238,MATCH($A336,'AC Estimate'!$A$5:$A$238,0))</f>
        <v>0.153846153846154</v>
      </c>
      <c r="F336" s="27" t="n">
        <f aca="false">INDEX('AC Estimate'!$K$5:$K$238,MATCH($A336,'AC Estimate'!$A$5:$A$238,0))</f>
        <v>0.461538461538462</v>
      </c>
      <c r="G336" s="27" t="n">
        <f aca="false">INDEX('AC Estimate'!$L$5:$L$238,MATCH($A336,'AC Estimate'!$A$5:$A$238,0))</f>
        <v>0</v>
      </c>
      <c r="H336" s="27" t="n">
        <f aca="false">INDEX('AC Estimate'!$M$5:$M$238,MATCH($A336,'AC Estimate'!$A$5:$A$238,0))</f>
        <v>0.0769230769230769</v>
      </c>
      <c r="I336" s="27" t="n">
        <f aca="false">INDEX('AC Estimate'!$N$5:$N$238,MATCH($A336,'AC Estimate'!$A$5:$A$238,0))</f>
        <v>0.307692307692308</v>
      </c>
      <c r="J336" s="7" t="str">
        <f aca="false">INDEX('AC Estimate'!$P$5:$P$238,MATCH($A336,'AC Estimate'!$A$5:$A$238,0))</f>
        <v>DMK+</v>
      </c>
      <c r="K336" s="7" t="str">
        <f aca="false">INDEX('AC Estimate'!$AK$5:$AK$238,MATCH($A336,'AC Estimate'!$A$5:$A$238,0))</f>
        <v>DMK+</v>
      </c>
      <c r="L336" s="27" t="n">
        <f aca="false">INDEX('AC Estimate'!$AM$5:$AM$238,MATCH($A336,'AC Estimate'!$A$5:$A$238,0))</f>
        <v>0.631429502170095</v>
      </c>
      <c r="M336" s="7" t="str">
        <f aca="false">INDEX('AC Estimate'!$Q$5:$Q$238,MATCH($A336,'AC Estimate'!$A$5:$A$238,0))</f>
        <v>VCK</v>
      </c>
      <c r="N336" s="7" t="str">
        <f aca="false">INDEX('AC Estimate'!$R$5:$R$238,MATCH($A336,'AC Estimate'!$A$5:$A$238,0))</f>
        <v>DMK+</v>
      </c>
      <c r="O336" s="7" t="str">
        <f aca="false">INDEX('AC Estimate'!$AL$5:$AL$238,MATCH($A336,'AC Estimate'!$A$5:$A$238,0))</f>
        <v>Yes</v>
      </c>
    </row>
    <row r="337" customFormat="false" ht="15" hidden="false" customHeight="false" outlineLevel="0" collapsed="false">
      <c r="A337" s="17" t="n">
        <v>73</v>
      </c>
      <c r="B337" s="7" t="str">
        <f aca="false">INDEX('AC Estimate'!$B$5:$B$238,MATCH($A337,'AC Estimate'!$A$5:$A$238,0))</f>
        <v>Vanur</v>
      </c>
      <c r="C337" s="7" t="str">
        <f aca="false">INDEX('AC Estimate'!$C$5:$C$238,MATCH($A337,'AC Estimate'!$A$5:$A$238,0))</f>
        <v>Villupuram</v>
      </c>
      <c r="D337" s="7" t="n">
        <f aca="false">INDEX('AC Estimate'!$I$5:$I$238,MATCH($A337,'AC Estimate'!$A$5:$A$238,0))</f>
        <v>28</v>
      </c>
      <c r="E337" s="27" t="n">
        <f aca="false">INDEX('AC Estimate'!$J$5:$J$238,MATCH($A337,'AC Estimate'!$A$5:$A$238,0))</f>
        <v>0.357142857142857</v>
      </c>
      <c r="F337" s="27" t="n">
        <f aca="false">INDEX('AC Estimate'!$K$5:$K$238,MATCH($A337,'AC Estimate'!$A$5:$A$238,0))</f>
        <v>0.285714285714286</v>
      </c>
      <c r="G337" s="27" t="n">
        <f aca="false">INDEX('AC Estimate'!$L$5:$L$238,MATCH($A337,'AC Estimate'!$A$5:$A$238,0))</f>
        <v>0</v>
      </c>
      <c r="H337" s="27" t="n">
        <f aca="false">INDEX('AC Estimate'!$M$5:$M$238,MATCH($A337,'AC Estimate'!$A$5:$A$238,0))</f>
        <v>0.0357142857142857</v>
      </c>
      <c r="I337" s="27" t="n">
        <f aca="false">INDEX('AC Estimate'!$N$5:$N$238,MATCH($A337,'AC Estimate'!$A$5:$A$238,0))</f>
        <v>0.321428571428571</v>
      </c>
      <c r="J337" s="7" t="str">
        <f aca="false">INDEX('AC Estimate'!$P$5:$P$238,MATCH($A337,'AC Estimate'!$A$5:$A$238,0))</f>
        <v>AIADMK+</v>
      </c>
      <c r="K337" s="7" t="str">
        <f aca="false">INDEX('AC Estimate'!$AK$5:$AK$238,MATCH($A337,'AC Estimate'!$A$5:$A$238,0))</f>
        <v>DMK+</v>
      </c>
      <c r="L337" s="27" t="n">
        <f aca="false">INDEX('AC Estimate'!$AM$5:$AM$238,MATCH($A337,'AC Estimate'!$A$5:$A$238,0))</f>
        <v>0.389640156399639</v>
      </c>
      <c r="M337" s="7" t="str">
        <f aca="false">INDEX('AC Estimate'!$Q$5:$Q$238,MATCH($A337,'AC Estimate'!$A$5:$A$238,0))</f>
        <v>DMK</v>
      </c>
      <c r="N337" s="7" t="str">
        <f aca="false">INDEX('AC Estimate'!$R$5:$R$238,MATCH($A337,'AC Estimate'!$A$5:$A$238,0))</f>
        <v>DMK+</v>
      </c>
      <c r="O337" s="7" t="str">
        <f aca="false">INDEX('AC Estimate'!$AL$5:$AL$238,MATCH($A337,'AC Estimate'!$A$5:$A$238,0))</f>
        <v>Yes</v>
      </c>
    </row>
    <row r="338" customFormat="false" ht="15" hidden="false" customHeight="false" outlineLevel="0" collapsed="false">
      <c r="A338" s="17" t="n">
        <v>74</v>
      </c>
      <c r="B338" s="7" t="str">
        <f aca="false">INDEX('AC Estimate'!$B$5:$B$238,MATCH($A338,'AC Estimate'!$A$5:$A$238,0))</f>
        <v>Villupuram</v>
      </c>
      <c r="C338" s="7" t="str">
        <f aca="false">INDEX('AC Estimate'!$C$5:$C$238,MATCH($A338,'AC Estimate'!$A$5:$A$238,0))</f>
        <v>Villupuram</v>
      </c>
      <c r="D338" s="7" t="n">
        <f aca="false">INDEX('AC Estimate'!$I$5:$I$238,MATCH($A338,'AC Estimate'!$A$5:$A$238,0))</f>
        <v>48</v>
      </c>
      <c r="E338" s="27" t="n">
        <f aca="false">INDEX('AC Estimate'!$J$5:$J$238,MATCH($A338,'AC Estimate'!$A$5:$A$238,0))</f>
        <v>0.354166666666667</v>
      </c>
      <c r="F338" s="27" t="n">
        <f aca="false">INDEX('AC Estimate'!$K$5:$K$238,MATCH($A338,'AC Estimate'!$A$5:$A$238,0))</f>
        <v>0.25</v>
      </c>
      <c r="G338" s="27" t="n">
        <f aca="false">INDEX('AC Estimate'!$L$5:$L$238,MATCH($A338,'AC Estimate'!$A$5:$A$238,0))</f>
        <v>0</v>
      </c>
      <c r="H338" s="27" t="n">
        <f aca="false">INDEX('AC Estimate'!$M$5:$M$238,MATCH($A338,'AC Estimate'!$A$5:$A$238,0))</f>
        <v>0.0833333333333333</v>
      </c>
      <c r="I338" s="27" t="n">
        <f aca="false">INDEX('AC Estimate'!$N$5:$N$238,MATCH($A338,'AC Estimate'!$A$5:$A$238,0))</f>
        <v>0.3125</v>
      </c>
      <c r="J338" s="7" t="str">
        <f aca="false">INDEX('AC Estimate'!$P$5:$P$238,MATCH($A338,'AC Estimate'!$A$5:$A$238,0))</f>
        <v>AIADMK+</v>
      </c>
      <c r="K338" s="7" t="str">
        <f aca="false">INDEX('AC Estimate'!$AK$5:$AK$238,MATCH($A338,'AC Estimate'!$A$5:$A$238,0))</f>
        <v>AIADMK+</v>
      </c>
      <c r="L338" s="27" t="n">
        <f aca="false">INDEX('AC Estimate'!$AM$5:$AM$238,MATCH($A338,'AC Estimate'!$A$5:$A$238,0))</f>
        <v>0.32823427794794</v>
      </c>
      <c r="M338" s="7" t="str">
        <f aca="false">INDEX('AC Estimate'!$Q$5:$Q$238,MATCH($A338,'AC Estimate'!$A$5:$A$238,0))</f>
        <v>DMK</v>
      </c>
      <c r="N338" s="7" t="str">
        <f aca="false">INDEX('AC Estimate'!$R$5:$R$238,MATCH($A338,'AC Estimate'!$A$5:$A$238,0))</f>
        <v>DMK+</v>
      </c>
      <c r="O338" s="7" t="str">
        <f aca="false">INDEX('AC Estimate'!$AL$5:$AL$238,MATCH($A338,'AC Estimate'!$A$5:$A$238,0))</f>
        <v>No</v>
      </c>
    </row>
    <row r="339" customFormat="false" ht="15" hidden="false" customHeight="false" outlineLevel="0" collapsed="false">
      <c r="A339" s="17" t="n">
        <v>75</v>
      </c>
      <c r="B339" s="7" t="str">
        <f aca="false">INDEX('AC Estimate'!$B$5:$B$238,MATCH($A339,'AC Estimate'!$A$5:$A$238,0))</f>
        <v>Vikravandi</v>
      </c>
      <c r="C339" s="7" t="str">
        <f aca="false">INDEX('AC Estimate'!$C$5:$C$238,MATCH($A339,'AC Estimate'!$A$5:$A$238,0))</f>
        <v>Villupuram</v>
      </c>
      <c r="D339" s="7" t="n">
        <f aca="false">INDEX('AC Estimate'!$I$5:$I$238,MATCH($A339,'AC Estimate'!$A$5:$A$238,0))</f>
        <v>26</v>
      </c>
      <c r="E339" s="27" t="n">
        <f aca="false">INDEX('AC Estimate'!$J$5:$J$238,MATCH($A339,'AC Estimate'!$A$5:$A$238,0))</f>
        <v>0.346153846153846</v>
      </c>
      <c r="F339" s="27" t="n">
        <f aca="false">INDEX('AC Estimate'!$K$5:$K$238,MATCH($A339,'AC Estimate'!$A$5:$A$238,0))</f>
        <v>0.230769230769231</v>
      </c>
      <c r="G339" s="27" t="n">
        <f aca="false">INDEX('AC Estimate'!$L$5:$L$238,MATCH($A339,'AC Estimate'!$A$5:$A$238,0))</f>
        <v>0.0384615384615385</v>
      </c>
      <c r="H339" s="27" t="n">
        <f aca="false">INDEX('AC Estimate'!$M$5:$M$238,MATCH($A339,'AC Estimate'!$A$5:$A$238,0))</f>
        <v>0</v>
      </c>
      <c r="I339" s="27" t="n">
        <f aca="false">INDEX('AC Estimate'!$N$5:$N$238,MATCH($A339,'AC Estimate'!$A$5:$A$238,0))</f>
        <v>0.384615384615385</v>
      </c>
      <c r="J339" s="7" t="str">
        <f aca="false">INDEX('AC Estimate'!$P$5:$P$238,MATCH($A339,'AC Estimate'!$A$5:$A$238,0))</f>
        <v>TVK</v>
      </c>
      <c r="K339" s="7" t="str">
        <f aca="false">INDEX('AC Estimate'!$AK$5:$AK$238,MATCH($A339,'AC Estimate'!$A$5:$A$238,0))</f>
        <v>DMK+</v>
      </c>
      <c r="L339" s="27" t="n">
        <f aca="false">INDEX('AC Estimate'!$AM$5:$AM$238,MATCH($A339,'AC Estimate'!$A$5:$A$238,0))</f>
        <v>0.37448983070264</v>
      </c>
      <c r="M339" s="7" t="str">
        <f aca="false">INDEX('AC Estimate'!$Q$5:$Q$238,MATCH($A339,'AC Estimate'!$A$5:$A$238,0))</f>
        <v>PMK</v>
      </c>
      <c r="N339" s="7" t="str">
        <f aca="false">INDEX('AC Estimate'!$R$5:$R$238,MATCH($A339,'AC Estimate'!$A$5:$A$238,0))</f>
        <v>AIADMK+</v>
      </c>
      <c r="O339" s="7" t="str">
        <f aca="false">INDEX('AC Estimate'!$AL$5:$AL$238,MATCH($A339,'AC Estimate'!$A$5:$A$238,0))</f>
        <v>No</v>
      </c>
    </row>
    <row r="340" customFormat="false" ht="15" hidden="false" customHeight="false" outlineLevel="0" collapsed="false">
      <c r="A340" s="17" t="n">
        <v>76</v>
      </c>
      <c r="B340" s="7" t="str">
        <f aca="false">INDEX('AC Estimate'!$B$5:$B$238,MATCH($A340,'AC Estimate'!$A$5:$A$238,0))</f>
        <v>Tirukkoyilur</v>
      </c>
      <c r="C340" s="7" t="str">
        <f aca="false">INDEX('AC Estimate'!$C$5:$C$238,MATCH($A340,'AC Estimate'!$A$5:$A$238,0))</f>
        <v>Villupuram</v>
      </c>
      <c r="D340" s="7" t="n">
        <f aca="false">INDEX('AC Estimate'!$I$5:$I$238,MATCH($A340,'AC Estimate'!$A$5:$A$238,0))</f>
        <v>20</v>
      </c>
      <c r="E340" s="27" t="n">
        <f aca="false">INDEX('AC Estimate'!$J$5:$J$238,MATCH($A340,'AC Estimate'!$A$5:$A$238,0))</f>
        <v>0.35</v>
      </c>
      <c r="F340" s="27" t="n">
        <f aca="false">INDEX('AC Estimate'!$K$5:$K$238,MATCH($A340,'AC Estimate'!$A$5:$A$238,0))</f>
        <v>0.2</v>
      </c>
      <c r="G340" s="27" t="n">
        <f aca="false">INDEX('AC Estimate'!$L$5:$L$238,MATCH($A340,'AC Estimate'!$A$5:$A$238,0))</f>
        <v>0</v>
      </c>
      <c r="H340" s="27" t="n">
        <f aca="false">INDEX('AC Estimate'!$M$5:$M$238,MATCH($A340,'AC Estimate'!$A$5:$A$238,0))</f>
        <v>0.1</v>
      </c>
      <c r="I340" s="27" t="n">
        <f aca="false">INDEX('AC Estimate'!$N$5:$N$238,MATCH($A340,'AC Estimate'!$A$5:$A$238,0))</f>
        <v>0.35</v>
      </c>
      <c r="J340" s="7" t="str">
        <f aca="false">INDEX('AC Estimate'!$P$5:$P$238,MATCH($A340,'AC Estimate'!$A$5:$A$238,0))</f>
        <v>AIADMK+</v>
      </c>
      <c r="K340" s="7" t="str">
        <f aca="false">INDEX('AC Estimate'!$AK$5:$AK$238,MATCH($A340,'AC Estimate'!$A$5:$A$238,0))</f>
        <v>AIADMK+</v>
      </c>
      <c r="L340" s="27" t="n">
        <f aca="false">INDEX('AC Estimate'!$AM$5:$AM$238,MATCH($A340,'AC Estimate'!$A$5:$A$238,0))</f>
        <v>0.46817770839509</v>
      </c>
      <c r="M340" s="7" t="str">
        <f aca="false">INDEX('AC Estimate'!$Q$5:$Q$238,MATCH($A340,'AC Estimate'!$A$5:$A$238,0))</f>
        <v>AIADMK</v>
      </c>
      <c r="N340" s="7" t="str">
        <f aca="false">INDEX('AC Estimate'!$R$5:$R$238,MATCH($A340,'AC Estimate'!$A$5:$A$238,0))</f>
        <v>AIADMK+</v>
      </c>
      <c r="O340" s="7" t="str">
        <f aca="false">INDEX('AC Estimate'!$AL$5:$AL$238,MATCH($A340,'AC Estimate'!$A$5:$A$238,0))</f>
        <v>Yes</v>
      </c>
    </row>
    <row r="341" customFormat="false" ht="15" hidden="false" customHeight="false" outlineLevel="0" collapsed="false">
      <c r="A341" s="33"/>
      <c r="B341" s="34" t="s">
        <v>165</v>
      </c>
      <c r="C341" s="33"/>
      <c r="D341" s="34" t="n">
        <f aca="false">SUM(D334:D340)</f>
        <v>175</v>
      </c>
      <c r="E341" s="33"/>
      <c r="F341" s="33"/>
      <c r="G341" s="33"/>
      <c r="H341" s="33"/>
      <c r="I341" s="33"/>
      <c r="J341" s="34" t="s">
        <v>92</v>
      </c>
      <c r="K341" s="34" t="str">
        <f aca="false">COUNTIF(K334:K340,"TVK")&amp;" / "&amp;COUNTIF(K334:K340,"AIADMK+")&amp;" / "&amp;COUNTIF(K334:K340,"DMK+")</f>
        <v>0 / 4 / 3</v>
      </c>
      <c r="L341" s="33"/>
      <c r="M341" s="34" t="s">
        <v>93</v>
      </c>
      <c r="N341" s="34" t="str">
        <f aca="false">COUNTIF(N334:N340,"TVK")&amp;" / "&amp;COUNTIF(N334:N340,"AIADMK+")&amp;" / "&amp;COUNTIF(N334:N340,"DMK+")</f>
        <v>0 / 4 / 3</v>
      </c>
      <c r="O341" s="34" t="str">
        <f aca="false">IF(AND(ABS(COUNTIF(K334:K340,"TVK")-COUNTIF(N334:N340,"TVK"))&lt;=Calibration!$B$3,ABS(COUNTIF(K334:K340,"AIADMK+")-COUNTIF(N334:N340,"AIADMK+"))&lt;=Calibration!$B$3,ABS(COUNTIF(K334:K340,"DMK+")-COUNTIF(N334:N340,"DMK+"))&lt;=Calibration!$B$3),"Within","Off")</f>
        <v>Within</v>
      </c>
    </row>
    <row r="343" customFormat="false" ht="15" hidden="false" customHeight="false" outlineLevel="0" collapsed="false">
      <c r="A343" s="31" t="s">
        <v>166</v>
      </c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customFormat="false" ht="15" hidden="false" customHeight="false" outlineLevel="0" collapsed="false">
      <c r="A344" s="17" t="n">
        <v>202</v>
      </c>
      <c r="B344" s="7" t="str">
        <f aca="false">INDEX('AC Estimate'!$B$5:$B$238,MATCH($A344,'AC Estimate'!$A$5:$A$238,0))</f>
        <v>Rajapalayam</v>
      </c>
      <c r="C344" s="7" t="str">
        <f aca="false">INDEX('AC Estimate'!$C$5:$C$238,MATCH($A344,'AC Estimate'!$A$5:$A$238,0))</f>
        <v>Virudhunagar</v>
      </c>
      <c r="D344" s="7" t="n">
        <f aca="false">INDEX('AC Estimate'!$I$5:$I$238,MATCH($A344,'AC Estimate'!$A$5:$A$238,0))</f>
        <v>59</v>
      </c>
      <c r="E344" s="27" t="n">
        <f aca="false">INDEX('AC Estimate'!$J$5:$J$238,MATCH($A344,'AC Estimate'!$A$5:$A$238,0))</f>
        <v>0.322033898305085</v>
      </c>
      <c r="F344" s="27" t="n">
        <f aca="false">INDEX('AC Estimate'!$K$5:$K$238,MATCH($A344,'AC Estimate'!$A$5:$A$238,0))</f>
        <v>0.11864406779661</v>
      </c>
      <c r="G344" s="27" t="n">
        <f aca="false">INDEX('AC Estimate'!$L$5:$L$238,MATCH($A344,'AC Estimate'!$A$5:$A$238,0))</f>
        <v>0.0169491525423729</v>
      </c>
      <c r="H344" s="27" t="n">
        <f aca="false">INDEX('AC Estimate'!$M$5:$M$238,MATCH($A344,'AC Estimate'!$A$5:$A$238,0))</f>
        <v>0.0847457627118644</v>
      </c>
      <c r="I344" s="27" t="n">
        <f aca="false">INDEX('AC Estimate'!$N$5:$N$238,MATCH($A344,'AC Estimate'!$A$5:$A$238,0))</f>
        <v>0.457627118644068</v>
      </c>
      <c r="J344" s="7" t="str">
        <f aca="false">INDEX('AC Estimate'!$P$5:$P$238,MATCH($A344,'AC Estimate'!$A$5:$A$238,0))</f>
        <v>TVK</v>
      </c>
      <c r="K344" s="7" t="str">
        <f aca="false">INDEX('AC Estimate'!$AK$5:$AK$238,MATCH($A344,'AC Estimate'!$A$5:$A$238,0))</f>
        <v>TVK</v>
      </c>
      <c r="L344" s="27" t="n">
        <f aca="false">INDEX('AC Estimate'!$AM$5:$AM$238,MATCH($A344,'AC Estimate'!$A$5:$A$238,0))</f>
        <v>0.549076982065884</v>
      </c>
      <c r="M344" s="7" t="str">
        <f aca="false">INDEX('AC Estimate'!$Q$5:$Q$238,MATCH($A344,'AC Estimate'!$A$5:$A$238,0))</f>
        <v>TVK</v>
      </c>
      <c r="N344" s="7" t="str">
        <f aca="false">INDEX('AC Estimate'!$R$5:$R$238,MATCH($A344,'AC Estimate'!$A$5:$A$238,0))</f>
        <v>TVK</v>
      </c>
      <c r="O344" s="7" t="str">
        <f aca="false">INDEX('AC Estimate'!$AL$5:$AL$238,MATCH($A344,'AC Estimate'!$A$5:$A$238,0))</f>
        <v>Yes</v>
      </c>
    </row>
    <row r="345" customFormat="false" ht="15" hidden="false" customHeight="false" outlineLevel="0" collapsed="false">
      <c r="A345" s="17" t="n">
        <v>203</v>
      </c>
      <c r="B345" s="7" t="str">
        <f aca="false">INDEX('AC Estimate'!$B$5:$B$238,MATCH($A345,'AC Estimate'!$A$5:$A$238,0))</f>
        <v>Srivilliputhur</v>
      </c>
      <c r="C345" s="7" t="str">
        <f aca="false">INDEX('AC Estimate'!$C$5:$C$238,MATCH($A345,'AC Estimate'!$A$5:$A$238,0))</f>
        <v>Virudhunagar</v>
      </c>
      <c r="D345" s="7" t="n">
        <f aca="false">INDEX('AC Estimate'!$I$5:$I$238,MATCH($A345,'AC Estimate'!$A$5:$A$238,0))</f>
        <v>40</v>
      </c>
      <c r="E345" s="27" t="n">
        <f aca="false">INDEX('AC Estimate'!$J$5:$J$238,MATCH($A345,'AC Estimate'!$A$5:$A$238,0))</f>
        <v>0.275</v>
      </c>
      <c r="F345" s="27" t="n">
        <f aca="false">INDEX('AC Estimate'!$K$5:$K$238,MATCH($A345,'AC Estimate'!$A$5:$A$238,0))</f>
        <v>0.275</v>
      </c>
      <c r="G345" s="27" t="n">
        <f aca="false">INDEX('AC Estimate'!$L$5:$L$238,MATCH($A345,'AC Estimate'!$A$5:$A$238,0))</f>
        <v>0</v>
      </c>
      <c r="H345" s="27" t="n">
        <f aca="false">INDEX('AC Estimate'!$M$5:$M$238,MATCH($A345,'AC Estimate'!$A$5:$A$238,0))</f>
        <v>0.075</v>
      </c>
      <c r="I345" s="27" t="n">
        <f aca="false">INDEX('AC Estimate'!$N$5:$N$238,MATCH($A345,'AC Estimate'!$A$5:$A$238,0))</f>
        <v>0.375</v>
      </c>
      <c r="J345" s="7" t="str">
        <f aca="false">INDEX('AC Estimate'!$P$5:$P$238,MATCH($A345,'AC Estimate'!$A$5:$A$238,0))</f>
        <v>TVK</v>
      </c>
      <c r="K345" s="7" t="str">
        <f aca="false">INDEX('AC Estimate'!$AK$5:$AK$238,MATCH($A345,'AC Estimate'!$A$5:$A$238,0))</f>
        <v>DMK+</v>
      </c>
      <c r="L345" s="27" t="n">
        <f aca="false">INDEX('AC Estimate'!$AM$5:$AM$238,MATCH($A345,'AC Estimate'!$A$5:$A$238,0))</f>
        <v>0.322817459884768</v>
      </c>
      <c r="M345" s="7" t="str">
        <f aca="false">INDEX('AC Estimate'!$Q$5:$Q$238,MATCH($A345,'AC Estimate'!$A$5:$A$238,0))</f>
        <v>TVK</v>
      </c>
      <c r="N345" s="7" t="str">
        <f aca="false">INDEX('AC Estimate'!$R$5:$R$238,MATCH($A345,'AC Estimate'!$A$5:$A$238,0))</f>
        <v>TVK</v>
      </c>
      <c r="O345" s="7" t="str">
        <f aca="false">INDEX('AC Estimate'!$AL$5:$AL$238,MATCH($A345,'AC Estimate'!$A$5:$A$238,0))</f>
        <v>No</v>
      </c>
    </row>
    <row r="346" customFormat="false" ht="15" hidden="false" customHeight="false" outlineLevel="0" collapsed="false">
      <c r="A346" s="17" t="n">
        <v>204</v>
      </c>
      <c r="B346" s="7" t="str">
        <f aca="false">INDEX('AC Estimate'!$B$5:$B$238,MATCH($A346,'AC Estimate'!$A$5:$A$238,0))</f>
        <v>Sattur</v>
      </c>
      <c r="C346" s="7" t="str">
        <f aca="false">INDEX('AC Estimate'!$C$5:$C$238,MATCH($A346,'AC Estimate'!$A$5:$A$238,0))</f>
        <v>Virudhunagar</v>
      </c>
      <c r="D346" s="7" t="n">
        <f aca="false">INDEX('AC Estimate'!$I$5:$I$238,MATCH($A346,'AC Estimate'!$A$5:$A$238,0))</f>
        <v>49</v>
      </c>
      <c r="E346" s="27" t="n">
        <f aca="false">INDEX('AC Estimate'!$J$5:$J$238,MATCH($A346,'AC Estimate'!$A$5:$A$238,0))</f>
        <v>0.448979591836735</v>
      </c>
      <c r="F346" s="27" t="n">
        <f aca="false">INDEX('AC Estimate'!$K$5:$K$238,MATCH($A346,'AC Estimate'!$A$5:$A$238,0))</f>
        <v>0.142857142857143</v>
      </c>
      <c r="G346" s="27" t="n">
        <f aca="false">INDEX('AC Estimate'!$L$5:$L$238,MATCH($A346,'AC Estimate'!$A$5:$A$238,0))</f>
        <v>0</v>
      </c>
      <c r="H346" s="27" t="n">
        <f aca="false">INDEX('AC Estimate'!$M$5:$M$238,MATCH($A346,'AC Estimate'!$A$5:$A$238,0))</f>
        <v>0.102040816326531</v>
      </c>
      <c r="I346" s="27" t="n">
        <f aca="false">INDEX('AC Estimate'!$N$5:$N$238,MATCH($A346,'AC Estimate'!$A$5:$A$238,0))</f>
        <v>0.306122448979592</v>
      </c>
      <c r="J346" s="7" t="str">
        <f aca="false">INDEX('AC Estimate'!$P$5:$P$238,MATCH($A346,'AC Estimate'!$A$5:$A$238,0))</f>
        <v>AIADMK+</v>
      </c>
      <c r="K346" s="7" t="str">
        <f aca="false">INDEX('AC Estimate'!$AK$5:$AK$238,MATCH($A346,'AC Estimate'!$A$5:$A$238,0))</f>
        <v>TVK</v>
      </c>
      <c r="L346" s="27" t="n">
        <f aca="false">INDEX('AC Estimate'!$AM$5:$AM$238,MATCH($A346,'AC Estimate'!$A$5:$A$238,0))</f>
        <v>0.429745589857863</v>
      </c>
      <c r="M346" s="7" t="str">
        <f aca="false">INDEX('AC Estimate'!$Q$5:$Q$238,MATCH($A346,'AC Estimate'!$A$5:$A$238,0))</f>
        <v>DMK</v>
      </c>
      <c r="N346" s="7" t="str">
        <f aca="false">INDEX('AC Estimate'!$R$5:$R$238,MATCH($A346,'AC Estimate'!$A$5:$A$238,0))</f>
        <v>DMK+</v>
      </c>
      <c r="O346" s="7" t="str">
        <f aca="false">INDEX('AC Estimate'!$AL$5:$AL$238,MATCH($A346,'AC Estimate'!$A$5:$A$238,0))</f>
        <v>No</v>
      </c>
    </row>
    <row r="347" customFormat="false" ht="15" hidden="false" customHeight="false" outlineLevel="0" collapsed="false">
      <c r="A347" s="17" t="n">
        <v>205</v>
      </c>
      <c r="B347" s="7" t="str">
        <f aca="false">INDEX('AC Estimate'!$B$5:$B$238,MATCH($A347,'AC Estimate'!$A$5:$A$238,0))</f>
        <v>Sivakasi</v>
      </c>
      <c r="C347" s="7" t="str">
        <f aca="false">INDEX('AC Estimate'!$C$5:$C$238,MATCH($A347,'AC Estimate'!$A$5:$A$238,0))</f>
        <v>Virudhunagar</v>
      </c>
      <c r="D347" s="7" t="n">
        <f aca="false">INDEX('AC Estimate'!$I$5:$I$238,MATCH($A347,'AC Estimate'!$A$5:$A$238,0))</f>
        <v>73</v>
      </c>
      <c r="E347" s="27" t="n">
        <f aca="false">INDEX('AC Estimate'!$J$5:$J$238,MATCH($A347,'AC Estimate'!$A$5:$A$238,0))</f>
        <v>0.301369863013699</v>
      </c>
      <c r="F347" s="27" t="n">
        <f aca="false">INDEX('AC Estimate'!$K$5:$K$238,MATCH($A347,'AC Estimate'!$A$5:$A$238,0))</f>
        <v>0.178082191780822</v>
      </c>
      <c r="G347" s="27" t="n">
        <f aca="false">INDEX('AC Estimate'!$L$5:$L$238,MATCH($A347,'AC Estimate'!$A$5:$A$238,0))</f>
        <v>0</v>
      </c>
      <c r="H347" s="27" t="n">
        <f aca="false">INDEX('AC Estimate'!$M$5:$M$238,MATCH($A347,'AC Estimate'!$A$5:$A$238,0))</f>
        <v>0.0958904109589041</v>
      </c>
      <c r="I347" s="27" t="n">
        <f aca="false">INDEX('AC Estimate'!$N$5:$N$238,MATCH($A347,'AC Estimate'!$A$5:$A$238,0))</f>
        <v>0.424657534246575</v>
      </c>
      <c r="J347" s="7" t="str">
        <f aca="false">INDEX('AC Estimate'!$P$5:$P$238,MATCH($A347,'AC Estimate'!$A$5:$A$238,0))</f>
        <v>TVK</v>
      </c>
      <c r="K347" s="7" t="str">
        <f aca="false">INDEX('AC Estimate'!$AK$5:$AK$238,MATCH($A347,'AC Estimate'!$A$5:$A$238,0))</f>
        <v>TVK</v>
      </c>
      <c r="L347" s="27" t="n">
        <f aca="false">INDEX('AC Estimate'!$AM$5:$AM$238,MATCH($A347,'AC Estimate'!$A$5:$A$238,0))</f>
        <v>0.626081867555295</v>
      </c>
      <c r="M347" s="7" t="str">
        <f aca="false">INDEX('AC Estimate'!$Q$5:$Q$238,MATCH($A347,'AC Estimate'!$A$5:$A$238,0))</f>
        <v>TVK</v>
      </c>
      <c r="N347" s="7" t="str">
        <f aca="false">INDEX('AC Estimate'!$R$5:$R$238,MATCH($A347,'AC Estimate'!$A$5:$A$238,0))</f>
        <v>TVK</v>
      </c>
      <c r="O347" s="7" t="str">
        <f aca="false">INDEX('AC Estimate'!$AL$5:$AL$238,MATCH($A347,'AC Estimate'!$A$5:$A$238,0))</f>
        <v>Yes</v>
      </c>
    </row>
    <row r="348" customFormat="false" ht="15" hidden="false" customHeight="false" outlineLevel="0" collapsed="false">
      <c r="A348" s="17" t="n">
        <v>206</v>
      </c>
      <c r="B348" s="7" t="str">
        <f aca="false">INDEX('AC Estimate'!$B$5:$B$238,MATCH($A348,'AC Estimate'!$A$5:$A$238,0))</f>
        <v>Virudhunagar</v>
      </c>
      <c r="C348" s="7" t="str">
        <f aca="false">INDEX('AC Estimate'!$C$5:$C$238,MATCH($A348,'AC Estimate'!$A$5:$A$238,0))</f>
        <v>Virudhunagar</v>
      </c>
      <c r="D348" s="7" t="n">
        <f aca="false">INDEX('AC Estimate'!$I$5:$I$238,MATCH($A348,'AC Estimate'!$A$5:$A$238,0))</f>
        <v>50</v>
      </c>
      <c r="E348" s="27" t="n">
        <f aca="false">INDEX('AC Estimate'!$J$5:$J$238,MATCH($A348,'AC Estimate'!$A$5:$A$238,0))</f>
        <v>0.16</v>
      </c>
      <c r="F348" s="27" t="n">
        <f aca="false">INDEX('AC Estimate'!$K$5:$K$238,MATCH($A348,'AC Estimate'!$A$5:$A$238,0))</f>
        <v>0.42</v>
      </c>
      <c r="G348" s="27" t="n">
        <f aca="false">INDEX('AC Estimate'!$L$5:$L$238,MATCH($A348,'AC Estimate'!$A$5:$A$238,0))</f>
        <v>0</v>
      </c>
      <c r="H348" s="27" t="n">
        <f aca="false">INDEX('AC Estimate'!$M$5:$M$238,MATCH($A348,'AC Estimate'!$A$5:$A$238,0))</f>
        <v>0.04</v>
      </c>
      <c r="I348" s="27" t="n">
        <f aca="false">INDEX('AC Estimate'!$N$5:$N$238,MATCH($A348,'AC Estimate'!$A$5:$A$238,0))</f>
        <v>0.38</v>
      </c>
      <c r="J348" s="7" t="str">
        <f aca="false">INDEX('AC Estimate'!$P$5:$P$238,MATCH($A348,'AC Estimate'!$A$5:$A$238,0))</f>
        <v>DMK+</v>
      </c>
      <c r="K348" s="7" t="str">
        <f aca="false">INDEX('AC Estimate'!$AK$5:$AK$238,MATCH($A348,'AC Estimate'!$A$5:$A$238,0))</f>
        <v>TVK</v>
      </c>
      <c r="L348" s="27" t="n">
        <f aca="false">INDEX('AC Estimate'!$AM$5:$AM$238,MATCH($A348,'AC Estimate'!$A$5:$A$238,0))</f>
        <v>0.430407441502031</v>
      </c>
      <c r="M348" s="7" t="str">
        <f aca="false">INDEX('AC Estimate'!$Q$5:$Q$238,MATCH($A348,'AC Estimate'!$A$5:$A$238,0))</f>
        <v>TVK</v>
      </c>
      <c r="N348" s="7" t="str">
        <f aca="false">INDEX('AC Estimate'!$R$5:$R$238,MATCH($A348,'AC Estimate'!$A$5:$A$238,0))</f>
        <v>TVK</v>
      </c>
      <c r="O348" s="7" t="str">
        <f aca="false">INDEX('AC Estimate'!$AL$5:$AL$238,MATCH($A348,'AC Estimate'!$A$5:$A$238,0))</f>
        <v>Yes</v>
      </c>
    </row>
    <row r="349" customFormat="false" ht="15" hidden="false" customHeight="false" outlineLevel="0" collapsed="false">
      <c r="A349" s="17" t="n">
        <v>207</v>
      </c>
      <c r="B349" s="7" t="str">
        <f aca="false">INDEX('AC Estimate'!$B$5:$B$238,MATCH($A349,'AC Estimate'!$A$5:$A$238,0))</f>
        <v>Aruppukkottai</v>
      </c>
      <c r="C349" s="7" t="str">
        <f aca="false">INDEX('AC Estimate'!$C$5:$C$238,MATCH($A349,'AC Estimate'!$A$5:$A$238,0))</f>
        <v>Virudhunagar</v>
      </c>
      <c r="D349" s="7" t="n">
        <f aca="false">INDEX('AC Estimate'!$I$5:$I$238,MATCH($A349,'AC Estimate'!$A$5:$A$238,0))</f>
        <v>27</v>
      </c>
      <c r="E349" s="27" t="n">
        <f aca="false">INDEX('AC Estimate'!$J$5:$J$238,MATCH($A349,'AC Estimate'!$A$5:$A$238,0))</f>
        <v>0.222222222222222</v>
      </c>
      <c r="F349" s="27" t="n">
        <f aca="false">INDEX('AC Estimate'!$K$5:$K$238,MATCH($A349,'AC Estimate'!$A$5:$A$238,0))</f>
        <v>0.259259259259259</v>
      </c>
      <c r="G349" s="27" t="n">
        <f aca="false">INDEX('AC Estimate'!$L$5:$L$238,MATCH($A349,'AC Estimate'!$A$5:$A$238,0))</f>
        <v>0</v>
      </c>
      <c r="H349" s="27" t="n">
        <f aca="false">INDEX('AC Estimate'!$M$5:$M$238,MATCH($A349,'AC Estimate'!$A$5:$A$238,0))</f>
        <v>0.0740740740740741</v>
      </c>
      <c r="I349" s="27" t="n">
        <f aca="false">INDEX('AC Estimate'!$N$5:$N$238,MATCH($A349,'AC Estimate'!$A$5:$A$238,0))</f>
        <v>0.444444444444444</v>
      </c>
      <c r="J349" s="7" t="str">
        <f aca="false">INDEX('AC Estimate'!$P$5:$P$238,MATCH($A349,'AC Estimate'!$A$5:$A$238,0))</f>
        <v>TVK</v>
      </c>
      <c r="K349" s="7" t="str">
        <f aca="false">INDEX('AC Estimate'!$AK$5:$AK$238,MATCH($A349,'AC Estimate'!$A$5:$A$238,0))</f>
        <v>DMK+</v>
      </c>
      <c r="L349" s="27" t="n">
        <f aca="false">INDEX('AC Estimate'!$AM$5:$AM$238,MATCH($A349,'AC Estimate'!$A$5:$A$238,0))</f>
        <v>0.402515767402565</v>
      </c>
      <c r="M349" s="7" t="str">
        <f aca="false">INDEX('AC Estimate'!$Q$5:$Q$238,MATCH($A349,'AC Estimate'!$A$5:$A$238,0))</f>
        <v>DMK</v>
      </c>
      <c r="N349" s="7" t="str">
        <f aca="false">INDEX('AC Estimate'!$R$5:$R$238,MATCH($A349,'AC Estimate'!$A$5:$A$238,0))</f>
        <v>DMK+</v>
      </c>
      <c r="O349" s="7" t="str">
        <f aca="false">INDEX('AC Estimate'!$AL$5:$AL$238,MATCH($A349,'AC Estimate'!$A$5:$A$238,0))</f>
        <v>Yes</v>
      </c>
    </row>
    <row r="350" customFormat="false" ht="15" hidden="false" customHeight="false" outlineLevel="0" collapsed="false">
      <c r="A350" s="17" t="n">
        <v>208</v>
      </c>
      <c r="B350" s="7" t="str">
        <f aca="false">INDEX('AC Estimate'!$B$5:$B$238,MATCH($A350,'AC Estimate'!$A$5:$A$238,0))</f>
        <v>Tiruchuli</v>
      </c>
      <c r="C350" s="7" t="str">
        <f aca="false">INDEX('AC Estimate'!$C$5:$C$238,MATCH($A350,'AC Estimate'!$A$5:$A$238,0))</f>
        <v>Virudhunagar</v>
      </c>
      <c r="D350" s="7" t="n">
        <f aca="false">INDEX('AC Estimate'!$I$5:$I$238,MATCH($A350,'AC Estimate'!$A$5:$A$238,0))</f>
        <v>20</v>
      </c>
      <c r="E350" s="27" t="n">
        <f aca="false">INDEX('AC Estimate'!$J$5:$J$238,MATCH($A350,'AC Estimate'!$A$5:$A$238,0))</f>
        <v>0.25</v>
      </c>
      <c r="F350" s="27" t="n">
        <f aca="false">INDEX('AC Estimate'!$K$5:$K$238,MATCH($A350,'AC Estimate'!$A$5:$A$238,0))</f>
        <v>0.15</v>
      </c>
      <c r="G350" s="27" t="n">
        <f aca="false">INDEX('AC Estimate'!$L$5:$L$238,MATCH($A350,'AC Estimate'!$A$5:$A$238,0))</f>
        <v>0</v>
      </c>
      <c r="H350" s="27" t="n">
        <f aca="false">INDEX('AC Estimate'!$M$5:$M$238,MATCH($A350,'AC Estimate'!$A$5:$A$238,0))</f>
        <v>0.05</v>
      </c>
      <c r="I350" s="27" t="n">
        <f aca="false">INDEX('AC Estimate'!$N$5:$N$238,MATCH($A350,'AC Estimate'!$A$5:$A$238,0))</f>
        <v>0.55</v>
      </c>
      <c r="J350" s="7" t="str">
        <f aca="false">INDEX('AC Estimate'!$P$5:$P$238,MATCH($A350,'AC Estimate'!$A$5:$A$238,0))</f>
        <v>TVK</v>
      </c>
      <c r="K350" s="7" t="str">
        <f aca="false">INDEX('AC Estimate'!$AK$5:$AK$238,MATCH($A350,'AC Estimate'!$A$5:$A$238,0))</f>
        <v>DMK+</v>
      </c>
      <c r="L350" s="27" t="n">
        <f aca="false">INDEX('AC Estimate'!$AM$5:$AM$238,MATCH($A350,'AC Estimate'!$A$5:$A$238,0))</f>
        <v>0.385353464984901</v>
      </c>
      <c r="M350" s="7" t="str">
        <f aca="false">INDEX('AC Estimate'!$Q$5:$Q$238,MATCH($A350,'AC Estimate'!$A$5:$A$238,0))</f>
        <v>DMK</v>
      </c>
      <c r="N350" s="7" t="str">
        <f aca="false">INDEX('AC Estimate'!$R$5:$R$238,MATCH($A350,'AC Estimate'!$A$5:$A$238,0))</f>
        <v>DMK+</v>
      </c>
      <c r="O350" s="7" t="str">
        <f aca="false">INDEX('AC Estimate'!$AL$5:$AL$238,MATCH($A350,'AC Estimate'!$A$5:$A$238,0))</f>
        <v>Yes</v>
      </c>
    </row>
    <row r="351" customFormat="false" ht="15" hidden="false" customHeight="false" outlineLevel="0" collapsed="false">
      <c r="A351" s="33"/>
      <c r="B351" s="34" t="s">
        <v>167</v>
      </c>
      <c r="C351" s="33"/>
      <c r="D351" s="34" t="n">
        <f aca="false">SUM(D344:D350)</f>
        <v>318</v>
      </c>
      <c r="E351" s="33"/>
      <c r="F351" s="33"/>
      <c r="G351" s="33"/>
      <c r="H351" s="33"/>
      <c r="I351" s="33"/>
      <c r="J351" s="34" t="s">
        <v>92</v>
      </c>
      <c r="K351" s="34" t="str">
        <f aca="false">COUNTIF(K344:K350,"TVK")&amp;" / "&amp;COUNTIF(K344:K350,"AIADMK+")&amp;" / "&amp;COUNTIF(K344:K350,"DMK+")</f>
        <v>4 / 0 / 3</v>
      </c>
      <c r="L351" s="33"/>
      <c r="M351" s="34" t="s">
        <v>93</v>
      </c>
      <c r="N351" s="34" t="str">
        <f aca="false">COUNTIF(N344:N350,"TVK")&amp;" / "&amp;COUNTIF(N344:N350,"AIADMK+")&amp;" / "&amp;COUNTIF(N344:N350,"DMK+")</f>
        <v>4 / 0 / 3</v>
      </c>
      <c r="O351" s="34" t="str">
        <f aca="false">IF(AND(ABS(COUNTIF(K344:K350,"TVK")-COUNTIF(N344:N350,"TVK"))&lt;=Calibration!$B$3,ABS(COUNTIF(K344:K350,"AIADMK+")-COUNTIF(N344:N350,"AIADMK+"))&lt;=Calibration!$B$3,ABS(COUNTIF(K344:K350,"DMK+")-COUNTIF(N344:N350,"DMK+"))&lt;=Calibration!$B$3),"Within","Off")</f>
        <v>Within</v>
      </c>
    </row>
    <row r="353" customFormat="false" ht="15" hidden="false" customHeight="false" outlineLevel="0" collapsed="false">
      <c r="B353" s="13" t="s">
        <v>168</v>
      </c>
      <c r="J353" s="13" t="s">
        <v>92</v>
      </c>
      <c r="K353" s="13" t="str">
        <f aca="false">COUNTIF('AC Estimate'!AK5:AK238,"TVK")&amp;" / "&amp;COUNTIF('AC Estimate'!AK5:AK238,"AIADMK+")&amp;" / "&amp;COUNTIF('AC Estimate'!AK5:AK238,"DMK+")</f>
        <v>108 / 53 / 73</v>
      </c>
      <c r="M353" s="13" t="s">
        <v>93</v>
      </c>
      <c r="N353" s="13" t="str">
        <f aca="false">COUNTIF('AC Estimate'!R5:R238,"TVK")&amp;" / "&amp;COUNTIF('AC Estimate'!R5:R238,"AIADMK+")&amp;" / "&amp;COUNTIF('AC Estimate'!R5:R238,"DMK+")</f>
        <v>108 / 53 / 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240"/>
  <sheetViews>
    <sheetView showFormulas="false" showGridLines="true" showRowColHeaders="true" showZeros="true" rightToLeft="false" tabSelected="true" showOutlineSymbols="true" defaultGridColor="true" view="normal" topLeftCell="A1" colorId="64" zoomScale="123" zoomScaleNormal="123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Q8" activeCellId="0" sqref="Q8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7"/>
    <col collapsed="false" customWidth="true" hidden="false" outlineLevel="0" max="5" min="4" style="0" width="10"/>
    <col collapsed="false" customWidth="true" hidden="false" outlineLevel="0" max="9" min="6" style="0" width="7"/>
    <col collapsed="false" customWidth="true" hidden="false" outlineLevel="0" max="11" min="10" style="0" width="10"/>
    <col collapsed="false" customWidth="true" hidden="false" outlineLevel="0" max="14" min="12" style="0" width="7"/>
    <col collapsed="false" customWidth="true" hidden="false" outlineLevel="0" max="15" min="15" style="0" width="11.83"/>
    <col collapsed="false" customWidth="true" hidden="false" outlineLevel="0" max="16" min="16" style="0" width="10"/>
    <col collapsed="false" customWidth="true" hidden="false" outlineLevel="0" max="17" min="17" style="0" width="22.16"/>
    <col collapsed="false" customWidth="true" hidden="false" outlineLevel="0" max="18" min="18" style="0" width="17.83"/>
    <col collapsed="false" customWidth="true" hidden="false" outlineLevel="0" max="19" min="19" style="0" width="8"/>
    <col collapsed="false" customWidth="true" hidden="false" outlineLevel="0" max="20" min="20" style="0" width="60"/>
    <col collapsed="false" customWidth="true" hidden="false" outlineLevel="0" max="36" min="21" style="0" width="12"/>
    <col collapsed="false" customWidth="true" hidden="false" outlineLevel="0" max="40" min="37" style="0" width="14"/>
  </cols>
  <sheetData>
    <row r="1" customFormat="false" ht="18" hidden="false" customHeight="tru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39.75" hidden="false" customHeight="true" outlineLevel="0" collapsed="false">
      <c r="A4" s="3" t="s">
        <v>80</v>
      </c>
      <c r="B4" s="3" t="s">
        <v>81</v>
      </c>
      <c r="C4" s="3" t="s">
        <v>171</v>
      </c>
      <c r="D4" s="3" t="s">
        <v>172</v>
      </c>
      <c r="E4" s="3" t="s">
        <v>173</v>
      </c>
      <c r="F4" s="3" t="s">
        <v>21</v>
      </c>
      <c r="G4" s="3" t="s">
        <v>22</v>
      </c>
      <c r="H4" s="3" t="s">
        <v>3</v>
      </c>
      <c r="I4" s="3" t="s">
        <v>6</v>
      </c>
      <c r="J4" s="3" t="s">
        <v>174</v>
      </c>
      <c r="K4" s="3" t="s">
        <v>175</v>
      </c>
      <c r="L4" s="3" t="s">
        <v>67</v>
      </c>
      <c r="M4" s="3" t="s">
        <v>68</v>
      </c>
      <c r="N4" s="3" t="s">
        <v>69</v>
      </c>
      <c r="O4" s="3" t="s">
        <v>176</v>
      </c>
      <c r="P4" s="3" t="s">
        <v>177</v>
      </c>
      <c r="Q4" s="3" t="s">
        <v>178</v>
      </c>
      <c r="R4" s="3" t="s">
        <v>179</v>
      </c>
      <c r="S4" s="3" t="s">
        <v>89</v>
      </c>
      <c r="T4" s="3" t="s">
        <v>180</v>
      </c>
      <c r="U4" s="14" t="s">
        <v>70</v>
      </c>
      <c r="V4" s="14" t="s">
        <v>71</v>
      </c>
      <c r="W4" s="14" t="s">
        <v>72</v>
      </c>
      <c r="X4" s="14" t="s">
        <v>73</v>
      </c>
      <c r="Y4" s="14" t="s">
        <v>74</v>
      </c>
      <c r="Z4" s="14" t="s">
        <v>75</v>
      </c>
      <c r="AA4" s="14" t="s">
        <v>181</v>
      </c>
      <c r="AB4" s="14" t="s">
        <v>182</v>
      </c>
      <c r="AC4" s="14" t="s">
        <v>183</v>
      </c>
      <c r="AD4" s="14" t="s">
        <v>184</v>
      </c>
      <c r="AE4" s="14" t="s">
        <v>185</v>
      </c>
      <c r="AF4" s="14" t="s">
        <v>186</v>
      </c>
      <c r="AG4" s="14" t="s">
        <v>187</v>
      </c>
      <c r="AH4" s="14" t="s">
        <v>188</v>
      </c>
      <c r="AI4" s="14" t="s">
        <v>189</v>
      </c>
      <c r="AJ4" s="14" t="s">
        <v>190</v>
      </c>
      <c r="AK4" s="14" t="s">
        <v>51</v>
      </c>
      <c r="AL4" s="14" t="s">
        <v>191</v>
      </c>
      <c r="AM4" s="14" t="s">
        <v>192</v>
      </c>
      <c r="AN4" s="14" t="s">
        <v>187</v>
      </c>
    </row>
    <row r="5" customFormat="false" ht="15" hidden="false" customHeight="false" outlineLevel="0" collapsed="false">
      <c r="A5" s="0" t="n">
        <v>1</v>
      </c>
      <c r="B5" s="4" t="s">
        <v>193</v>
      </c>
      <c r="C5" s="5" t="s">
        <v>146</v>
      </c>
      <c r="D5" s="35" t="n">
        <v>9</v>
      </c>
      <c r="E5" s="35" t="n">
        <v>12</v>
      </c>
      <c r="F5" s="35"/>
      <c r="G5" s="35" t="n">
        <v>2</v>
      </c>
      <c r="H5" s="35" t="n">
        <v>22</v>
      </c>
      <c r="I5" s="5" t="n">
        <f aca="false">SUM(D5:H5)</f>
        <v>45</v>
      </c>
      <c r="J5" s="10" t="n">
        <f aca="false">IF($I5=0,0,D5/$I5)</f>
        <v>0.2</v>
      </c>
      <c r="K5" s="10" t="n">
        <f aca="false">IF($I5=0,0,E5/$I5)</f>
        <v>0.266666666666667</v>
      </c>
      <c r="L5" s="10" t="n">
        <f aca="false">IF($I5=0,0,F5/$I5)</f>
        <v>0</v>
      </c>
      <c r="M5" s="10" t="n">
        <f aca="false">IF($I5=0,0,G5/$I5)</f>
        <v>0.0444444444444444</v>
      </c>
      <c r="N5" s="10" t="n">
        <f aca="false">IF($I5=0,0,H5/$I5)</f>
        <v>0.488888888888889</v>
      </c>
      <c r="O5" s="35" t="s">
        <v>3</v>
      </c>
      <c r="P5" s="0" t="str">
        <f aca="false">IF(O5="TVK","TVK",IF(O5="DMK","DMK+",IF(O5="ADMK","AIADMK+","")))</f>
        <v>TVK</v>
      </c>
      <c r="Q5" s="35" t="s">
        <v>3</v>
      </c>
      <c r="R5" s="36" t="s">
        <v>3</v>
      </c>
      <c r="S5" s="0" t="str">
        <f aca="false">IF(P5=R5,"Yes","No")</f>
        <v>Yes</v>
      </c>
      <c r="T5" s="2"/>
      <c r="U5" s="27" t="n">
        <f aca="false">IFERROR(SUMIFS($D$5:$D$238,$C$5:$C$238,$C5)/SUMIFS($I$5:$I$238,$C$5:$C$238,$C5),0)</f>
        <v>0.184158415841584</v>
      </c>
      <c r="V5" s="27" t="n">
        <f aca="false">IFERROR(SUMIFS($E$5:$E$238,$C$5:$C$238,$C5)/SUMIFS($I$5:$I$238,$C$5:$C$238,$C5),0)</f>
        <v>0.324752475247525</v>
      </c>
      <c r="W5" s="27" t="n">
        <f aca="false">IFERROR(SUMIFS($F$5:$F$238,$C$5:$C$238,$C5)/SUMIFS($I$5:$I$238,$C$5:$C$238,$C5),0)</f>
        <v>0.0118811881188119</v>
      </c>
      <c r="X5" s="27" t="n">
        <f aca="false">IFERROR(SUMIFS($G$5:$G$238,$C$5:$C$238,$C5)/SUMIFS($I$5:$I$238,$C$5:$C$238,$C5),0)</f>
        <v>0.0574257425742574</v>
      </c>
      <c r="Y5" s="27" t="n">
        <f aca="false">IFERROR(SUMIFS($H$5:$H$238,$C$5:$C$238,$C5)/SUMIFS($I$5:$I$238,$C$5:$C$238,$C5),0)</f>
        <v>0.421782178217822</v>
      </c>
      <c r="Z5" s="24" t="n">
        <f aca="false">LN(MAX(I5,1))</f>
        <v>3.80666248977032</v>
      </c>
      <c r="AA5" s="24" t="n">
        <f aca="false">Calibration!$M$35+Calibration!$N$35+SUMPRODUCT(Calibration!$B$35:$F$35,J5:N5)+SUMPRODUCT(Calibration!$G$35:$K$35,U5:Y5)+Calibration!$L$35*Z5</f>
        <v>-0.0264001421889422</v>
      </c>
      <c r="AB5" s="24" t="n">
        <f aca="false">Calibration!$M$36+Calibration!$N$36+SUMPRODUCT(Calibration!$B$36:$F$36,J5:N5)+SUMPRODUCT(Calibration!$G$36:$K$36,U5:Y5)+Calibration!$L$36*Z5</f>
        <v>0.287725108078972</v>
      </c>
      <c r="AC5" s="24" t="n">
        <f aca="false">Calibration!$M$37+Calibration!$N$37+SUMPRODUCT(Calibration!$B$37:$F$37,J5:N5)+SUMPRODUCT(Calibration!$G$37:$K$37,U5:Y5)+Calibration!$L$37*Z5</f>
        <v>0.563675847751333</v>
      </c>
      <c r="AD5" s="27" t="n">
        <f aca="false">EXP(AC5)/(EXP(AA5)+EXP(AB5)+EXP(AC5))</f>
        <v>0.432313632815661</v>
      </c>
      <c r="AE5" s="7" t="str">
        <f aca="false">IF(AC5=MAX(AA5:AC5),"TVK",IF(AB5=MAX(AA5:AC5),"DMK+","AIADMK+"))</f>
        <v>TVK</v>
      </c>
      <c r="AF5" s="7" t="str">
        <f aca="false">IF(AE5=R5,"Yes","No")</f>
        <v>Yes</v>
      </c>
      <c r="AG5" s="7" t="str">
        <f aca="false">IF(AE5=P5,"No","Yes")</f>
        <v>No</v>
      </c>
      <c r="AH5" s="7" t="str">
        <f aca="false">IF(H5=MAX(D5,E5,H5),"TVK",IF(E5=MAX(D5,E5,H5),"DMK+","AIADMK+"))</f>
        <v>TVK</v>
      </c>
      <c r="AI5" s="27" t="n">
        <f aca="false">EXP(AA5)/(EXP(AA5)+EXP(AB5)+EXP(AC5))</f>
        <v>0.23962503244864</v>
      </c>
      <c r="AJ5" s="27" t="n">
        <f aca="false">EXP(AB5)/(EXP(AA5)+EXP(AB5)+EXP(AC5))</f>
        <v>0.328061334735699</v>
      </c>
      <c r="AK5" s="28" t="s">
        <v>4</v>
      </c>
      <c r="AL5" s="7" t="str">
        <f aca="false">IF(AK5=R5,"Yes","No")</f>
        <v>No</v>
      </c>
      <c r="AM5" s="27" t="n">
        <f aca="false">IF(AK5="TVK",AD5,IF(AK5="DMK+",AJ5,AI5))</f>
        <v>0.23962503244864</v>
      </c>
      <c r="AN5" s="7" t="str">
        <f aca="false">IF(AK5=P5,"No","Yes")</f>
        <v>Yes</v>
      </c>
    </row>
    <row r="6" customFormat="false" ht="15" hidden="false" customHeight="false" outlineLevel="0" collapsed="false">
      <c r="A6" s="0" t="n">
        <v>2</v>
      </c>
      <c r="B6" s="4" t="s">
        <v>194</v>
      </c>
      <c r="C6" s="5" t="s">
        <v>146</v>
      </c>
      <c r="D6" s="35" t="n">
        <v>14</v>
      </c>
      <c r="E6" s="35" t="n">
        <v>18</v>
      </c>
      <c r="F6" s="35" t="n">
        <v>1</v>
      </c>
      <c r="G6" s="35" t="n">
        <v>4</v>
      </c>
      <c r="H6" s="35" t="n">
        <v>41</v>
      </c>
      <c r="I6" s="5" t="n">
        <f aca="false">SUM(D6:H6)</f>
        <v>78</v>
      </c>
      <c r="J6" s="10" t="n">
        <f aca="false">IF($I6=0,0,D6/$I6)</f>
        <v>0.17948717948718</v>
      </c>
      <c r="K6" s="10" t="n">
        <f aca="false">IF($I6=0,0,E6/$I6)</f>
        <v>0.230769230769231</v>
      </c>
      <c r="L6" s="10" t="n">
        <f aca="false">IF($I6=0,0,F6/$I6)</f>
        <v>0.0128205128205128</v>
      </c>
      <c r="M6" s="10" t="n">
        <f aca="false">IF($I6=0,0,G6/$I6)</f>
        <v>0.0512820512820513</v>
      </c>
      <c r="N6" s="10" t="n">
        <f aca="false">IF($I6=0,0,H6/$I6)</f>
        <v>0.525641025641026</v>
      </c>
      <c r="O6" s="35" t="s">
        <v>3</v>
      </c>
      <c r="P6" s="0" t="str">
        <f aca="false">IF(O6="TVK","TVK",IF(O6="DMK","DMK+",IF(O6="ADMK","AIADMK+","")))</f>
        <v>TVK</v>
      </c>
      <c r="Q6" s="35" t="s">
        <v>3</v>
      </c>
      <c r="R6" s="36" t="s">
        <v>3</v>
      </c>
      <c r="S6" s="0" t="str">
        <f aca="false">IF(P6=R6,"Yes","No")</f>
        <v>Yes</v>
      </c>
      <c r="T6" s="2"/>
      <c r="U6" s="27" t="n">
        <f aca="false">IFERROR(SUMIFS($D$5:$D$238,$C$5:$C$238,$C6)/SUMIFS($I$5:$I$238,$C$5:$C$238,$C6),0)</f>
        <v>0.184158415841584</v>
      </c>
      <c r="V6" s="27" t="n">
        <f aca="false">IFERROR(SUMIFS($E$5:$E$238,$C$5:$C$238,$C6)/SUMIFS($I$5:$I$238,$C$5:$C$238,$C6),0)</f>
        <v>0.324752475247525</v>
      </c>
      <c r="W6" s="27" t="n">
        <f aca="false">IFERROR(SUMIFS($F$5:$F$238,$C$5:$C$238,$C6)/SUMIFS($I$5:$I$238,$C$5:$C$238,$C6),0)</f>
        <v>0.0118811881188119</v>
      </c>
      <c r="X6" s="27" t="n">
        <f aca="false">IFERROR(SUMIFS($G$5:$G$238,$C$5:$C$238,$C6)/SUMIFS($I$5:$I$238,$C$5:$C$238,$C6),0)</f>
        <v>0.0574257425742574</v>
      </c>
      <c r="Y6" s="27" t="n">
        <f aca="false">IFERROR(SUMIFS($H$5:$H$238,$C$5:$C$238,$C6)/SUMIFS($I$5:$I$238,$C$5:$C$238,$C6),0)</f>
        <v>0.421782178217822</v>
      </c>
      <c r="Z6" s="24" t="n">
        <f aca="false">LN(MAX(I6,1))</f>
        <v>4.35670882668959</v>
      </c>
      <c r="AA6" s="24" t="n">
        <f aca="false">Calibration!$M$35+Calibration!$N$35+SUMPRODUCT(Calibration!$B$35:$F$35,J6:N6)+SUMPRODUCT(Calibration!$G$35:$K$35,U6:Y6)+Calibration!$L$35*Z6</f>
        <v>-0.311423237875032</v>
      </c>
      <c r="AB6" s="24" t="n">
        <f aca="false">Calibration!$M$36+Calibration!$N$36+SUMPRODUCT(Calibration!$B$36:$F$36,J6:N6)+SUMPRODUCT(Calibration!$G$36:$K$36,U6:Y6)+Calibration!$L$36*Z6</f>
        <v>-0.0862202744346798</v>
      </c>
      <c r="AC6" s="24" t="n">
        <f aca="false">Calibration!$M$37+Calibration!$N$37+SUMPRODUCT(Calibration!$B$37:$F$37,J6:N6)+SUMPRODUCT(Calibration!$G$37:$K$37,U6:Y6)+Calibration!$L$37*Z6</f>
        <v>1.22264436270321</v>
      </c>
      <c r="AD6" s="27" t="n">
        <f aca="false">EXP(AC6)/(EXP(AA6)+EXP(AB6)+EXP(AC6))</f>
        <v>0.67304568162275</v>
      </c>
      <c r="AE6" s="7" t="str">
        <f aca="false">IF(AC6=MAX(AA6:AC6),"TVK",IF(AB6=MAX(AA6:AC6),"DMK+","AIADMK+"))</f>
        <v>TVK</v>
      </c>
      <c r="AF6" s="7" t="str">
        <f aca="false">IF(AE6=R6,"Yes","No")</f>
        <v>Yes</v>
      </c>
      <c r="AG6" s="7" t="str">
        <f aca="false">IF(AE6=P6,"No","Yes")</f>
        <v>No</v>
      </c>
      <c r="AH6" s="7" t="str">
        <f aca="false">IF(H6=MAX(D6,E6,H6),"TVK",IF(E6=MAX(D6,E6,H6),"DMK+","AIADMK+"))</f>
        <v>TVK</v>
      </c>
      <c r="AI6" s="27" t="n">
        <f aca="false">EXP(AA6)/(EXP(AA6)+EXP(AB6)+EXP(AC6))</f>
        <v>0.145146794236422</v>
      </c>
      <c r="AJ6" s="27" t="n">
        <f aca="false">EXP(AB6)/(EXP(AA6)+EXP(AB6)+EXP(AC6))</f>
        <v>0.181807524140828</v>
      </c>
      <c r="AK6" s="28" t="s">
        <v>3</v>
      </c>
      <c r="AL6" s="7" t="str">
        <f aca="false">IF(AK6=R6,"Yes","No")</f>
        <v>Yes</v>
      </c>
      <c r="AM6" s="27" t="n">
        <f aca="false">IF(AK6="TVK",AD6,IF(AK6="DMK+",AJ6,AI6))</f>
        <v>0.67304568162275</v>
      </c>
      <c r="AN6" s="7" t="str">
        <f aca="false">IF(AK6=P6,"No","Yes")</f>
        <v>No</v>
      </c>
    </row>
    <row r="7" customFormat="false" ht="15" hidden="false" customHeight="false" outlineLevel="0" collapsed="false">
      <c r="A7" s="0" t="n">
        <v>3</v>
      </c>
      <c r="B7" s="4" t="s">
        <v>195</v>
      </c>
      <c r="C7" s="5" t="s">
        <v>146</v>
      </c>
      <c r="D7" s="35" t="n">
        <v>16</v>
      </c>
      <c r="E7" s="35" t="n">
        <v>15</v>
      </c>
      <c r="F7" s="35" t="n">
        <v>1</v>
      </c>
      <c r="G7" s="35" t="n">
        <v>2</v>
      </c>
      <c r="H7" s="35" t="n">
        <v>25</v>
      </c>
      <c r="I7" s="5" t="n">
        <f aca="false">SUM(D7:H7)</f>
        <v>59</v>
      </c>
      <c r="J7" s="10" t="n">
        <f aca="false">IF($I7=0,0,D7/$I7)</f>
        <v>0.271186440677966</v>
      </c>
      <c r="K7" s="10" t="n">
        <f aca="false">IF($I7=0,0,E7/$I7)</f>
        <v>0.254237288135593</v>
      </c>
      <c r="L7" s="10" t="n">
        <f aca="false">IF($I7=0,0,F7/$I7)</f>
        <v>0.0169491525423729</v>
      </c>
      <c r="M7" s="10" t="n">
        <f aca="false">IF($I7=0,0,G7/$I7)</f>
        <v>0.0338983050847458</v>
      </c>
      <c r="N7" s="10" t="n">
        <f aca="false">IF($I7=0,0,H7/$I7)</f>
        <v>0.423728813559322</v>
      </c>
      <c r="O7" s="35" t="s">
        <v>3</v>
      </c>
      <c r="P7" s="0" t="str">
        <f aca="false">IF(O7="TVK","TVK",IF(O7="DMK","DMK+",IF(O7="ADMK","AIADMK+","")))</f>
        <v>TVK</v>
      </c>
      <c r="Q7" s="35" t="s">
        <v>196</v>
      </c>
      <c r="R7" s="36" t="s">
        <v>4</v>
      </c>
      <c r="S7" s="0" t="str">
        <f aca="false">IF(P7=R7,"Yes","No")</f>
        <v>No</v>
      </c>
      <c r="T7" s="2"/>
      <c r="U7" s="27" t="n">
        <f aca="false">IFERROR(SUMIFS($D$5:$D$238,$C$5:$C$238,$C7)/SUMIFS($I$5:$I$238,$C$5:$C$238,$C7),0)</f>
        <v>0.184158415841584</v>
      </c>
      <c r="V7" s="27" t="n">
        <f aca="false">IFERROR(SUMIFS($E$5:$E$238,$C$5:$C$238,$C7)/SUMIFS($I$5:$I$238,$C$5:$C$238,$C7),0)</f>
        <v>0.324752475247525</v>
      </c>
      <c r="W7" s="27" t="n">
        <f aca="false">IFERROR(SUMIFS($F$5:$F$238,$C$5:$C$238,$C7)/SUMIFS($I$5:$I$238,$C$5:$C$238,$C7),0)</f>
        <v>0.0118811881188119</v>
      </c>
      <c r="X7" s="27" t="n">
        <f aca="false">IFERROR(SUMIFS($G$5:$G$238,$C$5:$C$238,$C7)/SUMIFS($I$5:$I$238,$C$5:$C$238,$C7),0)</f>
        <v>0.0574257425742574</v>
      </c>
      <c r="Y7" s="27" t="n">
        <f aca="false">IFERROR(SUMIFS($H$5:$H$238,$C$5:$C$238,$C7)/SUMIFS($I$5:$I$238,$C$5:$C$238,$C7),0)</f>
        <v>0.421782178217822</v>
      </c>
      <c r="Z7" s="24" t="n">
        <f aca="false">LN(MAX(I7,1))</f>
        <v>4.07753744390572</v>
      </c>
      <c r="AA7" s="24" t="n">
        <f aca="false">Calibration!$M$35+Calibration!$N$35+SUMPRODUCT(Calibration!$B$35:$F$35,J7:N7)+SUMPRODUCT(Calibration!$G$35:$K$35,U7:Y7)+Calibration!$L$35*Z7</f>
        <v>-0.0823975224503823</v>
      </c>
      <c r="AB7" s="24" t="n">
        <f aca="false">Calibration!$M$36+Calibration!$N$36+SUMPRODUCT(Calibration!$B$36:$F$36,J7:N7)+SUMPRODUCT(Calibration!$G$36:$K$36,U7:Y7)+Calibration!$L$36*Z7</f>
        <v>0.0675741157495984</v>
      </c>
      <c r="AC7" s="24" t="n">
        <f aca="false">Calibration!$M$37+Calibration!$N$37+SUMPRODUCT(Calibration!$B$37:$F$37,J7:N7)+SUMPRODUCT(Calibration!$G$37:$K$37,U7:Y7)+Calibration!$L$37*Z7</f>
        <v>0.839824155182073</v>
      </c>
      <c r="AD7" s="27" t="n">
        <f aca="false">EXP(AC7)/(EXP(AA7)+EXP(AB7)+EXP(AC7))</f>
        <v>0.537748005021495</v>
      </c>
      <c r="AE7" s="7" t="str">
        <f aca="false">IF(AC7=MAX(AA7:AC7),"TVK",IF(AB7=MAX(AA7:AC7),"DMK+","AIADMK+"))</f>
        <v>TVK</v>
      </c>
      <c r="AF7" s="7" t="str">
        <f aca="false">IF(AE7=R7,"Yes","No")</f>
        <v>No</v>
      </c>
      <c r="AG7" s="7" t="str">
        <f aca="false">IF(AE7=P7,"No","Yes")</f>
        <v>No</v>
      </c>
      <c r="AH7" s="7" t="str">
        <f aca="false">IF(H7=MAX(D7,E7,H7),"TVK",IF(E7=MAX(D7,E7,H7),"DMK+","AIADMK+"))</f>
        <v>TVK</v>
      </c>
      <c r="AI7" s="27" t="n">
        <f aca="false">EXP(AA7)/(EXP(AA7)+EXP(AB7)+EXP(AC7))</f>
        <v>0.213827236018046</v>
      </c>
      <c r="AJ7" s="27" t="n">
        <f aca="false">EXP(AB7)/(EXP(AA7)+EXP(AB7)+EXP(AC7))</f>
        <v>0.248424758960459</v>
      </c>
      <c r="AK7" s="28" t="s">
        <v>3</v>
      </c>
      <c r="AL7" s="7" t="str">
        <f aca="false">IF(AK7=R7,"Yes","No")</f>
        <v>No</v>
      </c>
      <c r="AM7" s="27" t="n">
        <f aca="false">IF(AK7="TVK",AD7,IF(AK7="DMK+",AJ7,AI7))</f>
        <v>0.537748005021495</v>
      </c>
      <c r="AN7" s="7" t="str">
        <f aca="false">IF(AK7=P7,"No","Yes")</f>
        <v>No</v>
      </c>
    </row>
    <row r="8" customFormat="false" ht="15" hidden="true" customHeight="false" outlineLevel="0" collapsed="false">
      <c r="A8" s="0" t="n">
        <v>4</v>
      </c>
      <c r="B8" s="4" t="s">
        <v>146</v>
      </c>
      <c r="C8" s="5" t="s">
        <v>146</v>
      </c>
      <c r="D8" s="35" t="n">
        <v>15</v>
      </c>
      <c r="E8" s="35" t="n">
        <v>60</v>
      </c>
      <c r="F8" s="35" t="n">
        <v>1</v>
      </c>
      <c r="G8" s="35" t="n">
        <v>4</v>
      </c>
      <c r="H8" s="35" t="n">
        <v>57</v>
      </c>
      <c r="I8" s="5" t="n">
        <f aca="false">SUM(D8:H8)</f>
        <v>137</v>
      </c>
      <c r="J8" s="10" t="n">
        <f aca="false">IF($I8=0,0,D8/$I8)</f>
        <v>0.109489051094891</v>
      </c>
      <c r="K8" s="10" t="n">
        <f aca="false">IF($I8=0,0,E8/$I8)</f>
        <v>0.437956204379562</v>
      </c>
      <c r="L8" s="10" t="n">
        <f aca="false">IF($I8=0,0,F8/$I8)</f>
        <v>0.0072992700729927</v>
      </c>
      <c r="M8" s="10" t="n">
        <f aca="false">IF($I8=0,0,G8/$I8)</f>
        <v>0.0291970802919708</v>
      </c>
      <c r="N8" s="10" t="n">
        <f aca="false">IF($I8=0,0,H8/$I8)</f>
        <v>0.416058394160584</v>
      </c>
      <c r="O8" s="35" t="s">
        <v>197</v>
      </c>
      <c r="P8" s="0" t="str">
        <f aca="false">IF(O8="TVK","TVK",IF(O8="DMK","DMK+",IF(O8="ADMK","AIADMK+","")))</f>
        <v>DMK+</v>
      </c>
      <c r="Q8" s="35" t="s">
        <v>3</v>
      </c>
      <c r="R8" s="36" t="s">
        <v>3</v>
      </c>
      <c r="S8" s="0" t="str">
        <f aca="false">IF(P8=R8,"Yes","No")</f>
        <v>No</v>
      </c>
      <c r="T8" s="2"/>
      <c r="U8" s="27" t="n">
        <f aca="false">IFERROR(SUMIFS($D$5:$D$238,$C$5:$C$238,$C8)/SUMIFS($I$5:$I$238,$C$5:$C$238,$C8),0)</f>
        <v>0.184158415841584</v>
      </c>
      <c r="V8" s="27" t="n">
        <f aca="false">IFERROR(SUMIFS($E$5:$E$238,$C$5:$C$238,$C8)/SUMIFS($I$5:$I$238,$C$5:$C$238,$C8),0)</f>
        <v>0.324752475247525</v>
      </c>
      <c r="W8" s="27" t="n">
        <f aca="false">IFERROR(SUMIFS($F$5:$F$238,$C$5:$C$238,$C8)/SUMIFS($I$5:$I$238,$C$5:$C$238,$C8),0)</f>
        <v>0.0118811881188119</v>
      </c>
      <c r="X8" s="27" t="n">
        <f aca="false">IFERROR(SUMIFS($G$5:$G$238,$C$5:$C$238,$C8)/SUMIFS($I$5:$I$238,$C$5:$C$238,$C8),0)</f>
        <v>0.0574257425742574</v>
      </c>
      <c r="Y8" s="27" t="n">
        <f aca="false">IFERROR(SUMIFS($H$5:$H$238,$C$5:$C$238,$C8)/SUMIFS($I$5:$I$238,$C$5:$C$238,$C8),0)</f>
        <v>0.421782178217822</v>
      </c>
      <c r="Z8" s="24" t="n">
        <f aca="false">LN(MAX(I8,1))</f>
        <v>4.91998092582813</v>
      </c>
      <c r="AA8" s="24" t="n">
        <f aca="false">Calibration!$M$35+Calibration!$N$35+SUMPRODUCT(Calibration!$B$35:$F$35,J8:N8)+SUMPRODUCT(Calibration!$G$35:$K$35,U8:Y8)+Calibration!$L$35*Z8</f>
        <v>-0.800618504836306</v>
      </c>
      <c r="AB8" s="24" t="n">
        <f aca="false">Calibration!$M$36+Calibration!$N$36+SUMPRODUCT(Calibration!$B$36:$F$36,J8:N8)+SUMPRODUCT(Calibration!$G$36:$K$36,U8:Y8)+Calibration!$L$36*Z8</f>
        <v>-0.119060699237778</v>
      </c>
      <c r="AC8" s="24" t="n">
        <f aca="false">Calibration!$M$37+Calibration!$N$37+SUMPRODUCT(Calibration!$B$37:$F$37,J8:N8)+SUMPRODUCT(Calibration!$G$37:$K$37,U8:Y8)+Calibration!$L$37*Z8</f>
        <v>1.74467994488495</v>
      </c>
      <c r="AD8" s="27" t="n">
        <f aca="false">EXP(AC8)/(EXP(AA8)+EXP(AB8)+EXP(AC8))</f>
        <v>0.810674286183303</v>
      </c>
      <c r="AE8" s="7" t="str">
        <f aca="false">IF(AC8=MAX(AA8:AC8),"TVK",IF(AB8=MAX(AA8:AC8),"DMK+","AIADMK+"))</f>
        <v>TVK</v>
      </c>
      <c r="AF8" s="7" t="str">
        <f aca="false">IF(AE8=R8,"Yes","No")</f>
        <v>Yes</v>
      </c>
      <c r="AG8" s="7" t="str">
        <f aca="false">IF(AE8=P8,"No","Yes")</f>
        <v>Yes</v>
      </c>
      <c r="AH8" s="7" t="str">
        <f aca="false">IF(H8=MAX(D8,E8,H8),"TVK",IF(E8=MAX(D8,E8,H8),"DMK+","AIADMK+"))</f>
        <v>DMK+</v>
      </c>
      <c r="AI8" s="27" t="n">
        <f aca="false">EXP(AA8)/(EXP(AA8)+EXP(AB8)+EXP(AC8))</f>
        <v>0.0635971020290728</v>
      </c>
      <c r="AJ8" s="27" t="n">
        <f aca="false">EXP(AB8)/(EXP(AA8)+EXP(AB8)+EXP(AC8))</f>
        <v>0.125728611787624</v>
      </c>
      <c r="AK8" s="28" t="s">
        <v>3</v>
      </c>
      <c r="AL8" s="7" t="str">
        <f aca="false">IF(AK8=R8,"Yes","No")</f>
        <v>Yes</v>
      </c>
      <c r="AM8" s="27" t="n">
        <f aca="false">IF(AK8="TVK",AD8,IF(AK8="DMK+",AJ8,AI8))</f>
        <v>0.810674286183303</v>
      </c>
      <c r="AN8" s="7" t="str">
        <f aca="false">IF(AK8=P8,"No","Yes")</f>
        <v>Yes</v>
      </c>
    </row>
    <row r="9" customFormat="false" ht="15" hidden="false" customHeight="false" outlineLevel="0" collapsed="false">
      <c r="A9" s="0" t="n">
        <v>5</v>
      </c>
      <c r="B9" s="4" t="s">
        <v>198</v>
      </c>
      <c r="C9" s="5" t="s">
        <v>146</v>
      </c>
      <c r="D9" s="35" t="n">
        <v>19</v>
      </c>
      <c r="E9" s="35" t="n">
        <v>19</v>
      </c>
      <c r="F9" s="35" t="n">
        <v>3</v>
      </c>
      <c r="G9" s="35" t="n">
        <v>7</v>
      </c>
      <c r="H9" s="35" t="n">
        <v>34</v>
      </c>
      <c r="I9" s="5" t="n">
        <f aca="false">SUM(D9:H9)</f>
        <v>82</v>
      </c>
      <c r="J9" s="10" t="n">
        <f aca="false">IF($I9=0,0,D9/$I9)</f>
        <v>0.231707317073171</v>
      </c>
      <c r="K9" s="10" t="n">
        <f aca="false">IF($I9=0,0,E9/$I9)</f>
        <v>0.231707317073171</v>
      </c>
      <c r="L9" s="10" t="n">
        <f aca="false">IF($I9=0,0,F9/$I9)</f>
        <v>0.0365853658536585</v>
      </c>
      <c r="M9" s="10" t="n">
        <f aca="false">IF($I9=0,0,G9/$I9)</f>
        <v>0.0853658536585366</v>
      </c>
      <c r="N9" s="10" t="n">
        <f aca="false">IF($I9=0,0,H9/$I9)</f>
        <v>0.414634146341463</v>
      </c>
      <c r="O9" s="35" t="s">
        <v>3</v>
      </c>
      <c r="P9" s="0" t="str">
        <f aca="false">IF(O9="TVK","TVK",IF(O9="DMK","DMK+",IF(O9="ADMK","AIADMK+","")))</f>
        <v>TVK</v>
      </c>
      <c r="Q9" s="35" t="s">
        <v>3</v>
      </c>
      <c r="R9" s="36" t="s">
        <v>3</v>
      </c>
      <c r="S9" s="0" t="str">
        <f aca="false">IF(P9=R9,"Yes","No")</f>
        <v>Yes</v>
      </c>
      <c r="T9" s="2"/>
      <c r="U9" s="27" t="n">
        <f aca="false">IFERROR(SUMIFS($D$5:$D$238,$C$5:$C$238,$C9)/SUMIFS($I$5:$I$238,$C$5:$C$238,$C9),0)</f>
        <v>0.184158415841584</v>
      </c>
      <c r="V9" s="27" t="n">
        <f aca="false">IFERROR(SUMIFS($E$5:$E$238,$C$5:$C$238,$C9)/SUMIFS($I$5:$I$238,$C$5:$C$238,$C9),0)</f>
        <v>0.324752475247525</v>
      </c>
      <c r="W9" s="27" t="n">
        <f aca="false">IFERROR(SUMIFS($F$5:$F$238,$C$5:$C$238,$C9)/SUMIFS($I$5:$I$238,$C$5:$C$238,$C9),0)</f>
        <v>0.0118811881188119</v>
      </c>
      <c r="X9" s="27" t="n">
        <f aca="false">IFERROR(SUMIFS($G$5:$G$238,$C$5:$C$238,$C9)/SUMIFS($I$5:$I$238,$C$5:$C$238,$C9),0)</f>
        <v>0.0574257425742574</v>
      </c>
      <c r="Y9" s="27" t="n">
        <f aca="false">IFERROR(SUMIFS($H$5:$H$238,$C$5:$C$238,$C9)/SUMIFS($I$5:$I$238,$C$5:$C$238,$C9),0)</f>
        <v>0.421782178217822</v>
      </c>
      <c r="Z9" s="24" t="n">
        <f aca="false">LN(MAX(I9,1))</f>
        <v>4.40671924726425</v>
      </c>
      <c r="AA9" s="24" t="n">
        <f aca="false">Calibration!$M$35+Calibration!$N$35+SUMPRODUCT(Calibration!$B$35:$F$35,J9:N9)+SUMPRODUCT(Calibration!$G$35:$K$35,U9:Y9)+Calibration!$L$35*Z9</f>
        <v>-0.26794508293741</v>
      </c>
      <c r="AB9" s="24" t="n">
        <f aca="false">Calibration!$M$36+Calibration!$N$36+SUMPRODUCT(Calibration!$B$36:$F$36,J9:N9)+SUMPRODUCT(Calibration!$G$36:$K$36,U9:Y9)+Calibration!$L$36*Z9</f>
        <v>-0.118659368904214</v>
      </c>
      <c r="AC9" s="24" t="n">
        <f aca="false">Calibration!$M$37+Calibration!$N$37+SUMPRODUCT(Calibration!$B$37:$F$37,J9:N9)+SUMPRODUCT(Calibration!$G$37:$K$37,U9:Y9)+Calibration!$L$37*Z9</f>
        <v>1.21160519122824</v>
      </c>
      <c r="AD9" s="27" t="n">
        <f aca="false">EXP(AC9)/(EXP(AA9)+EXP(AB9)+EXP(AC9))</f>
        <v>0.670175083998402</v>
      </c>
      <c r="AE9" s="7" t="str">
        <f aca="false">IF(AC9=MAX(AA9:AC9),"TVK",IF(AB9=MAX(AA9:AC9),"DMK+","AIADMK+"))</f>
        <v>TVK</v>
      </c>
      <c r="AF9" s="7" t="str">
        <f aca="false">IF(AE9=R9,"Yes","No")</f>
        <v>Yes</v>
      </c>
      <c r="AG9" s="7" t="str">
        <f aca="false">IF(AE9=P9,"No","Yes")</f>
        <v>No</v>
      </c>
      <c r="AH9" s="7" t="str">
        <f aca="false">IF(H9=MAX(D9,E9,H9),"TVK",IF(E9=MAX(D9,E9,H9),"DMK+","AIADMK+"))</f>
        <v>TVK</v>
      </c>
      <c r="AI9" s="27" t="n">
        <f aca="false">EXP(AA9)/(EXP(AA9)+EXP(AB9)+EXP(AC9))</f>
        <v>0.152625731235929</v>
      </c>
      <c r="AJ9" s="27" t="n">
        <f aca="false">EXP(AB9)/(EXP(AA9)+EXP(AB9)+EXP(AC9))</f>
        <v>0.177199184765669</v>
      </c>
      <c r="AK9" s="28" t="s">
        <v>3</v>
      </c>
      <c r="AL9" s="7" t="str">
        <f aca="false">IF(AK9=R9,"Yes","No")</f>
        <v>Yes</v>
      </c>
      <c r="AM9" s="27" t="n">
        <f aca="false">IF(AK9="TVK",AD9,IF(AK9="DMK+",AJ9,AI9))</f>
        <v>0.670175083998402</v>
      </c>
      <c r="AN9" s="7" t="str">
        <f aca="false">IF(AK9=P9,"No","Yes")</f>
        <v>No</v>
      </c>
    </row>
    <row r="10" customFormat="false" ht="15" hidden="true" customHeight="false" outlineLevel="0" collapsed="false">
      <c r="A10" s="0" t="n">
        <v>6</v>
      </c>
      <c r="B10" s="4" t="s">
        <v>199</v>
      </c>
      <c r="C10" s="5" t="s">
        <v>146</v>
      </c>
      <c r="D10" s="35" t="n">
        <v>20</v>
      </c>
      <c r="E10" s="35" t="n">
        <v>40</v>
      </c>
      <c r="F10" s="35"/>
      <c r="G10" s="35" t="n">
        <v>10</v>
      </c>
      <c r="H10" s="35" t="n">
        <v>34</v>
      </c>
      <c r="I10" s="5" t="n">
        <f aca="false">SUM(D10:H10)</f>
        <v>104</v>
      </c>
      <c r="J10" s="10" t="n">
        <f aca="false">IF($I10=0,0,D10/$I10)</f>
        <v>0.192307692307692</v>
      </c>
      <c r="K10" s="10" t="n">
        <f aca="false">IF($I10=0,0,E10/$I10)</f>
        <v>0.384615384615385</v>
      </c>
      <c r="L10" s="10" t="n">
        <f aca="false">IF($I10=0,0,F10/$I10)</f>
        <v>0</v>
      </c>
      <c r="M10" s="10" t="n">
        <f aca="false">IF($I10=0,0,G10/$I10)</f>
        <v>0.0961538461538462</v>
      </c>
      <c r="N10" s="10" t="n">
        <f aca="false">IF($I10=0,0,H10/$I10)</f>
        <v>0.326923076923077</v>
      </c>
      <c r="O10" s="35" t="s">
        <v>197</v>
      </c>
      <c r="P10" s="0" t="str">
        <f aca="false">IF(O10="TVK","TVK",IF(O10="DMK","DMK+",IF(O10="ADMK","AIADMK+","")))</f>
        <v>DMK+</v>
      </c>
      <c r="Q10" s="35" t="s">
        <v>3</v>
      </c>
      <c r="R10" s="36" t="s">
        <v>3</v>
      </c>
      <c r="S10" s="0" t="str">
        <f aca="false">IF(P10=R10,"Yes","No")</f>
        <v>No</v>
      </c>
      <c r="T10" s="2"/>
      <c r="U10" s="27" t="n">
        <f aca="false">IFERROR(SUMIFS($D$5:$D$238,$C$5:$C$238,$C10)/SUMIFS($I$5:$I$238,$C$5:$C$238,$C10),0)</f>
        <v>0.184158415841584</v>
      </c>
      <c r="V10" s="27" t="n">
        <f aca="false">IFERROR(SUMIFS($E$5:$E$238,$C$5:$C$238,$C10)/SUMIFS($I$5:$I$238,$C$5:$C$238,$C10),0)</f>
        <v>0.324752475247525</v>
      </c>
      <c r="W10" s="27" t="n">
        <f aca="false">IFERROR(SUMIFS($F$5:$F$238,$C$5:$C$238,$C10)/SUMIFS($I$5:$I$238,$C$5:$C$238,$C10),0)</f>
        <v>0.0118811881188119</v>
      </c>
      <c r="X10" s="27" t="n">
        <f aca="false">IFERROR(SUMIFS($G$5:$G$238,$C$5:$C$238,$C10)/SUMIFS($I$5:$I$238,$C$5:$C$238,$C10),0)</f>
        <v>0.0574257425742574</v>
      </c>
      <c r="Y10" s="27" t="n">
        <f aca="false">IFERROR(SUMIFS($H$5:$H$238,$C$5:$C$238,$C10)/SUMIFS($I$5:$I$238,$C$5:$C$238,$C10),0)</f>
        <v>0.421782178217822</v>
      </c>
      <c r="Z10" s="24" t="n">
        <f aca="false">LN(MAX(I10,1))</f>
        <v>4.64439089914137</v>
      </c>
      <c r="AA10" s="24" t="n">
        <f aca="false">Calibration!$M$35+Calibration!$N$35+SUMPRODUCT(Calibration!$B$35:$F$35,J10:N10)+SUMPRODUCT(Calibration!$G$35:$K$35,U10:Y10)+Calibration!$L$35*Z10</f>
        <v>-0.525496633587069</v>
      </c>
      <c r="AB10" s="24" t="n">
        <f aca="false">Calibration!$M$36+Calibration!$N$36+SUMPRODUCT(Calibration!$B$36:$F$36,J10:N10)+SUMPRODUCT(Calibration!$G$36:$K$36,U10:Y10)+Calibration!$L$36*Z10</f>
        <v>-0.0351648974603953</v>
      </c>
      <c r="AC10" s="24" t="n">
        <f aca="false">Calibration!$M$37+Calibration!$N$37+SUMPRODUCT(Calibration!$B$37:$F$37,J10:N10)+SUMPRODUCT(Calibration!$G$37:$K$37,U10:Y10)+Calibration!$L$37*Z10</f>
        <v>1.38566218272302</v>
      </c>
      <c r="AD10" s="27" t="n">
        <f aca="false">EXP(AC10)/(EXP(AA10)+EXP(AB10)+EXP(AC10))</f>
        <v>0.719723186619953</v>
      </c>
      <c r="AE10" s="7" t="str">
        <f aca="false">IF(AC10=MAX(AA10:AC10),"TVK",IF(AB10=MAX(AA10:AC10),"DMK+","AIADMK+"))</f>
        <v>TVK</v>
      </c>
      <c r="AF10" s="7" t="str">
        <f aca="false">IF(AE10=R10,"Yes","No")</f>
        <v>Yes</v>
      </c>
      <c r="AG10" s="7" t="str">
        <f aca="false">IF(AE10=P10,"No","Yes")</f>
        <v>Yes</v>
      </c>
      <c r="AH10" s="7" t="str">
        <f aca="false">IF(H10=MAX(D10,E10,H10),"TVK",IF(E10=MAX(D10,E10,H10),"DMK+","AIADMK+"))</f>
        <v>DMK+</v>
      </c>
      <c r="AI10" s="27" t="n">
        <f aca="false">EXP(AA10)/(EXP(AA10)+EXP(AB10)+EXP(AC10))</f>
        <v>0.10645345621167</v>
      </c>
      <c r="AJ10" s="27" t="n">
        <f aca="false">EXP(AB10)/(EXP(AA10)+EXP(AB10)+EXP(AC10))</f>
        <v>0.173823357168377</v>
      </c>
      <c r="AK10" s="28" t="s">
        <v>3</v>
      </c>
      <c r="AL10" s="7" t="str">
        <f aca="false">IF(AK10=R10,"Yes","No")</f>
        <v>Yes</v>
      </c>
      <c r="AM10" s="27" t="n">
        <f aca="false">IF(AK10="TVK",AD10,IF(AK10="DMK+",AJ10,AI10))</f>
        <v>0.719723186619953</v>
      </c>
      <c r="AN10" s="7" t="str">
        <f aca="false">IF(AK10=P10,"No","Yes")</f>
        <v>Yes</v>
      </c>
    </row>
    <row r="11" customFormat="false" ht="15" hidden="false" customHeight="false" outlineLevel="0" collapsed="false">
      <c r="A11" s="0" t="n">
        <v>7</v>
      </c>
      <c r="B11" s="4" t="s">
        <v>200</v>
      </c>
      <c r="C11" s="5" t="s">
        <v>96</v>
      </c>
      <c r="D11" s="35" t="n">
        <v>28</v>
      </c>
      <c r="E11" s="35" t="n">
        <v>20</v>
      </c>
      <c r="F11" s="35" t="n">
        <v>2</v>
      </c>
      <c r="G11" s="35" t="n">
        <v>6</v>
      </c>
      <c r="H11" s="35" t="n">
        <v>49</v>
      </c>
      <c r="I11" s="5" t="n">
        <f aca="false">SUM(D11:H11)</f>
        <v>105</v>
      </c>
      <c r="J11" s="10" t="n">
        <f aca="false">IF($I11=0,0,D11/$I11)</f>
        <v>0.266666666666667</v>
      </c>
      <c r="K11" s="10" t="n">
        <f aca="false">IF($I11=0,0,E11/$I11)</f>
        <v>0.19047619047619</v>
      </c>
      <c r="L11" s="10" t="n">
        <f aca="false">IF($I11=0,0,F11/$I11)</f>
        <v>0.0190476190476191</v>
      </c>
      <c r="M11" s="10" t="n">
        <f aca="false">IF($I11=0,0,G11/$I11)</f>
        <v>0.0571428571428571</v>
      </c>
      <c r="N11" s="10" t="n">
        <f aca="false">IF($I11=0,0,H11/$I11)</f>
        <v>0.466666666666667</v>
      </c>
      <c r="O11" s="35" t="s">
        <v>3</v>
      </c>
      <c r="P11" s="0" t="str">
        <f aca="false">IF(O11="TVK","TVK",IF(O11="DMK","DMK+",IF(O11="ADMK","AIADMK+","")))</f>
        <v>TVK</v>
      </c>
      <c r="Q11" s="35" t="s">
        <v>3</v>
      </c>
      <c r="R11" s="36" t="s">
        <v>3</v>
      </c>
      <c r="S11" s="0" t="str">
        <f aca="false">IF(P11=R11,"Yes","No")</f>
        <v>Yes</v>
      </c>
      <c r="T11" s="2"/>
      <c r="U11" s="27" t="n">
        <f aca="false">IFERROR(SUMIFS($D$5:$D$238,$C$5:$C$238,$C11)/SUMIFS($I$5:$I$238,$C$5:$C$238,$C11),0)</f>
        <v>0.26049766718507</v>
      </c>
      <c r="V11" s="27" t="n">
        <f aca="false">IFERROR(SUMIFS($E$5:$E$238,$C$5:$C$238,$C11)/SUMIFS($I$5:$I$238,$C$5:$C$238,$C11),0)</f>
        <v>0.272161741835148</v>
      </c>
      <c r="W11" s="27" t="n">
        <f aca="false">IFERROR(SUMIFS($F$5:$F$238,$C$5:$C$238,$C11)/SUMIFS($I$5:$I$238,$C$5:$C$238,$C11),0)</f>
        <v>0.00777604976671851</v>
      </c>
      <c r="X11" s="27" t="n">
        <f aca="false">IFERROR(SUMIFS($G$5:$G$238,$C$5:$C$238,$C11)/SUMIFS($I$5:$I$238,$C$5:$C$238,$C11),0)</f>
        <v>0.0451010886469673</v>
      </c>
      <c r="Y11" s="27" t="n">
        <f aca="false">IFERROR(SUMIFS($H$5:$H$238,$C$5:$C$238,$C11)/SUMIFS($I$5:$I$238,$C$5:$C$238,$C11),0)</f>
        <v>0.414463452566096</v>
      </c>
      <c r="Z11" s="24" t="n">
        <f aca="false">LN(MAX(I11,1))</f>
        <v>4.65396035015752</v>
      </c>
      <c r="AA11" s="24" t="n">
        <f aca="false">Calibration!$M$35+Calibration!$N$35+SUMPRODUCT(Calibration!$B$35:$F$35,J11:N11)+SUMPRODUCT(Calibration!$G$35:$K$35,U11:Y11)+Calibration!$L$35*Z11</f>
        <v>-0.273776997139859</v>
      </c>
      <c r="AB11" s="24" t="n">
        <f aca="false">Calibration!$M$36+Calibration!$N$36+SUMPRODUCT(Calibration!$B$36:$F$36,J11:N11)+SUMPRODUCT(Calibration!$G$36:$K$36,U11:Y11)+Calibration!$L$36*Z11</f>
        <v>-0.437983010889039</v>
      </c>
      <c r="AC11" s="24" t="n">
        <f aca="false">Calibration!$M$37+Calibration!$N$37+SUMPRODUCT(Calibration!$B$37:$F$37,J11:N11)+SUMPRODUCT(Calibration!$G$37:$K$37,U11:Y11)+Calibration!$L$37*Z11</f>
        <v>1.53676074685731</v>
      </c>
      <c r="AD11" s="27" t="n">
        <f aca="false">EXP(AC11)/(EXP(AA11)+EXP(AB11)+EXP(AC11))</f>
        <v>0.767835063775556</v>
      </c>
      <c r="AE11" s="7" t="str">
        <f aca="false">IF(AC11=MAX(AA11:AC11),"TVK",IF(AB11=MAX(AA11:AC11),"DMK+","AIADMK+"))</f>
        <v>TVK</v>
      </c>
      <c r="AF11" s="7" t="str">
        <f aca="false">IF(AE11=R11,"Yes","No")</f>
        <v>Yes</v>
      </c>
      <c r="AG11" s="7" t="str">
        <f aca="false">IF(AE11=P11,"No","Yes")</f>
        <v>No</v>
      </c>
      <c r="AH11" s="7" t="str">
        <f aca="false">IF(H11=MAX(D11,E11,H11),"TVK",IF(E11=MAX(D11,E11,H11),"DMK+","AIADMK+"))</f>
        <v>TVK</v>
      </c>
      <c r="AI11" s="27" t="n">
        <f aca="false">EXP(AA11)/(EXP(AA11)+EXP(AB11)+EXP(AC11))</f>
        <v>0.125591830154417</v>
      </c>
      <c r="AJ11" s="27" t="n">
        <f aca="false">EXP(AB11)/(EXP(AA11)+EXP(AB11)+EXP(AC11))</f>
        <v>0.106573106070027</v>
      </c>
      <c r="AK11" s="28" t="s">
        <v>3</v>
      </c>
      <c r="AL11" s="7" t="str">
        <f aca="false">IF(AK11=R11,"Yes","No")</f>
        <v>Yes</v>
      </c>
      <c r="AM11" s="27" t="n">
        <f aca="false">IF(AK11="TVK",AD11,IF(AK11="DMK+",AJ11,AI11))</f>
        <v>0.767835063775556</v>
      </c>
      <c r="AN11" s="7" t="str">
        <f aca="false">IF(AK11=P11,"No","Yes")</f>
        <v>No</v>
      </c>
    </row>
    <row r="12" customFormat="false" ht="15" hidden="false" customHeight="false" outlineLevel="0" collapsed="false">
      <c r="A12" s="0" t="n">
        <v>8</v>
      </c>
      <c r="B12" s="4" t="s">
        <v>201</v>
      </c>
      <c r="C12" s="5" t="s">
        <v>96</v>
      </c>
      <c r="D12" s="35" t="n">
        <v>25</v>
      </c>
      <c r="E12" s="35" t="n">
        <v>22</v>
      </c>
      <c r="F12" s="35" t="n">
        <v>3</v>
      </c>
      <c r="G12" s="35" t="n">
        <v>5</v>
      </c>
      <c r="H12" s="35" t="n">
        <v>32</v>
      </c>
      <c r="I12" s="5" t="n">
        <f aca="false">SUM(D12:H12)</f>
        <v>87</v>
      </c>
      <c r="J12" s="10" t="n">
        <f aca="false">IF($I12=0,0,D12/$I12)</f>
        <v>0.28735632183908</v>
      </c>
      <c r="K12" s="10" t="n">
        <f aca="false">IF($I12=0,0,E12/$I12)</f>
        <v>0.252873563218391</v>
      </c>
      <c r="L12" s="10" t="n">
        <f aca="false">IF($I12=0,0,F12/$I12)</f>
        <v>0.0344827586206897</v>
      </c>
      <c r="M12" s="10" t="n">
        <f aca="false">IF($I12=0,0,G12/$I12)</f>
        <v>0.0574712643678161</v>
      </c>
      <c r="N12" s="10" t="n">
        <f aca="false">IF($I12=0,0,H12/$I12)</f>
        <v>0.367816091954023</v>
      </c>
      <c r="O12" s="35" t="s">
        <v>3</v>
      </c>
      <c r="P12" s="0" t="str">
        <f aca="false">IF(O12="TVK","TVK",IF(O12="DMK","DMK+",IF(O12="ADMK","AIADMK+","")))</f>
        <v>TVK</v>
      </c>
      <c r="Q12" s="35" t="s">
        <v>3</v>
      </c>
      <c r="R12" s="36" t="s">
        <v>3</v>
      </c>
      <c r="S12" s="0" t="str">
        <f aca="false">IF(P12=R12,"Yes","No")</f>
        <v>Yes</v>
      </c>
      <c r="T12" s="2"/>
      <c r="U12" s="27" t="n">
        <f aca="false">IFERROR(SUMIFS($D$5:$D$238,$C$5:$C$238,$C12)/SUMIFS($I$5:$I$238,$C$5:$C$238,$C12),0)</f>
        <v>0.26049766718507</v>
      </c>
      <c r="V12" s="27" t="n">
        <f aca="false">IFERROR(SUMIFS($E$5:$E$238,$C$5:$C$238,$C12)/SUMIFS($I$5:$I$238,$C$5:$C$238,$C12),0)</f>
        <v>0.272161741835148</v>
      </c>
      <c r="W12" s="27" t="n">
        <f aca="false">IFERROR(SUMIFS($F$5:$F$238,$C$5:$C$238,$C12)/SUMIFS($I$5:$I$238,$C$5:$C$238,$C12),0)</f>
        <v>0.00777604976671851</v>
      </c>
      <c r="X12" s="27" t="n">
        <f aca="false">IFERROR(SUMIFS($G$5:$G$238,$C$5:$C$238,$C12)/SUMIFS($I$5:$I$238,$C$5:$C$238,$C12),0)</f>
        <v>0.0451010886469673</v>
      </c>
      <c r="Y12" s="27" t="n">
        <f aca="false">IFERROR(SUMIFS($H$5:$H$238,$C$5:$C$238,$C12)/SUMIFS($I$5:$I$238,$C$5:$C$238,$C12),0)</f>
        <v>0.414463452566096</v>
      </c>
      <c r="Z12" s="24" t="n">
        <f aca="false">LN(MAX(I12,1))</f>
        <v>4.46590811865458</v>
      </c>
      <c r="AA12" s="24" t="n">
        <f aca="false">Calibration!$M$35+Calibration!$N$35+SUMPRODUCT(Calibration!$B$35:$F$35,J12:N12)+SUMPRODUCT(Calibration!$G$35:$K$35,U12:Y12)+Calibration!$L$35*Z12</f>
        <v>-0.183043104396987</v>
      </c>
      <c r="AB12" s="24" t="n">
        <f aca="false">Calibration!$M$36+Calibration!$N$36+SUMPRODUCT(Calibration!$B$36:$F$36,J12:N12)+SUMPRODUCT(Calibration!$G$36:$K$36,U12:Y12)+Calibration!$L$36*Z12</f>
        <v>-0.239134228856921</v>
      </c>
      <c r="AC12" s="24" t="n">
        <f aca="false">Calibration!$M$37+Calibration!$N$37+SUMPRODUCT(Calibration!$B$37:$F$37,J12:N12)+SUMPRODUCT(Calibration!$G$37:$K$37,U12:Y12)+Calibration!$L$37*Z12</f>
        <v>1.24717797323174</v>
      </c>
      <c r="AD12" s="27" t="n">
        <f aca="false">EXP(AC12)/(EXP(AA12)+EXP(AB12)+EXP(AC12))</f>
        <v>0.682378969698473</v>
      </c>
      <c r="AE12" s="7" t="str">
        <f aca="false">IF(AC12=MAX(AA12:AC12),"TVK",IF(AB12=MAX(AA12:AC12),"DMK+","AIADMK+"))</f>
        <v>TVK</v>
      </c>
      <c r="AF12" s="7" t="str">
        <f aca="false">IF(AE12=R12,"Yes","No")</f>
        <v>Yes</v>
      </c>
      <c r="AG12" s="7" t="str">
        <f aca="false">IF(AE12=P12,"No","Yes")</f>
        <v>No</v>
      </c>
      <c r="AH12" s="7" t="str">
        <f aca="false">IF(H12=MAX(D12,E12,H12),"TVK",IF(E12=MAX(D12,E12,H12),"DMK+","AIADMK+"))</f>
        <v>TVK</v>
      </c>
      <c r="AI12" s="27" t="n">
        <f aca="false">EXP(AA12)/(EXP(AA12)+EXP(AB12)+EXP(AC12))</f>
        <v>0.163263277951931</v>
      </c>
      <c r="AJ12" s="27" t="n">
        <f aca="false">EXP(AB12)/(EXP(AA12)+EXP(AB12)+EXP(AC12))</f>
        <v>0.154357752349596</v>
      </c>
      <c r="AK12" s="28" t="s">
        <v>3</v>
      </c>
      <c r="AL12" s="7" t="str">
        <f aca="false">IF(AK12=R12,"Yes","No")</f>
        <v>Yes</v>
      </c>
      <c r="AM12" s="27" t="n">
        <f aca="false">IF(AK12="TVK",AD12,IF(AK12="DMK+",AJ12,AI12))</f>
        <v>0.682378969698473</v>
      </c>
      <c r="AN12" s="7" t="str">
        <f aca="false">IF(AK12=P12,"No","Yes")</f>
        <v>No</v>
      </c>
    </row>
    <row r="13" customFormat="false" ht="15" hidden="false" customHeight="false" outlineLevel="0" collapsed="false">
      <c r="A13" s="0" t="n">
        <v>9</v>
      </c>
      <c r="B13" s="4" t="s">
        <v>202</v>
      </c>
      <c r="C13" s="5" t="s">
        <v>96</v>
      </c>
      <c r="D13" s="35" t="n">
        <v>22</v>
      </c>
      <c r="E13" s="35" t="n">
        <v>16</v>
      </c>
      <c r="F13" s="35"/>
      <c r="G13" s="35" t="n">
        <v>6</v>
      </c>
      <c r="H13" s="35" t="n">
        <v>34</v>
      </c>
      <c r="I13" s="5" t="n">
        <f aca="false">SUM(D13:H13)</f>
        <v>78</v>
      </c>
      <c r="J13" s="10" t="n">
        <f aca="false">IF($I13=0,0,D13/$I13)</f>
        <v>0.282051282051282</v>
      </c>
      <c r="K13" s="10" t="n">
        <f aca="false">IF($I13=0,0,E13/$I13)</f>
        <v>0.205128205128205</v>
      </c>
      <c r="L13" s="10" t="n">
        <f aca="false">IF($I13=0,0,F13/$I13)</f>
        <v>0</v>
      </c>
      <c r="M13" s="10" t="n">
        <f aca="false">IF($I13=0,0,G13/$I13)</f>
        <v>0.0769230769230769</v>
      </c>
      <c r="N13" s="10" t="n">
        <f aca="false">IF($I13=0,0,H13/$I13)</f>
        <v>0.435897435897436</v>
      </c>
      <c r="O13" s="35" t="s">
        <v>3</v>
      </c>
      <c r="P13" s="0" t="str">
        <f aca="false">IF(O13="TVK","TVK",IF(O13="DMK","DMK+",IF(O13="ADMK","AIADMK+","")))</f>
        <v>TVK</v>
      </c>
      <c r="Q13" s="35" t="s">
        <v>3</v>
      </c>
      <c r="R13" s="36" t="s">
        <v>3</v>
      </c>
      <c r="S13" s="0" t="str">
        <f aca="false">IF(P13=R13,"Yes","No")</f>
        <v>Yes</v>
      </c>
      <c r="T13" s="2"/>
      <c r="U13" s="27" t="n">
        <f aca="false">IFERROR(SUMIFS($D$5:$D$238,$C$5:$C$238,$C13)/SUMIFS($I$5:$I$238,$C$5:$C$238,$C13),0)</f>
        <v>0.26049766718507</v>
      </c>
      <c r="V13" s="27" t="n">
        <f aca="false">IFERROR(SUMIFS($E$5:$E$238,$C$5:$C$238,$C13)/SUMIFS($I$5:$I$238,$C$5:$C$238,$C13),0)</f>
        <v>0.272161741835148</v>
      </c>
      <c r="W13" s="27" t="n">
        <f aca="false">IFERROR(SUMIFS($F$5:$F$238,$C$5:$C$238,$C13)/SUMIFS($I$5:$I$238,$C$5:$C$238,$C13),0)</f>
        <v>0.00777604976671851</v>
      </c>
      <c r="X13" s="27" t="n">
        <f aca="false">IFERROR(SUMIFS($G$5:$G$238,$C$5:$C$238,$C13)/SUMIFS($I$5:$I$238,$C$5:$C$238,$C13),0)</f>
        <v>0.0451010886469673</v>
      </c>
      <c r="Y13" s="27" t="n">
        <f aca="false">IFERROR(SUMIFS($H$5:$H$238,$C$5:$C$238,$C13)/SUMIFS($I$5:$I$238,$C$5:$C$238,$C13),0)</f>
        <v>0.414463452566096</v>
      </c>
      <c r="Z13" s="24" t="n">
        <f aca="false">LN(MAX(I13,1))</f>
        <v>4.35670882668959</v>
      </c>
      <c r="AA13" s="24" t="n">
        <f aca="false">Calibration!$M$35+Calibration!$N$35+SUMPRODUCT(Calibration!$B$35:$F$35,J13:N13)+SUMPRODUCT(Calibration!$G$35:$K$35,U13:Y13)+Calibration!$L$35*Z13</f>
        <v>-0.110599637938007</v>
      </c>
      <c r="AB13" s="24" t="n">
        <f aca="false">Calibration!$M$36+Calibration!$N$36+SUMPRODUCT(Calibration!$B$36:$F$36,J13:N13)+SUMPRODUCT(Calibration!$G$36:$K$36,U13:Y13)+Calibration!$L$36*Z13</f>
        <v>-0.237035742898031</v>
      </c>
      <c r="AC13" s="24" t="n">
        <f aca="false">Calibration!$M$37+Calibration!$N$37+SUMPRODUCT(Calibration!$B$37:$F$37,J13:N13)+SUMPRODUCT(Calibration!$G$37:$K$37,U13:Y13)+Calibration!$L$37*Z13</f>
        <v>1.17263608889521</v>
      </c>
      <c r="AD13" s="27" t="n">
        <f aca="false">EXP(AC13)/(EXP(AA13)+EXP(AB13)+EXP(AC13))</f>
        <v>0.657305532482465</v>
      </c>
      <c r="AE13" s="7" t="str">
        <f aca="false">IF(AC13=MAX(AA13:AC13),"TVK",IF(AB13=MAX(AA13:AC13),"DMK+","AIADMK+"))</f>
        <v>TVK</v>
      </c>
      <c r="AF13" s="7" t="str">
        <f aca="false">IF(AE13=R13,"Yes","No")</f>
        <v>Yes</v>
      </c>
      <c r="AG13" s="7" t="str">
        <f aca="false">IF(AE13=P13,"No","Yes")</f>
        <v>No</v>
      </c>
      <c r="AH13" s="7" t="str">
        <f aca="false">IF(H13=MAX(D13,E13,H13),"TVK",IF(E13=MAX(D13,E13,H13),"DMK+","AIADMK+"))</f>
        <v>TVK</v>
      </c>
      <c r="AI13" s="27" t="n">
        <f aca="false">EXP(AA13)/(EXP(AA13)+EXP(AB13)+EXP(AC13))</f>
        <v>0.182165064779231</v>
      </c>
      <c r="AJ13" s="27" t="n">
        <f aca="false">EXP(AB13)/(EXP(AA13)+EXP(AB13)+EXP(AC13))</f>
        <v>0.160529402738304</v>
      </c>
      <c r="AK13" s="28" t="s">
        <v>3</v>
      </c>
      <c r="AL13" s="7" t="str">
        <f aca="false">IF(AK13=R13,"Yes","No")</f>
        <v>Yes</v>
      </c>
      <c r="AM13" s="27" t="n">
        <f aca="false">IF(AK13="TVK",AD13,IF(AK13="DMK+",AJ13,AI13))</f>
        <v>0.657305532482465</v>
      </c>
      <c r="AN13" s="7" t="str">
        <f aca="false">IF(AK13=P13,"No","Yes")</f>
        <v>No</v>
      </c>
    </row>
    <row r="14" customFormat="false" ht="15" hidden="true" customHeight="false" outlineLevel="0" collapsed="false">
      <c r="A14" s="0" t="n">
        <v>10</v>
      </c>
      <c r="B14" s="4" t="s">
        <v>203</v>
      </c>
      <c r="C14" s="5" t="s">
        <v>96</v>
      </c>
      <c r="D14" s="35" t="n">
        <v>11</v>
      </c>
      <c r="E14" s="35" t="n">
        <v>19</v>
      </c>
      <c r="F14" s="35"/>
      <c r="G14" s="35" t="n">
        <v>5</v>
      </c>
      <c r="H14" s="35" t="n">
        <v>18</v>
      </c>
      <c r="I14" s="5" t="n">
        <f aca="false">SUM(D14:H14)</f>
        <v>53</v>
      </c>
      <c r="J14" s="10" t="n">
        <f aca="false">IF($I14=0,0,D14/$I14)</f>
        <v>0.207547169811321</v>
      </c>
      <c r="K14" s="10" t="n">
        <f aca="false">IF($I14=0,0,E14/$I14)</f>
        <v>0.358490566037736</v>
      </c>
      <c r="L14" s="10" t="n">
        <f aca="false">IF($I14=0,0,F14/$I14)</f>
        <v>0</v>
      </c>
      <c r="M14" s="10" t="n">
        <f aca="false">IF($I14=0,0,G14/$I14)</f>
        <v>0.0943396226415094</v>
      </c>
      <c r="N14" s="10" t="n">
        <f aca="false">IF($I14=0,0,H14/$I14)</f>
        <v>0.339622641509434</v>
      </c>
      <c r="O14" s="35" t="s">
        <v>197</v>
      </c>
      <c r="P14" s="0" t="str">
        <f aca="false">IF(O14="TVK","TVK",IF(O14="DMK","DMK+",IF(O14="ADMK","AIADMK+","")))</f>
        <v>DMK+</v>
      </c>
      <c r="Q14" s="35" t="s">
        <v>3</v>
      </c>
      <c r="R14" s="36" t="s">
        <v>3</v>
      </c>
      <c r="S14" s="0" t="str">
        <f aca="false">IF(P14=R14,"Yes","No")</f>
        <v>No</v>
      </c>
      <c r="T14" s="2"/>
      <c r="U14" s="27" t="n">
        <f aca="false">IFERROR(SUMIFS($D$5:$D$238,$C$5:$C$238,$C14)/SUMIFS($I$5:$I$238,$C$5:$C$238,$C14),0)</f>
        <v>0.26049766718507</v>
      </c>
      <c r="V14" s="27" t="n">
        <f aca="false">IFERROR(SUMIFS($E$5:$E$238,$C$5:$C$238,$C14)/SUMIFS($I$5:$I$238,$C$5:$C$238,$C14),0)</f>
        <v>0.272161741835148</v>
      </c>
      <c r="W14" s="27" t="n">
        <f aca="false">IFERROR(SUMIFS($F$5:$F$238,$C$5:$C$238,$C14)/SUMIFS($I$5:$I$238,$C$5:$C$238,$C14),0)</f>
        <v>0.00777604976671851</v>
      </c>
      <c r="X14" s="27" t="n">
        <f aca="false">IFERROR(SUMIFS($G$5:$G$238,$C$5:$C$238,$C14)/SUMIFS($I$5:$I$238,$C$5:$C$238,$C14),0)</f>
        <v>0.0451010886469673</v>
      </c>
      <c r="Y14" s="27" t="n">
        <f aca="false">IFERROR(SUMIFS($H$5:$H$238,$C$5:$C$238,$C14)/SUMIFS($I$5:$I$238,$C$5:$C$238,$C14),0)</f>
        <v>0.414463452566096</v>
      </c>
      <c r="Z14" s="24" t="n">
        <f aca="false">LN(MAX(I14,1))</f>
        <v>3.97029191355212</v>
      </c>
      <c r="AA14" s="24" t="n">
        <f aca="false">Calibration!$M$35+Calibration!$N$35+SUMPRODUCT(Calibration!$B$35:$F$35,J14:N14)+SUMPRODUCT(Calibration!$G$35:$K$35,U14:Y14)+Calibration!$L$35*Z14</f>
        <v>-0.0686033510536741</v>
      </c>
      <c r="AB14" s="24" t="n">
        <f aca="false">Calibration!$M$36+Calibration!$N$36+SUMPRODUCT(Calibration!$B$36:$F$36,J14:N14)+SUMPRODUCT(Calibration!$G$36:$K$36,U14:Y14)+Calibration!$L$36*Z14</f>
        <v>0.26349421764272</v>
      </c>
      <c r="AC14" s="24" t="n">
        <f aca="false">Calibration!$M$37+Calibration!$N$37+SUMPRODUCT(Calibration!$B$37:$F$37,J14:N14)+SUMPRODUCT(Calibration!$G$37:$K$37,U14:Y14)+Calibration!$L$37*Z14</f>
        <v>0.630109745195338</v>
      </c>
      <c r="AD14" s="27" t="n">
        <f aca="false">EXP(AC14)/(EXP(AA14)+EXP(AB14)+EXP(AC14))</f>
        <v>0.456558288230565</v>
      </c>
      <c r="AE14" s="7" t="str">
        <f aca="false">IF(AC14=MAX(AA14:AC14),"TVK",IF(AB14=MAX(AA14:AC14),"DMK+","AIADMK+"))</f>
        <v>TVK</v>
      </c>
      <c r="AF14" s="7" t="str">
        <f aca="false">IF(AE14=R14,"Yes","No")</f>
        <v>Yes</v>
      </c>
      <c r="AG14" s="7" t="str">
        <f aca="false">IF(AE14=P14,"No","Yes")</f>
        <v>Yes</v>
      </c>
      <c r="AH14" s="7" t="str">
        <f aca="false">IF(H14=MAX(D14,E14,H14),"TVK",IF(E14=MAX(D14,E14,H14),"DMK+","AIADMK+"))</f>
        <v>DMK+</v>
      </c>
      <c r="AI14" s="27" t="n">
        <f aca="false">EXP(AA14)/(EXP(AA14)+EXP(AB14)+EXP(AC14))</f>
        <v>0.227012091071817</v>
      </c>
      <c r="AJ14" s="27" t="n">
        <f aca="false">EXP(AB14)/(EXP(AA14)+EXP(AB14)+EXP(AC14))</f>
        <v>0.316429620697618</v>
      </c>
      <c r="AK14" s="28" t="s">
        <v>3</v>
      </c>
      <c r="AL14" s="7" t="str">
        <f aca="false">IF(AK14=R14,"Yes","No")</f>
        <v>Yes</v>
      </c>
      <c r="AM14" s="27" t="n">
        <f aca="false">IF(AK14="TVK",AD14,IF(AK14="DMK+",AJ14,AI14))</f>
        <v>0.456558288230565</v>
      </c>
      <c r="AN14" s="7" t="str">
        <f aca="false">IF(AK14=P14,"No","Yes")</f>
        <v>Yes</v>
      </c>
    </row>
    <row r="15" customFormat="false" ht="15" hidden="false" customHeight="false" outlineLevel="0" collapsed="false">
      <c r="A15" s="0" t="n">
        <v>11</v>
      </c>
      <c r="B15" s="4" t="s">
        <v>204</v>
      </c>
      <c r="C15" s="5" t="s">
        <v>96</v>
      </c>
      <c r="D15" s="35" t="n">
        <v>10</v>
      </c>
      <c r="E15" s="35" t="n">
        <v>16</v>
      </c>
      <c r="F15" s="35"/>
      <c r="G15" s="35" t="n">
        <v>3</v>
      </c>
      <c r="H15" s="35" t="n">
        <v>25</v>
      </c>
      <c r="I15" s="5" t="n">
        <f aca="false">SUM(D15:H15)</f>
        <v>54</v>
      </c>
      <c r="J15" s="10" t="n">
        <f aca="false">IF($I15=0,0,D15/$I15)</f>
        <v>0.185185185185185</v>
      </c>
      <c r="K15" s="10" t="n">
        <f aca="false">IF($I15=0,0,E15/$I15)</f>
        <v>0.296296296296296</v>
      </c>
      <c r="L15" s="10" t="n">
        <f aca="false">IF($I15=0,0,F15/$I15)</f>
        <v>0</v>
      </c>
      <c r="M15" s="10" t="n">
        <f aca="false">IF($I15=0,0,G15/$I15)</f>
        <v>0.0555555555555556</v>
      </c>
      <c r="N15" s="10" t="n">
        <f aca="false">IF($I15=0,0,H15/$I15)</f>
        <v>0.462962962962963</v>
      </c>
      <c r="O15" s="35" t="s">
        <v>3</v>
      </c>
      <c r="P15" s="0" t="str">
        <f aca="false">IF(O15="TVK","TVK",IF(O15="DMK","DMK+",IF(O15="ADMK","AIADMK+","")))</f>
        <v>TVK</v>
      </c>
      <c r="Q15" s="35" t="s">
        <v>3</v>
      </c>
      <c r="R15" s="36" t="s">
        <v>3</v>
      </c>
      <c r="S15" s="0" t="str">
        <f aca="false">IF(P15=R15,"Yes","No")</f>
        <v>Yes</v>
      </c>
      <c r="T15" s="2"/>
      <c r="U15" s="27" t="n">
        <f aca="false">IFERROR(SUMIFS($D$5:$D$238,$C$5:$C$238,$C15)/SUMIFS($I$5:$I$238,$C$5:$C$238,$C15),0)</f>
        <v>0.26049766718507</v>
      </c>
      <c r="V15" s="27" t="n">
        <f aca="false">IFERROR(SUMIFS($E$5:$E$238,$C$5:$C$238,$C15)/SUMIFS($I$5:$I$238,$C$5:$C$238,$C15),0)</f>
        <v>0.272161741835148</v>
      </c>
      <c r="W15" s="27" t="n">
        <f aca="false">IFERROR(SUMIFS($F$5:$F$238,$C$5:$C$238,$C15)/SUMIFS($I$5:$I$238,$C$5:$C$238,$C15),0)</f>
        <v>0.00777604976671851</v>
      </c>
      <c r="X15" s="27" t="n">
        <f aca="false">IFERROR(SUMIFS($G$5:$G$238,$C$5:$C$238,$C15)/SUMIFS($I$5:$I$238,$C$5:$C$238,$C15),0)</f>
        <v>0.0451010886469673</v>
      </c>
      <c r="Y15" s="27" t="n">
        <f aca="false">IFERROR(SUMIFS($H$5:$H$238,$C$5:$C$238,$C15)/SUMIFS($I$5:$I$238,$C$5:$C$238,$C15),0)</f>
        <v>0.414463452566096</v>
      </c>
      <c r="Z15" s="24" t="n">
        <f aca="false">LN(MAX(I15,1))</f>
        <v>3.98898404656427</v>
      </c>
      <c r="AA15" s="24" t="n">
        <f aca="false">Calibration!$M$35+Calibration!$N$35+SUMPRODUCT(Calibration!$B$35:$F$35,J15:N15)+SUMPRODUCT(Calibration!$G$35:$K$35,U15:Y15)+Calibration!$L$35*Z15</f>
        <v>-0.0770743453073806</v>
      </c>
      <c r="AB15" s="24" t="n">
        <f aca="false">Calibration!$M$36+Calibration!$N$36+SUMPRODUCT(Calibration!$B$36:$F$36,J15:N15)+SUMPRODUCT(Calibration!$G$36:$K$36,U15:Y15)+Calibration!$L$36*Z15</f>
        <v>0.156626488051187</v>
      </c>
      <c r="AC15" s="24" t="n">
        <f aca="false">Calibration!$M$37+Calibration!$N$37+SUMPRODUCT(Calibration!$B$37:$F$37,J15:N15)+SUMPRODUCT(Calibration!$G$37:$K$37,U15:Y15)+Calibration!$L$37*Z15</f>
        <v>0.745448592380898</v>
      </c>
      <c r="AD15" s="27" t="n">
        <f aca="false">EXP(AC15)/(EXP(AA15)+EXP(AB15)+EXP(AC15))</f>
        <v>0.50142844866302</v>
      </c>
      <c r="AE15" s="7" t="str">
        <f aca="false">IF(AC15=MAX(AA15:AC15),"TVK",IF(AB15=MAX(AA15:AC15),"DMK+","AIADMK+"))</f>
        <v>TVK</v>
      </c>
      <c r="AF15" s="7" t="str">
        <f aca="false">IF(AE15=R15,"Yes","No")</f>
        <v>Yes</v>
      </c>
      <c r="AG15" s="7" t="str">
        <f aca="false">IF(AE15=P15,"No","Yes")</f>
        <v>No</v>
      </c>
      <c r="AH15" s="7" t="str">
        <f aca="false">IF(H15=MAX(D15,E15,H15),"TVK",IF(E15=MAX(D15,E15,H15),"DMK+","AIADMK+"))</f>
        <v>TVK</v>
      </c>
      <c r="AI15" s="27" t="n">
        <f aca="false">EXP(AA15)/(EXP(AA15)+EXP(AB15)+EXP(AC15))</f>
        <v>0.220288485457062</v>
      </c>
      <c r="AJ15" s="27" t="n">
        <f aca="false">EXP(AB15)/(EXP(AA15)+EXP(AB15)+EXP(AC15))</f>
        <v>0.278283065879919</v>
      </c>
      <c r="AK15" s="28" t="s">
        <v>3</v>
      </c>
      <c r="AL15" s="7" t="str">
        <f aca="false">IF(AK15=R15,"Yes","No")</f>
        <v>Yes</v>
      </c>
      <c r="AM15" s="27" t="n">
        <f aca="false">IF(AK15="TVK",AD15,IF(AK15="DMK+",AJ15,AI15))</f>
        <v>0.50142844866302</v>
      </c>
      <c r="AN15" s="7" t="str">
        <f aca="false">IF(AK15=P15,"No","Yes")</f>
        <v>No</v>
      </c>
    </row>
    <row r="16" customFormat="false" ht="15" hidden="false" customHeight="false" outlineLevel="0" collapsed="false">
      <c r="A16" s="0" t="n">
        <v>12</v>
      </c>
      <c r="B16" s="4" t="s">
        <v>205</v>
      </c>
      <c r="C16" s="5" t="s">
        <v>96</v>
      </c>
      <c r="D16" s="35" t="n">
        <v>9</v>
      </c>
      <c r="E16" s="35" t="n">
        <v>22</v>
      </c>
      <c r="F16" s="35"/>
      <c r="G16" s="35" t="n">
        <v>4</v>
      </c>
      <c r="H16" s="35" t="n">
        <v>60</v>
      </c>
      <c r="I16" s="5" t="n">
        <f aca="false">SUM(D16:H16)</f>
        <v>95</v>
      </c>
      <c r="J16" s="10" t="n">
        <f aca="false">IF($I16=0,0,D16/$I16)</f>
        <v>0.0947368421052632</v>
      </c>
      <c r="K16" s="10" t="n">
        <f aca="false">IF($I16=0,0,E16/$I16)</f>
        <v>0.231578947368421</v>
      </c>
      <c r="L16" s="10" t="n">
        <f aca="false">IF($I16=0,0,F16/$I16)</f>
        <v>0</v>
      </c>
      <c r="M16" s="10" t="n">
        <f aca="false">IF($I16=0,0,G16/$I16)</f>
        <v>0.0421052631578947</v>
      </c>
      <c r="N16" s="10" t="n">
        <f aca="false">IF($I16=0,0,H16/$I16)</f>
        <v>0.631578947368421</v>
      </c>
      <c r="O16" s="35" t="s">
        <v>3</v>
      </c>
      <c r="P16" s="0" t="str">
        <f aca="false">IF(O16="TVK","TVK",IF(O16="DMK","DMK+",IF(O16="ADMK","AIADMK+","")))</f>
        <v>TVK</v>
      </c>
      <c r="Q16" s="35" t="s">
        <v>3</v>
      </c>
      <c r="R16" s="36" t="s">
        <v>3</v>
      </c>
      <c r="S16" s="0" t="str">
        <f aca="false">IF(P16=R16,"Yes","No")</f>
        <v>Yes</v>
      </c>
      <c r="T16" s="2"/>
      <c r="U16" s="27" t="n">
        <f aca="false">IFERROR(SUMIFS($D$5:$D$238,$C$5:$C$238,$C16)/SUMIFS($I$5:$I$238,$C$5:$C$238,$C16),0)</f>
        <v>0.26049766718507</v>
      </c>
      <c r="V16" s="27" t="n">
        <f aca="false">IFERROR(SUMIFS($E$5:$E$238,$C$5:$C$238,$C16)/SUMIFS($I$5:$I$238,$C$5:$C$238,$C16),0)</f>
        <v>0.272161741835148</v>
      </c>
      <c r="W16" s="27" t="n">
        <f aca="false">IFERROR(SUMIFS($F$5:$F$238,$C$5:$C$238,$C16)/SUMIFS($I$5:$I$238,$C$5:$C$238,$C16),0)</f>
        <v>0.00777604976671851</v>
      </c>
      <c r="X16" s="27" t="n">
        <f aca="false">IFERROR(SUMIFS($G$5:$G$238,$C$5:$C$238,$C16)/SUMIFS($I$5:$I$238,$C$5:$C$238,$C16),0)</f>
        <v>0.0451010886469673</v>
      </c>
      <c r="Y16" s="27" t="n">
        <f aca="false">IFERROR(SUMIFS($H$5:$H$238,$C$5:$C$238,$C16)/SUMIFS($I$5:$I$238,$C$5:$C$238,$C16),0)</f>
        <v>0.414463452566096</v>
      </c>
      <c r="Z16" s="24" t="n">
        <f aca="false">LN(MAX(I16,1))</f>
        <v>4.55387689160054</v>
      </c>
      <c r="AA16" s="24" t="n">
        <f aca="false">Calibration!$M$35+Calibration!$N$35+SUMPRODUCT(Calibration!$B$35:$F$35,J16:N16)+SUMPRODUCT(Calibration!$G$35:$K$35,U16:Y16)+Calibration!$L$35*Z16</f>
        <v>-0.437309849210272</v>
      </c>
      <c r="AB16" s="24" t="n">
        <f aca="false">Calibration!$M$36+Calibration!$N$36+SUMPRODUCT(Calibration!$B$36:$F$36,J16:N16)+SUMPRODUCT(Calibration!$G$36:$K$36,U16:Y16)+Calibration!$L$36*Z16</f>
        <v>-0.246153478965003</v>
      </c>
      <c r="AC16" s="24" t="n">
        <f aca="false">Calibration!$M$37+Calibration!$N$37+SUMPRODUCT(Calibration!$B$37:$F$37,J16:N16)+SUMPRODUCT(Calibration!$G$37:$K$37,U16:Y16)+Calibration!$L$37*Z16</f>
        <v>1.50846423191596</v>
      </c>
      <c r="AD16" s="27" t="n">
        <f aca="false">EXP(AC16)/(EXP(AA16)+EXP(AB16)+EXP(AC16))</f>
        <v>0.759965077450261</v>
      </c>
      <c r="AE16" s="7" t="str">
        <f aca="false">IF(AC16=MAX(AA16:AC16),"TVK",IF(AB16=MAX(AA16:AC16),"DMK+","AIADMK+"))</f>
        <v>TVK</v>
      </c>
      <c r="AF16" s="7" t="str">
        <f aca="false">IF(AE16=R16,"Yes","No")</f>
        <v>Yes</v>
      </c>
      <c r="AG16" s="7" t="str">
        <f aca="false">IF(AE16=P16,"No","Yes")</f>
        <v>No</v>
      </c>
      <c r="AH16" s="7" t="str">
        <f aca="false">IF(H16=MAX(D16,E16,H16),"TVK",IF(E16=MAX(D16,E16,H16),"DMK+","AIADMK+"))</f>
        <v>TVK</v>
      </c>
      <c r="AI16" s="27" t="n">
        <f aca="false">EXP(AA16)/(EXP(AA16)+EXP(AB16)+EXP(AC16))</f>
        <v>0.108581213051431</v>
      </c>
      <c r="AJ16" s="27" t="n">
        <f aca="false">EXP(AB16)/(EXP(AA16)+EXP(AB16)+EXP(AC16))</f>
        <v>0.131453709498308</v>
      </c>
      <c r="AK16" s="28" t="s">
        <v>3</v>
      </c>
      <c r="AL16" s="7" t="str">
        <f aca="false">IF(AK16=R16,"Yes","No")</f>
        <v>Yes</v>
      </c>
      <c r="AM16" s="27" t="n">
        <f aca="false">IF(AK16="TVK",AD16,IF(AK16="DMK+",AJ16,AI16))</f>
        <v>0.759965077450261</v>
      </c>
      <c r="AN16" s="7" t="str">
        <f aca="false">IF(AK16=P16,"No","Yes")</f>
        <v>No</v>
      </c>
    </row>
    <row r="17" customFormat="false" ht="15" hidden="false" customHeight="false" outlineLevel="0" collapsed="false">
      <c r="A17" s="0" t="n">
        <v>13</v>
      </c>
      <c r="B17" s="4" t="s">
        <v>206</v>
      </c>
      <c r="C17" s="5" t="s">
        <v>96</v>
      </c>
      <c r="D17" s="35" t="n">
        <v>15</v>
      </c>
      <c r="E17" s="35" t="n">
        <v>14</v>
      </c>
      <c r="F17" s="35" t="n">
        <v>1</v>
      </c>
      <c r="G17" s="35"/>
      <c r="H17" s="35" t="n">
        <v>33</v>
      </c>
      <c r="I17" s="5" t="n">
        <f aca="false">SUM(D17:H17)</f>
        <v>63</v>
      </c>
      <c r="J17" s="10" t="n">
        <f aca="false">IF($I17=0,0,D17/$I17)</f>
        <v>0.238095238095238</v>
      </c>
      <c r="K17" s="10" t="n">
        <f aca="false">IF($I17=0,0,E17/$I17)</f>
        <v>0.222222222222222</v>
      </c>
      <c r="L17" s="10" t="n">
        <f aca="false">IF($I17=0,0,F17/$I17)</f>
        <v>0.0158730158730159</v>
      </c>
      <c r="M17" s="10" t="n">
        <f aca="false">IF($I17=0,0,G17/$I17)</f>
        <v>0</v>
      </c>
      <c r="N17" s="10" t="n">
        <f aca="false">IF($I17=0,0,H17/$I17)</f>
        <v>0.523809523809524</v>
      </c>
      <c r="O17" s="35" t="s">
        <v>3</v>
      </c>
      <c r="P17" s="0" t="str">
        <f aca="false">IF(O17="TVK","TVK",IF(O17="DMK","DMK+",IF(O17="ADMK","AIADMK+","")))</f>
        <v>TVK</v>
      </c>
      <c r="Q17" s="35" t="s">
        <v>3</v>
      </c>
      <c r="R17" s="36" t="s">
        <v>3</v>
      </c>
      <c r="S17" s="0" t="str">
        <f aca="false">IF(P17=R17,"Yes","No")</f>
        <v>Yes</v>
      </c>
      <c r="T17" s="2"/>
      <c r="U17" s="27" t="n">
        <f aca="false">IFERROR(SUMIFS($D$5:$D$238,$C$5:$C$238,$C17)/SUMIFS($I$5:$I$238,$C$5:$C$238,$C17),0)</f>
        <v>0.26049766718507</v>
      </c>
      <c r="V17" s="27" t="n">
        <f aca="false">IFERROR(SUMIFS($E$5:$E$238,$C$5:$C$238,$C17)/SUMIFS($I$5:$I$238,$C$5:$C$238,$C17),0)</f>
        <v>0.272161741835148</v>
      </c>
      <c r="W17" s="27" t="n">
        <f aca="false">IFERROR(SUMIFS($F$5:$F$238,$C$5:$C$238,$C17)/SUMIFS($I$5:$I$238,$C$5:$C$238,$C17),0)</f>
        <v>0.00777604976671851</v>
      </c>
      <c r="X17" s="27" t="n">
        <f aca="false">IFERROR(SUMIFS($G$5:$G$238,$C$5:$C$238,$C17)/SUMIFS($I$5:$I$238,$C$5:$C$238,$C17),0)</f>
        <v>0.0451010886469673</v>
      </c>
      <c r="Y17" s="27" t="n">
        <f aca="false">IFERROR(SUMIFS($H$5:$H$238,$C$5:$C$238,$C17)/SUMIFS($I$5:$I$238,$C$5:$C$238,$C17),0)</f>
        <v>0.414463452566096</v>
      </c>
      <c r="Z17" s="24" t="n">
        <f aca="false">LN(MAX(I17,1))</f>
        <v>4.14313472639153</v>
      </c>
      <c r="AA17" s="24" t="n">
        <f aca="false">Calibration!$M$35+Calibration!$N$35+SUMPRODUCT(Calibration!$B$35:$F$35,J17:N17)+SUMPRODUCT(Calibration!$G$35:$K$35,U17:Y17)+Calibration!$L$35*Z17</f>
        <v>-0.0683316435288912</v>
      </c>
      <c r="AB17" s="24" t="n">
        <f aca="false">Calibration!$M$36+Calibration!$N$36+SUMPRODUCT(Calibration!$B$36:$F$36,J17:N17)+SUMPRODUCT(Calibration!$G$36:$K$36,U17:Y17)+Calibration!$L$36*Z17</f>
        <v>-0.0911411040533201</v>
      </c>
      <c r="AC17" s="24" t="n">
        <f aca="false">Calibration!$M$37+Calibration!$N$37+SUMPRODUCT(Calibration!$B$37:$F$37,J17:N17)+SUMPRODUCT(Calibration!$G$37:$K$37,U17:Y17)+Calibration!$L$37*Z17</f>
        <v>0.984473543553476</v>
      </c>
      <c r="AD17" s="27" t="n">
        <f aca="false">EXP(AC17)/(EXP(AA17)+EXP(AB17)+EXP(AC17))</f>
        <v>0.591700036939545</v>
      </c>
      <c r="AE17" s="7" t="str">
        <f aca="false">IF(AC17=MAX(AA17:AC17),"TVK",IF(AB17=MAX(AA17:AC17),"DMK+","AIADMK+"))</f>
        <v>TVK</v>
      </c>
      <c r="AF17" s="7" t="str">
        <f aca="false">IF(AE17=R17,"Yes","No")</f>
        <v>Yes</v>
      </c>
      <c r="AG17" s="7" t="str">
        <f aca="false">IF(AE17=P17,"No","Yes")</f>
        <v>No</v>
      </c>
      <c r="AH17" s="7" t="str">
        <f aca="false">IF(H17=MAX(D17,E17,H17),"TVK",IF(E17=MAX(D17,E17,H17),"DMK+","AIADMK+"))</f>
        <v>TVK</v>
      </c>
      <c r="AI17" s="27" t="n">
        <f aca="false">EXP(AA17)/(EXP(AA17)+EXP(AB17)+EXP(AC17))</f>
        <v>0.206478156063255</v>
      </c>
      <c r="AJ17" s="27" t="n">
        <f aca="false">EXP(AB17)/(EXP(AA17)+EXP(AB17)+EXP(AC17))</f>
        <v>0.2018218069972</v>
      </c>
      <c r="AK17" s="28" t="s">
        <v>3</v>
      </c>
      <c r="AL17" s="7" t="str">
        <f aca="false">IF(AK17=R17,"Yes","No")</f>
        <v>Yes</v>
      </c>
      <c r="AM17" s="27" t="n">
        <f aca="false">IF(AK17="TVK",AD17,IF(AK17="DMK+",AJ17,AI17))</f>
        <v>0.591700036939545</v>
      </c>
      <c r="AN17" s="7" t="str">
        <f aca="false">IF(AK17=P17,"No","Yes")</f>
        <v>No</v>
      </c>
    </row>
    <row r="18" customFormat="false" ht="15" hidden="true" customHeight="false" outlineLevel="0" collapsed="false">
      <c r="A18" s="0" t="n">
        <v>14</v>
      </c>
      <c r="B18" s="4" t="s">
        <v>207</v>
      </c>
      <c r="C18" s="5" t="s">
        <v>96</v>
      </c>
      <c r="D18" s="35" t="n">
        <v>5</v>
      </c>
      <c r="E18" s="35" t="n">
        <v>26</v>
      </c>
      <c r="F18" s="35"/>
      <c r="G18" s="35" t="n">
        <v>2</v>
      </c>
      <c r="H18" s="35" t="n">
        <v>22</v>
      </c>
      <c r="I18" s="5" t="n">
        <f aca="false">SUM(D18:H18)</f>
        <v>55</v>
      </c>
      <c r="J18" s="10" t="n">
        <f aca="false">IF($I18=0,0,D18/$I18)</f>
        <v>0.0909090909090909</v>
      </c>
      <c r="K18" s="10" t="n">
        <f aca="false">IF($I18=0,0,E18/$I18)</f>
        <v>0.472727272727273</v>
      </c>
      <c r="L18" s="10" t="n">
        <f aca="false">IF($I18=0,0,F18/$I18)</f>
        <v>0</v>
      </c>
      <c r="M18" s="10" t="n">
        <f aca="false">IF($I18=0,0,G18/$I18)</f>
        <v>0.0363636363636364</v>
      </c>
      <c r="N18" s="10" t="n">
        <f aca="false">IF($I18=0,0,H18/$I18)</f>
        <v>0.4</v>
      </c>
      <c r="O18" s="35" t="s">
        <v>197</v>
      </c>
      <c r="P18" s="0" t="str">
        <f aca="false">IF(O18="TVK","TVK",IF(O18="DMK","DMK+",IF(O18="ADMK","AIADMK+","")))</f>
        <v>DMK+</v>
      </c>
      <c r="Q18" s="35" t="s">
        <v>3</v>
      </c>
      <c r="R18" s="36" t="s">
        <v>3</v>
      </c>
      <c r="S18" s="0" t="str">
        <f aca="false">IF(P18=R18,"Yes","No")</f>
        <v>No</v>
      </c>
      <c r="T18" s="2"/>
      <c r="U18" s="27" t="n">
        <f aca="false">IFERROR(SUMIFS($D$5:$D$238,$C$5:$C$238,$C18)/SUMIFS($I$5:$I$238,$C$5:$C$238,$C18),0)</f>
        <v>0.26049766718507</v>
      </c>
      <c r="V18" s="27" t="n">
        <f aca="false">IFERROR(SUMIFS($E$5:$E$238,$C$5:$C$238,$C18)/SUMIFS($I$5:$I$238,$C$5:$C$238,$C18),0)</f>
        <v>0.272161741835148</v>
      </c>
      <c r="W18" s="27" t="n">
        <f aca="false">IFERROR(SUMIFS($F$5:$F$238,$C$5:$C$238,$C18)/SUMIFS($I$5:$I$238,$C$5:$C$238,$C18),0)</f>
        <v>0.00777604976671851</v>
      </c>
      <c r="X18" s="27" t="n">
        <f aca="false">IFERROR(SUMIFS($G$5:$G$238,$C$5:$C$238,$C18)/SUMIFS($I$5:$I$238,$C$5:$C$238,$C18),0)</f>
        <v>0.0451010886469673</v>
      </c>
      <c r="Y18" s="27" t="n">
        <f aca="false">IFERROR(SUMIFS($H$5:$H$238,$C$5:$C$238,$C18)/SUMIFS($I$5:$I$238,$C$5:$C$238,$C18),0)</f>
        <v>0.414463452566096</v>
      </c>
      <c r="Z18" s="24" t="n">
        <f aca="false">LN(MAX(I18,1))</f>
        <v>4.00733318523247</v>
      </c>
      <c r="AA18" s="24" t="n">
        <f aca="false">Calibration!$M$35+Calibration!$N$35+SUMPRODUCT(Calibration!$B$35:$F$35,J18:N18)+SUMPRODUCT(Calibration!$G$35:$K$35,U18:Y18)+Calibration!$L$35*Z18</f>
        <v>-0.288626532322486</v>
      </c>
      <c r="AB18" s="24" t="n">
        <f aca="false">Calibration!$M$36+Calibration!$N$36+SUMPRODUCT(Calibration!$B$36:$F$36,J18:N18)+SUMPRODUCT(Calibration!$G$36:$K$36,U18:Y18)+Calibration!$L$36*Z18</f>
        <v>0.431968495650531</v>
      </c>
      <c r="AC18" s="24" t="n">
        <f aca="false">Calibration!$M$37+Calibration!$N$37+SUMPRODUCT(Calibration!$B$37:$F$37,J18:N18)+SUMPRODUCT(Calibration!$G$37:$K$37,U18:Y18)+Calibration!$L$37*Z18</f>
        <v>0.681658708833696</v>
      </c>
      <c r="AD18" s="27" t="n">
        <f aca="false">EXP(AC18)/(EXP(AA18)+EXP(AB18)+EXP(AC18))</f>
        <v>0.463388377929024</v>
      </c>
      <c r="AE18" s="7" t="str">
        <f aca="false">IF(AC18=MAX(AA18:AC18),"TVK",IF(AB18=MAX(AA18:AC18),"DMK+","AIADMK+"))</f>
        <v>TVK</v>
      </c>
      <c r="AF18" s="7" t="str">
        <f aca="false">IF(AE18=R18,"Yes","No")</f>
        <v>Yes</v>
      </c>
      <c r="AG18" s="7" t="str">
        <f aca="false">IF(AE18=P18,"No","Yes")</f>
        <v>Yes</v>
      </c>
      <c r="AH18" s="7" t="str">
        <f aca="false">IF(H18=MAX(D18,E18,H18),"TVK",IF(E18=MAX(D18,E18,H18),"DMK+","AIADMK+"))</f>
        <v>DMK+</v>
      </c>
      <c r="AI18" s="27" t="n">
        <f aca="false">EXP(AA18)/(EXP(AA18)+EXP(AB18)+EXP(AC18))</f>
        <v>0.175612575048373</v>
      </c>
      <c r="AJ18" s="27" t="n">
        <f aca="false">EXP(AB18)/(EXP(AA18)+EXP(AB18)+EXP(AC18))</f>
        <v>0.360999047022603</v>
      </c>
      <c r="AK18" s="28" t="s">
        <v>3</v>
      </c>
      <c r="AL18" s="7" t="str">
        <f aca="false">IF(AK18=R18,"Yes","No")</f>
        <v>Yes</v>
      </c>
      <c r="AM18" s="27" t="n">
        <f aca="false">IF(AK18="TVK",AD18,IF(AK18="DMK+",AJ18,AI18))</f>
        <v>0.463388377929024</v>
      </c>
      <c r="AN18" s="7" t="str">
        <f aca="false">IF(AK18=P18,"No","Yes")</f>
        <v>Yes</v>
      </c>
    </row>
    <row r="19" customFormat="false" ht="15" hidden="false" customHeight="false" outlineLevel="0" collapsed="false">
      <c r="A19" s="0" t="n">
        <v>15</v>
      </c>
      <c r="B19" s="4" t="s">
        <v>208</v>
      </c>
      <c r="C19" s="5" t="s">
        <v>96</v>
      </c>
      <c r="D19" s="35" t="n">
        <v>4</v>
      </c>
      <c r="E19" s="35" t="n">
        <v>3</v>
      </c>
      <c r="F19" s="35"/>
      <c r="G19" s="35" t="n">
        <v>1</v>
      </c>
      <c r="H19" s="35" t="n">
        <v>16</v>
      </c>
      <c r="I19" s="5" t="n">
        <f aca="false">SUM(D19:H19)</f>
        <v>24</v>
      </c>
      <c r="J19" s="10" t="n">
        <f aca="false">IF($I19=0,0,D19/$I19)</f>
        <v>0.166666666666667</v>
      </c>
      <c r="K19" s="10" t="n">
        <f aca="false">IF($I19=0,0,E19/$I19)</f>
        <v>0.125</v>
      </c>
      <c r="L19" s="10" t="n">
        <f aca="false">IF($I19=0,0,F19/$I19)</f>
        <v>0</v>
      </c>
      <c r="M19" s="10" t="n">
        <f aca="false">IF($I19=0,0,G19/$I19)</f>
        <v>0.0416666666666667</v>
      </c>
      <c r="N19" s="10" t="n">
        <f aca="false">IF($I19=0,0,H19/$I19)</f>
        <v>0.666666666666667</v>
      </c>
      <c r="O19" s="35" t="s">
        <v>3</v>
      </c>
      <c r="P19" s="0" t="str">
        <f aca="false">IF(O19="TVK","TVK",IF(O19="DMK","DMK+",IF(O19="ADMK","AIADMK+","")))</f>
        <v>TVK</v>
      </c>
      <c r="Q19" s="35" t="s">
        <v>3</v>
      </c>
      <c r="R19" s="36" t="s">
        <v>3</v>
      </c>
      <c r="S19" s="0" t="str">
        <f aca="false">IF(P19=R19,"Yes","No")</f>
        <v>Yes</v>
      </c>
      <c r="T19" s="2"/>
      <c r="U19" s="27" t="n">
        <f aca="false">IFERROR(SUMIFS($D$5:$D$238,$C$5:$C$238,$C19)/SUMIFS($I$5:$I$238,$C$5:$C$238,$C19),0)</f>
        <v>0.26049766718507</v>
      </c>
      <c r="V19" s="27" t="n">
        <f aca="false">IFERROR(SUMIFS($E$5:$E$238,$C$5:$C$238,$C19)/SUMIFS($I$5:$I$238,$C$5:$C$238,$C19),0)</f>
        <v>0.272161741835148</v>
      </c>
      <c r="W19" s="27" t="n">
        <f aca="false">IFERROR(SUMIFS($F$5:$F$238,$C$5:$C$238,$C19)/SUMIFS($I$5:$I$238,$C$5:$C$238,$C19),0)</f>
        <v>0.00777604976671851</v>
      </c>
      <c r="X19" s="27" t="n">
        <f aca="false">IFERROR(SUMIFS($G$5:$G$238,$C$5:$C$238,$C19)/SUMIFS($I$5:$I$238,$C$5:$C$238,$C19),0)</f>
        <v>0.0451010886469673</v>
      </c>
      <c r="Y19" s="27" t="n">
        <f aca="false">IFERROR(SUMIFS($H$5:$H$238,$C$5:$C$238,$C19)/SUMIFS($I$5:$I$238,$C$5:$C$238,$C19),0)</f>
        <v>0.414463452566096</v>
      </c>
      <c r="Z19" s="24" t="n">
        <f aca="false">LN(MAX(I19,1))</f>
        <v>3.17805383034795</v>
      </c>
      <c r="AA19" s="24" t="n">
        <f aca="false">Calibration!$M$35+Calibration!$N$35+SUMPRODUCT(Calibration!$B$35:$F$35,J19:N19)+SUMPRODUCT(Calibration!$G$35:$K$35,U19:Y19)+Calibration!$L$35*Z19</f>
        <v>0.417312557136614</v>
      </c>
      <c r="AB19" s="24" t="n">
        <f aca="false">Calibration!$M$36+Calibration!$N$36+SUMPRODUCT(Calibration!$B$36:$F$36,J19:N19)+SUMPRODUCT(Calibration!$G$36:$K$36,U19:Y19)+Calibration!$L$36*Z19</f>
        <v>0.418187992001122</v>
      </c>
      <c r="AC19" s="24" t="n">
        <f aca="false">Calibration!$M$37+Calibration!$N$37+SUMPRODUCT(Calibration!$B$37:$F$37,J19:N19)+SUMPRODUCT(Calibration!$G$37:$K$37,U19:Y19)+Calibration!$L$37*Z19</f>
        <v>-0.0104996103093282</v>
      </c>
      <c r="AD19" s="27" t="n">
        <f aca="false">EXP(AC19)/(EXP(AA19)+EXP(AB19)+EXP(AC19))</f>
        <v>0.245752216463381</v>
      </c>
      <c r="AE19" s="7" t="str">
        <f aca="false">IF(AC19=MAX(AA19:AC19),"TVK",IF(AB19=MAX(AA19:AC19),"DMK+","AIADMK+"))</f>
        <v>DMK+</v>
      </c>
      <c r="AF19" s="7" t="str">
        <f aca="false">IF(AE19=R19,"Yes","No")</f>
        <v>No</v>
      </c>
      <c r="AG19" s="7" t="str">
        <f aca="false">IF(AE19=P19,"No","Yes")</f>
        <v>Yes</v>
      </c>
      <c r="AH19" s="7" t="str">
        <f aca="false">IF(H19=MAX(D19,E19,H19),"TVK",IF(E19=MAX(D19,E19,H19),"DMK+","AIADMK+"))</f>
        <v>TVK</v>
      </c>
      <c r="AI19" s="27" t="n">
        <f aca="false">EXP(AA19)/(EXP(AA19)+EXP(AB19)+EXP(AC19))</f>
        <v>0.376958818077306</v>
      </c>
      <c r="AJ19" s="27" t="n">
        <f aca="false">EXP(AB19)/(EXP(AA19)+EXP(AB19)+EXP(AC19))</f>
        <v>0.377288965459314</v>
      </c>
      <c r="AK19" s="28" t="s">
        <v>5</v>
      </c>
      <c r="AL19" s="7" t="str">
        <f aca="false">IF(AK19=R19,"Yes","No")</f>
        <v>No</v>
      </c>
      <c r="AM19" s="27" t="n">
        <f aca="false">IF(AK19="TVK",AD19,IF(AK19="DMK+",AJ19,AI19))</f>
        <v>0.377288965459314</v>
      </c>
      <c r="AN19" s="7" t="str">
        <f aca="false">IF(AK19=P19,"No","Yes")</f>
        <v>Yes</v>
      </c>
    </row>
    <row r="20" customFormat="false" ht="15" hidden="true" customHeight="false" outlineLevel="0" collapsed="false">
      <c r="A20" s="0" t="n">
        <v>16</v>
      </c>
      <c r="B20" s="4" t="s">
        <v>209</v>
      </c>
      <c r="C20" s="5" t="s">
        <v>96</v>
      </c>
      <c r="D20" s="35" t="n">
        <v>8</v>
      </c>
      <c r="E20" s="35" t="n">
        <v>22</v>
      </c>
      <c r="F20" s="35"/>
      <c r="G20" s="35" t="n">
        <v>1</v>
      </c>
      <c r="H20" s="35" t="n">
        <v>19</v>
      </c>
      <c r="I20" s="5" t="n">
        <f aca="false">SUM(D20:H20)</f>
        <v>50</v>
      </c>
      <c r="J20" s="10" t="n">
        <f aca="false">IF($I20=0,0,D20/$I20)</f>
        <v>0.16</v>
      </c>
      <c r="K20" s="10" t="n">
        <f aca="false">IF($I20=0,0,E20/$I20)</f>
        <v>0.44</v>
      </c>
      <c r="L20" s="10" t="n">
        <f aca="false">IF($I20=0,0,F20/$I20)</f>
        <v>0</v>
      </c>
      <c r="M20" s="10" t="n">
        <f aca="false">IF($I20=0,0,G20/$I20)</f>
        <v>0.02</v>
      </c>
      <c r="N20" s="10" t="n">
        <f aca="false">IF($I20=0,0,H20/$I20)</f>
        <v>0.38</v>
      </c>
      <c r="O20" s="35" t="s">
        <v>197</v>
      </c>
      <c r="P20" s="0" t="str">
        <f aca="false">IF(O20="TVK","TVK",IF(O20="DMK","DMK+",IF(O20="ADMK","AIADMK+","")))</f>
        <v>DMK+</v>
      </c>
      <c r="Q20" s="35" t="s">
        <v>3</v>
      </c>
      <c r="R20" s="36" t="s">
        <v>3</v>
      </c>
      <c r="S20" s="0" t="str">
        <f aca="false">IF(P20=R20,"Yes","No")</f>
        <v>No</v>
      </c>
      <c r="T20" s="2"/>
      <c r="U20" s="27" t="n">
        <f aca="false">IFERROR(SUMIFS($D$5:$D$238,$C$5:$C$238,$C20)/SUMIFS($I$5:$I$238,$C$5:$C$238,$C20),0)</f>
        <v>0.26049766718507</v>
      </c>
      <c r="V20" s="27" t="n">
        <f aca="false">IFERROR(SUMIFS($E$5:$E$238,$C$5:$C$238,$C20)/SUMIFS($I$5:$I$238,$C$5:$C$238,$C20),0)</f>
        <v>0.272161741835148</v>
      </c>
      <c r="W20" s="27" t="n">
        <f aca="false">IFERROR(SUMIFS($F$5:$F$238,$C$5:$C$238,$C20)/SUMIFS($I$5:$I$238,$C$5:$C$238,$C20),0)</f>
        <v>0.00777604976671851</v>
      </c>
      <c r="X20" s="27" t="n">
        <f aca="false">IFERROR(SUMIFS($G$5:$G$238,$C$5:$C$238,$C20)/SUMIFS($I$5:$I$238,$C$5:$C$238,$C20),0)</f>
        <v>0.0451010886469673</v>
      </c>
      <c r="Y20" s="27" t="n">
        <f aca="false">IFERROR(SUMIFS($H$5:$H$238,$C$5:$C$238,$C20)/SUMIFS($I$5:$I$238,$C$5:$C$238,$C20),0)</f>
        <v>0.414463452566096</v>
      </c>
      <c r="Z20" s="24" t="n">
        <f aca="false">LN(MAX(I20,1))</f>
        <v>3.91202300542815</v>
      </c>
      <c r="AA20" s="24" t="n">
        <f aca="false">Calibration!$M$35+Calibration!$N$35+SUMPRODUCT(Calibration!$B$35:$F$35,J20:N20)+SUMPRODUCT(Calibration!$G$35:$K$35,U20:Y20)+Calibration!$L$35*Z20</f>
        <v>-0.150245486332991</v>
      </c>
      <c r="AB20" s="24" t="n">
        <f aca="false">Calibration!$M$36+Calibration!$N$36+SUMPRODUCT(Calibration!$B$36:$F$36,J20:N20)+SUMPRODUCT(Calibration!$G$36:$K$36,U20:Y20)+Calibration!$L$36*Z20</f>
        <v>0.403020502484825</v>
      </c>
      <c r="AC20" s="24" t="n">
        <f aca="false">Calibration!$M$37+Calibration!$N$37+SUMPRODUCT(Calibration!$B$37:$F$37,J20:N20)+SUMPRODUCT(Calibration!$G$37:$K$37,U20:Y20)+Calibration!$L$37*Z20</f>
        <v>0.572225636009907</v>
      </c>
      <c r="AD20" s="27" t="n">
        <f aca="false">EXP(AC20)/(EXP(AA20)+EXP(AB20)+EXP(AC20))</f>
        <v>0.429205438473718</v>
      </c>
      <c r="AE20" s="7" t="str">
        <f aca="false">IF(AC20=MAX(AA20:AC20),"TVK",IF(AB20=MAX(AA20:AC20),"DMK+","AIADMK+"))</f>
        <v>TVK</v>
      </c>
      <c r="AF20" s="7" t="str">
        <f aca="false">IF(AE20=R20,"Yes","No")</f>
        <v>Yes</v>
      </c>
      <c r="AG20" s="7" t="str">
        <f aca="false">IF(AE20=P20,"No","Yes")</f>
        <v>Yes</v>
      </c>
      <c r="AH20" s="7" t="str">
        <f aca="false">IF(H20=MAX(D20,E20,H20),"TVK",IF(E20=MAX(D20,E20,H20),"DMK+","AIADMK+"))</f>
        <v>DMK+</v>
      </c>
      <c r="AI20" s="27" t="n">
        <f aca="false">EXP(AA20)/(EXP(AA20)+EXP(AB20)+EXP(AC20))</f>
        <v>0.208401094028213</v>
      </c>
      <c r="AJ20" s="27" t="n">
        <f aca="false">EXP(AB20)/(EXP(AA20)+EXP(AB20)+EXP(AC20))</f>
        <v>0.36239346749807</v>
      </c>
      <c r="AK20" s="28" t="s">
        <v>3</v>
      </c>
      <c r="AL20" s="7" t="str">
        <f aca="false">IF(AK20=R20,"Yes","No")</f>
        <v>Yes</v>
      </c>
      <c r="AM20" s="27" t="n">
        <f aca="false">IF(AK20="TVK",AD20,IF(AK20="DMK+",AJ20,AI20))</f>
        <v>0.429205438473718</v>
      </c>
      <c r="AN20" s="7" t="str">
        <f aca="false">IF(AK20=P20,"No","Yes")</f>
        <v>Yes</v>
      </c>
    </row>
    <row r="21" customFormat="false" ht="15" hidden="true" customHeight="false" outlineLevel="0" collapsed="false">
      <c r="A21" s="0" t="n">
        <v>17</v>
      </c>
      <c r="B21" s="4" t="s">
        <v>210</v>
      </c>
      <c r="C21" s="5" t="s">
        <v>96</v>
      </c>
      <c r="D21" s="35" t="n">
        <v>9</v>
      </c>
      <c r="E21" s="35" t="n">
        <v>15</v>
      </c>
      <c r="F21" s="35"/>
      <c r="G21" s="35"/>
      <c r="H21" s="35" t="n">
        <v>12</v>
      </c>
      <c r="I21" s="5" t="n">
        <f aca="false">SUM(D21:H21)</f>
        <v>36</v>
      </c>
      <c r="J21" s="10" t="n">
        <f aca="false">IF($I21=0,0,D21/$I21)</f>
        <v>0.25</v>
      </c>
      <c r="K21" s="10" t="n">
        <f aca="false">IF($I21=0,0,E21/$I21)</f>
        <v>0.416666666666667</v>
      </c>
      <c r="L21" s="10" t="n">
        <f aca="false">IF($I21=0,0,F21/$I21)</f>
        <v>0</v>
      </c>
      <c r="M21" s="10" t="n">
        <f aca="false">IF($I21=0,0,G21/$I21)</f>
        <v>0</v>
      </c>
      <c r="N21" s="10" t="n">
        <f aca="false">IF($I21=0,0,H21/$I21)</f>
        <v>0.333333333333333</v>
      </c>
      <c r="O21" s="35" t="s">
        <v>197</v>
      </c>
      <c r="P21" s="0" t="str">
        <f aca="false">IF(O21="TVK","TVK",IF(O21="DMK","DMK+",IF(O21="ADMK","AIADMK+","")))</f>
        <v>DMK+</v>
      </c>
      <c r="Q21" s="35" t="s">
        <v>3</v>
      </c>
      <c r="R21" s="36" t="s">
        <v>3</v>
      </c>
      <c r="S21" s="0" t="str">
        <f aca="false">IF(P21=R21,"Yes","No")</f>
        <v>No</v>
      </c>
      <c r="T21" s="2"/>
      <c r="U21" s="27" t="n">
        <f aca="false">IFERROR(SUMIFS($D$5:$D$238,$C$5:$C$238,$C21)/SUMIFS($I$5:$I$238,$C$5:$C$238,$C21),0)</f>
        <v>0.26049766718507</v>
      </c>
      <c r="V21" s="27" t="n">
        <f aca="false">IFERROR(SUMIFS($E$5:$E$238,$C$5:$C$238,$C21)/SUMIFS($I$5:$I$238,$C$5:$C$238,$C21),0)</f>
        <v>0.272161741835148</v>
      </c>
      <c r="W21" s="27" t="n">
        <f aca="false">IFERROR(SUMIFS($F$5:$F$238,$C$5:$C$238,$C21)/SUMIFS($I$5:$I$238,$C$5:$C$238,$C21),0)</f>
        <v>0.00777604976671851</v>
      </c>
      <c r="X21" s="27" t="n">
        <f aca="false">IFERROR(SUMIFS($G$5:$G$238,$C$5:$C$238,$C21)/SUMIFS($I$5:$I$238,$C$5:$C$238,$C21),0)</f>
        <v>0.0451010886469673</v>
      </c>
      <c r="Y21" s="27" t="n">
        <f aca="false">IFERROR(SUMIFS($H$5:$H$238,$C$5:$C$238,$C21)/SUMIFS($I$5:$I$238,$C$5:$C$238,$C21),0)</f>
        <v>0.414463452566096</v>
      </c>
      <c r="Z21" s="24" t="n">
        <f aca="false">LN(MAX(I21,1))</f>
        <v>3.58351893845611</v>
      </c>
      <c r="AA21" s="24" t="n">
        <f aca="false">Calibration!$M$35+Calibration!$N$35+SUMPRODUCT(Calibration!$B$35:$F$35,J21:N21)+SUMPRODUCT(Calibration!$G$35:$K$35,U21:Y21)+Calibration!$L$35*Z21</f>
        <v>0.126590816562765</v>
      </c>
      <c r="AB21" s="24" t="n">
        <f aca="false">Calibration!$M$36+Calibration!$N$36+SUMPRODUCT(Calibration!$B$36:$F$36,J21:N21)+SUMPRODUCT(Calibration!$G$36:$K$36,U21:Y21)+Calibration!$L$36*Z21</f>
        <v>0.519558654378006</v>
      </c>
      <c r="AC21" s="24" t="n">
        <f aca="false">Calibration!$M$37+Calibration!$N$37+SUMPRODUCT(Calibration!$B$37:$F$37,J21:N21)+SUMPRODUCT(Calibration!$G$37:$K$37,U21:Y21)+Calibration!$L$37*Z21</f>
        <v>0.178851134554303</v>
      </c>
      <c r="AD21" s="27" t="n">
        <f aca="false">EXP(AC21)/(EXP(AA21)+EXP(AB21)+EXP(AC21))</f>
        <v>0.29806048387246</v>
      </c>
      <c r="AE21" s="7" t="str">
        <f aca="false">IF(AC21=MAX(AA21:AC21),"TVK",IF(AB21=MAX(AA21:AC21),"DMK+","AIADMK+"))</f>
        <v>DMK+</v>
      </c>
      <c r="AF21" s="7" t="str">
        <f aca="false">IF(AE21=R21,"Yes","No")</f>
        <v>No</v>
      </c>
      <c r="AG21" s="7" t="str">
        <f aca="false">IF(AE21=P21,"No","Yes")</f>
        <v>No</v>
      </c>
      <c r="AH21" s="7" t="str">
        <f aca="false">IF(H21=MAX(D21,E21,H21),"TVK",IF(E21=MAX(D21,E21,H21),"DMK+","AIADMK+"))</f>
        <v>DMK+</v>
      </c>
      <c r="AI21" s="27" t="n">
        <f aca="false">EXP(AA21)/(EXP(AA21)+EXP(AB21)+EXP(AC21))</f>
        <v>0.282883772084192</v>
      </c>
      <c r="AJ21" s="27" t="n">
        <f aca="false">EXP(AB21)/(EXP(AA21)+EXP(AB21)+EXP(AC21))</f>
        <v>0.419055744043348</v>
      </c>
      <c r="AK21" s="28" t="s">
        <v>3</v>
      </c>
      <c r="AL21" s="7" t="str">
        <f aca="false">IF(AK21=R21,"Yes","No")</f>
        <v>Yes</v>
      </c>
      <c r="AM21" s="27" t="n">
        <f aca="false">IF(AK21="TVK",AD21,IF(AK21="DMK+",AJ21,AI21))</f>
        <v>0.29806048387246</v>
      </c>
      <c r="AN21" s="7" t="str">
        <f aca="false">IF(AK21=P21,"No","Yes")</f>
        <v>Yes</v>
      </c>
    </row>
    <row r="22" customFormat="false" ht="15" hidden="true" customHeight="false" outlineLevel="0" collapsed="false">
      <c r="A22" s="0" t="n">
        <v>18</v>
      </c>
      <c r="B22" s="4" t="s">
        <v>211</v>
      </c>
      <c r="C22" s="5" t="s">
        <v>96</v>
      </c>
      <c r="D22" s="35" t="n">
        <v>10</v>
      </c>
      <c r="E22" s="35" t="n">
        <v>20</v>
      </c>
      <c r="F22" s="35"/>
      <c r="G22" s="35" t="n">
        <v>1</v>
      </c>
      <c r="H22" s="35" t="n">
        <v>9</v>
      </c>
      <c r="I22" s="5" t="n">
        <f aca="false">SUM(D22:H22)</f>
        <v>40</v>
      </c>
      <c r="J22" s="10" t="n">
        <f aca="false">IF($I22=0,0,D22/$I22)</f>
        <v>0.25</v>
      </c>
      <c r="K22" s="10" t="n">
        <f aca="false">IF($I22=0,0,E22/$I22)</f>
        <v>0.5</v>
      </c>
      <c r="L22" s="10" t="n">
        <f aca="false">IF($I22=0,0,F22/$I22)</f>
        <v>0</v>
      </c>
      <c r="M22" s="10" t="n">
        <f aca="false">IF($I22=0,0,G22/$I22)</f>
        <v>0.025</v>
      </c>
      <c r="N22" s="10" t="n">
        <f aca="false">IF($I22=0,0,H22/$I22)</f>
        <v>0.225</v>
      </c>
      <c r="O22" s="35" t="s">
        <v>197</v>
      </c>
      <c r="P22" s="0" t="str">
        <f aca="false">IF(O22="TVK","TVK",IF(O22="DMK","DMK+",IF(O22="ADMK","AIADMK+","")))</f>
        <v>DMK+</v>
      </c>
      <c r="Q22" s="35" t="s">
        <v>197</v>
      </c>
      <c r="R22" s="36" t="s">
        <v>5</v>
      </c>
      <c r="S22" s="0" t="str">
        <f aca="false">IF(P22=R22,"Yes","No")</f>
        <v>Yes</v>
      </c>
      <c r="T22" s="2"/>
      <c r="U22" s="27" t="n">
        <f aca="false">IFERROR(SUMIFS($D$5:$D$238,$C$5:$C$238,$C22)/SUMIFS($I$5:$I$238,$C$5:$C$238,$C22),0)</f>
        <v>0.26049766718507</v>
      </c>
      <c r="V22" s="27" t="n">
        <f aca="false">IFERROR(SUMIFS($E$5:$E$238,$C$5:$C$238,$C22)/SUMIFS($I$5:$I$238,$C$5:$C$238,$C22),0)</f>
        <v>0.272161741835148</v>
      </c>
      <c r="W22" s="27" t="n">
        <f aca="false">IFERROR(SUMIFS($F$5:$F$238,$C$5:$C$238,$C22)/SUMIFS($I$5:$I$238,$C$5:$C$238,$C22),0)</f>
        <v>0.00777604976671851</v>
      </c>
      <c r="X22" s="27" t="n">
        <f aca="false">IFERROR(SUMIFS($G$5:$G$238,$C$5:$C$238,$C22)/SUMIFS($I$5:$I$238,$C$5:$C$238,$C22),0)</f>
        <v>0.0451010886469673</v>
      </c>
      <c r="Y22" s="27" t="n">
        <f aca="false">IFERROR(SUMIFS($H$5:$H$238,$C$5:$C$238,$C22)/SUMIFS($I$5:$I$238,$C$5:$C$238,$C22),0)</f>
        <v>0.414463452566096</v>
      </c>
      <c r="Z22" s="24" t="n">
        <f aca="false">LN(MAX(I22,1))</f>
        <v>3.68887945411394</v>
      </c>
      <c r="AA22" s="24" t="n">
        <f aca="false">Calibration!$M$35+Calibration!$N$35+SUMPRODUCT(Calibration!$B$35:$F$35,J22:N22)+SUMPRODUCT(Calibration!$G$35:$K$35,U22:Y22)+Calibration!$L$35*Z22</f>
        <v>0.031570882097075</v>
      </c>
      <c r="AB22" s="24" t="n">
        <f aca="false">Calibration!$M$36+Calibration!$N$36+SUMPRODUCT(Calibration!$B$36:$F$36,J22:N22)+SUMPRODUCT(Calibration!$G$36:$K$36,U22:Y22)+Calibration!$L$36*Z22</f>
        <v>0.584088609768577</v>
      </c>
      <c r="AC22" s="24" t="n">
        <f aca="false">Calibration!$M$37+Calibration!$N$37+SUMPRODUCT(Calibration!$B$37:$F$37,J22:N22)+SUMPRODUCT(Calibration!$G$37:$K$37,U22:Y22)+Calibration!$L$37*Z22</f>
        <v>0.209341005296089</v>
      </c>
      <c r="AD22" s="27" t="n">
        <f aca="false">EXP(AC22)/(EXP(AA22)+EXP(AB22)+EXP(AC22))</f>
        <v>0.303788940709672</v>
      </c>
      <c r="AE22" s="7" t="str">
        <f aca="false">IF(AC22=MAX(AA22:AC22),"TVK",IF(AB22=MAX(AA22:AC22),"DMK+","AIADMK+"))</f>
        <v>DMK+</v>
      </c>
      <c r="AF22" s="7" t="str">
        <f aca="false">IF(AE22=R22,"Yes","No")</f>
        <v>Yes</v>
      </c>
      <c r="AG22" s="7" t="str">
        <f aca="false">IF(AE22=P22,"No","Yes")</f>
        <v>No</v>
      </c>
      <c r="AH22" s="7" t="str">
        <f aca="false">IF(H22=MAX(D22,E22,H22),"TVK",IF(E22=MAX(D22,E22,H22),"DMK+","AIADMK+"))</f>
        <v>DMK+</v>
      </c>
      <c r="AI22" s="27" t="n">
        <f aca="false">EXP(AA22)/(EXP(AA22)+EXP(AB22)+EXP(AC22))</f>
        <v>0.254312306047163</v>
      </c>
      <c r="AJ22" s="27" t="n">
        <f aca="false">EXP(AB22)/(EXP(AA22)+EXP(AB22)+EXP(AC22))</f>
        <v>0.441898753243166</v>
      </c>
      <c r="AK22" s="28" t="s">
        <v>5</v>
      </c>
      <c r="AL22" s="7" t="str">
        <f aca="false">IF(AK22=R22,"Yes","No")</f>
        <v>Yes</v>
      </c>
      <c r="AM22" s="27" t="n">
        <f aca="false">IF(AK22="TVK",AD22,IF(AK22="DMK+",AJ22,AI22))</f>
        <v>0.441898753243166</v>
      </c>
      <c r="AN22" s="7" t="str">
        <f aca="false">IF(AK22=P22,"No","Yes")</f>
        <v>No</v>
      </c>
    </row>
    <row r="23" customFormat="false" ht="15" hidden="true" customHeight="false" outlineLevel="0" collapsed="false">
      <c r="A23" s="0" t="n">
        <v>19</v>
      </c>
      <c r="B23" s="4" t="s">
        <v>212</v>
      </c>
      <c r="C23" s="5" t="s">
        <v>96</v>
      </c>
      <c r="D23" s="35" t="n">
        <v>9</v>
      </c>
      <c r="E23" s="35" t="n">
        <v>16</v>
      </c>
      <c r="F23" s="35"/>
      <c r="G23" s="35" t="n">
        <v>1</v>
      </c>
      <c r="H23" s="35" t="n">
        <v>14</v>
      </c>
      <c r="I23" s="5" t="n">
        <f aca="false">SUM(D23:H23)</f>
        <v>40</v>
      </c>
      <c r="J23" s="10" t="n">
        <f aca="false">IF($I23=0,0,D23/$I23)</f>
        <v>0.225</v>
      </c>
      <c r="K23" s="10" t="n">
        <f aca="false">IF($I23=0,0,E23/$I23)</f>
        <v>0.4</v>
      </c>
      <c r="L23" s="10" t="n">
        <f aca="false">IF($I23=0,0,F23/$I23)</f>
        <v>0</v>
      </c>
      <c r="M23" s="10" t="n">
        <f aca="false">IF($I23=0,0,G23/$I23)</f>
        <v>0.025</v>
      </c>
      <c r="N23" s="10" t="n">
        <f aca="false">IF($I23=0,0,H23/$I23)</f>
        <v>0.35</v>
      </c>
      <c r="O23" s="35" t="s">
        <v>197</v>
      </c>
      <c r="P23" s="0" t="str">
        <f aca="false">IF(O23="TVK","TVK",IF(O23="DMK","DMK+",IF(O23="ADMK","AIADMK+","")))</f>
        <v>DMK+</v>
      </c>
      <c r="Q23" s="35" t="s">
        <v>197</v>
      </c>
      <c r="R23" s="36" t="s">
        <v>5</v>
      </c>
      <c r="S23" s="0" t="str">
        <f aca="false">IF(P23=R23,"Yes","No")</f>
        <v>Yes</v>
      </c>
      <c r="T23" s="2"/>
      <c r="U23" s="27" t="n">
        <f aca="false">IFERROR(SUMIFS($D$5:$D$238,$C$5:$C$238,$C23)/SUMIFS($I$5:$I$238,$C$5:$C$238,$C23),0)</f>
        <v>0.26049766718507</v>
      </c>
      <c r="V23" s="27" t="n">
        <f aca="false">IFERROR(SUMIFS($E$5:$E$238,$C$5:$C$238,$C23)/SUMIFS($I$5:$I$238,$C$5:$C$238,$C23),0)</f>
        <v>0.272161741835148</v>
      </c>
      <c r="W23" s="27" t="n">
        <f aca="false">IFERROR(SUMIFS($F$5:$F$238,$C$5:$C$238,$C23)/SUMIFS($I$5:$I$238,$C$5:$C$238,$C23),0)</f>
        <v>0.00777604976671851</v>
      </c>
      <c r="X23" s="27" t="n">
        <f aca="false">IFERROR(SUMIFS($G$5:$G$238,$C$5:$C$238,$C23)/SUMIFS($I$5:$I$238,$C$5:$C$238,$C23),0)</f>
        <v>0.0451010886469673</v>
      </c>
      <c r="Y23" s="27" t="n">
        <f aca="false">IFERROR(SUMIFS($H$5:$H$238,$C$5:$C$238,$C23)/SUMIFS($I$5:$I$238,$C$5:$C$238,$C23),0)</f>
        <v>0.414463452566096</v>
      </c>
      <c r="Z23" s="24" t="n">
        <f aca="false">LN(MAX(I23,1))</f>
        <v>3.68887945411394</v>
      </c>
      <c r="AA23" s="24" t="n">
        <f aca="false">Calibration!$M$35+Calibration!$N$35+SUMPRODUCT(Calibration!$B$35:$F$35,J23:N23)+SUMPRODUCT(Calibration!$G$35:$K$35,U23:Y23)+Calibration!$L$35*Z23</f>
        <v>0.059257532097075</v>
      </c>
      <c r="AB23" s="24" t="n">
        <f aca="false">Calibration!$M$36+Calibration!$N$36+SUMPRODUCT(Calibration!$B$36:$F$36,J23:N23)+SUMPRODUCT(Calibration!$G$36:$K$36,U23:Y23)+Calibration!$L$36*Z23</f>
        <v>0.454900109768578</v>
      </c>
      <c r="AC23" s="24" t="n">
        <f aca="false">Calibration!$M$37+Calibration!$N$37+SUMPRODUCT(Calibration!$B$37:$F$37,J23:N23)+SUMPRODUCT(Calibration!$G$37:$K$37,U23:Y23)+Calibration!$L$37*Z23</f>
        <v>0.310842980296089</v>
      </c>
      <c r="AD23" s="27" t="n">
        <f aca="false">EXP(AC23)/(EXP(AA23)+EXP(AB23)+EXP(AC23))</f>
        <v>0.341003978978577</v>
      </c>
      <c r="AE23" s="7" t="str">
        <f aca="false">IF(AC23=MAX(AA23:AC23),"TVK",IF(AB23=MAX(AA23:AC23),"DMK+","AIADMK+"))</f>
        <v>DMK+</v>
      </c>
      <c r="AF23" s="7" t="str">
        <f aca="false">IF(AE23=R23,"Yes","No")</f>
        <v>Yes</v>
      </c>
      <c r="AG23" s="7" t="str">
        <f aca="false">IF(AE23=P23,"No","Yes")</f>
        <v>No</v>
      </c>
      <c r="AH23" s="7" t="str">
        <f aca="false">IF(H23=MAX(D23,E23,H23),"TVK",IF(E23=MAX(D23,E23,H23),"DMK+","AIADMK+"))</f>
        <v>DMK+</v>
      </c>
      <c r="AI23" s="27" t="n">
        <f aca="false">EXP(AA23)/(EXP(AA23)+EXP(AB23)+EXP(AC23))</f>
        <v>0.265153445379406</v>
      </c>
      <c r="AJ23" s="27" t="n">
        <f aca="false">EXP(AB23)/(EXP(AA23)+EXP(AB23)+EXP(AC23))</f>
        <v>0.393842575642017</v>
      </c>
      <c r="AK23" s="28" t="s">
        <v>3</v>
      </c>
      <c r="AL23" s="7" t="str">
        <f aca="false">IF(AK23=R23,"Yes","No")</f>
        <v>No</v>
      </c>
      <c r="AM23" s="27" t="n">
        <f aca="false">IF(AK23="TVK",AD23,IF(AK23="DMK+",AJ23,AI23))</f>
        <v>0.341003978978577</v>
      </c>
      <c r="AN23" s="7" t="str">
        <f aca="false">IF(AK23=P23,"No","Yes")</f>
        <v>Yes</v>
      </c>
    </row>
    <row r="24" customFormat="false" ht="15" hidden="true" customHeight="false" outlineLevel="0" collapsed="false">
      <c r="A24" s="0" t="n">
        <v>20</v>
      </c>
      <c r="B24" s="4" t="s">
        <v>213</v>
      </c>
      <c r="C24" s="5" t="s">
        <v>96</v>
      </c>
      <c r="D24" s="35" t="n">
        <v>7</v>
      </c>
      <c r="E24" s="35" t="n">
        <v>19</v>
      </c>
      <c r="F24" s="35"/>
      <c r="G24" s="35" t="n">
        <v>1</v>
      </c>
      <c r="H24" s="35" t="n">
        <v>16</v>
      </c>
      <c r="I24" s="5" t="n">
        <f aca="false">SUM(D24:H24)</f>
        <v>43</v>
      </c>
      <c r="J24" s="10" t="n">
        <f aca="false">IF($I24=0,0,D24/$I24)</f>
        <v>0.162790697674419</v>
      </c>
      <c r="K24" s="10" t="n">
        <f aca="false">IF($I24=0,0,E24/$I24)</f>
        <v>0.441860465116279</v>
      </c>
      <c r="L24" s="10" t="n">
        <f aca="false">IF($I24=0,0,F24/$I24)</f>
        <v>0</v>
      </c>
      <c r="M24" s="10" t="n">
        <f aca="false">IF($I24=0,0,G24/$I24)</f>
        <v>0.0232558139534884</v>
      </c>
      <c r="N24" s="10" t="n">
        <f aca="false">IF($I24=0,0,H24/$I24)</f>
        <v>0.372093023255814</v>
      </c>
      <c r="O24" s="35" t="s">
        <v>197</v>
      </c>
      <c r="P24" s="0" t="str">
        <f aca="false">IF(O24="TVK","TVK",IF(O24="DMK","DMK+",IF(O24="ADMK","AIADMK+","")))</f>
        <v>DMK+</v>
      </c>
      <c r="Q24" s="35" t="s">
        <v>3</v>
      </c>
      <c r="R24" s="36" t="s">
        <v>3</v>
      </c>
      <c r="S24" s="0" t="str">
        <f aca="false">IF(P24=R24,"Yes","No")</f>
        <v>No</v>
      </c>
      <c r="T24" s="2"/>
      <c r="U24" s="27" t="n">
        <f aca="false">IFERROR(SUMIFS($D$5:$D$238,$C$5:$C$238,$C24)/SUMIFS($I$5:$I$238,$C$5:$C$238,$C24),0)</f>
        <v>0.26049766718507</v>
      </c>
      <c r="V24" s="27" t="n">
        <f aca="false">IFERROR(SUMIFS($E$5:$E$238,$C$5:$C$238,$C24)/SUMIFS($I$5:$I$238,$C$5:$C$238,$C24),0)</f>
        <v>0.272161741835148</v>
      </c>
      <c r="W24" s="27" t="n">
        <f aca="false">IFERROR(SUMIFS($F$5:$F$238,$C$5:$C$238,$C24)/SUMIFS($I$5:$I$238,$C$5:$C$238,$C24),0)</f>
        <v>0.00777604976671851</v>
      </c>
      <c r="X24" s="27" t="n">
        <f aca="false">IFERROR(SUMIFS($G$5:$G$238,$C$5:$C$238,$C24)/SUMIFS($I$5:$I$238,$C$5:$C$238,$C24),0)</f>
        <v>0.0451010886469673</v>
      </c>
      <c r="Y24" s="27" t="n">
        <f aca="false">IFERROR(SUMIFS($H$5:$H$238,$C$5:$C$238,$C24)/SUMIFS($I$5:$I$238,$C$5:$C$238,$C24),0)</f>
        <v>0.414463452566096</v>
      </c>
      <c r="Z24" s="24" t="n">
        <f aca="false">LN(MAX(I24,1))</f>
        <v>3.76120011569356</v>
      </c>
      <c r="AA24" s="24" t="n">
        <f aca="false">Calibration!$M$35+Calibration!$N$35+SUMPRODUCT(Calibration!$B$35:$F$35,J24:N24)+SUMPRODUCT(Calibration!$G$35:$K$35,U24:Y24)+Calibration!$L$35*Z24</f>
        <v>-0.0686993344628246</v>
      </c>
      <c r="AB24" s="24" t="n">
        <f aca="false">Calibration!$M$36+Calibration!$N$36+SUMPRODUCT(Calibration!$B$36:$F$36,J24:N24)+SUMPRODUCT(Calibration!$G$36:$K$36,U24:Y24)+Calibration!$L$36*Z24</f>
        <v>0.499060487623525</v>
      </c>
      <c r="AC24" s="24" t="n">
        <f aca="false">Calibration!$M$37+Calibration!$N$37+SUMPRODUCT(Calibration!$B$37:$F$37,J24:N24)+SUMPRODUCT(Calibration!$G$37:$K$37,U24:Y24)+Calibration!$L$37*Z24</f>
        <v>0.394639491094065</v>
      </c>
      <c r="AD24" s="27" t="n">
        <f aca="false">EXP(AC24)/(EXP(AA24)+EXP(AB24)+EXP(AC24))</f>
        <v>0.365063815521853</v>
      </c>
      <c r="AE24" s="7" t="str">
        <f aca="false">IF(AC24=MAX(AA24:AC24),"TVK",IF(AB24=MAX(AA24:AC24),"DMK+","AIADMK+"))</f>
        <v>DMK+</v>
      </c>
      <c r="AF24" s="7" t="str">
        <f aca="false">IF(AE24=R24,"Yes","No")</f>
        <v>No</v>
      </c>
      <c r="AG24" s="7" t="str">
        <f aca="false">IF(AE24=P24,"No","Yes")</f>
        <v>No</v>
      </c>
      <c r="AH24" s="7" t="str">
        <f aca="false">IF(H24=MAX(D24,E24,H24),"TVK",IF(E24=MAX(D24,E24,H24),"DMK+","AIADMK+"))</f>
        <v>DMK+</v>
      </c>
      <c r="AI24" s="27" t="n">
        <f aca="false">EXP(AA24)/(EXP(AA24)+EXP(AB24)+EXP(AC24))</f>
        <v>0.229690637640514</v>
      </c>
      <c r="AJ24" s="27" t="n">
        <f aca="false">EXP(AB24)/(EXP(AA24)+EXP(AB24)+EXP(AC24))</f>
        <v>0.405245546837633</v>
      </c>
      <c r="AK24" s="28" t="s">
        <v>3</v>
      </c>
      <c r="AL24" s="7" t="str">
        <f aca="false">IF(AK24=R24,"Yes","No")</f>
        <v>Yes</v>
      </c>
      <c r="AM24" s="27" t="n">
        <f aca="false">IF(AK24="TVK",AD24,IF(AK24="DMK+",AJ24,AI24))</f>
        <v>0.365063815521853</v>
      </c>
      <c r="AN24" s="7" t="str">
        <f aca="false">IF(AK24=P24,"No","Yes")</f>
        <v>Yes</v>
      </c>
    </row>
    <row r="25" customFormat="false" ht="15" hidden="false" customHeight="false" outlineLevel="0" collapsed="false">
      <c r="A25" s="0" t="n">
        <v>21</v>
      </c>
      <c r="B25" s="4" t="s">
        <v>214</v>
      </c>
      <c r="C25" s="5" t="s">
        <v>96</v>
      </c>
      <c r="D25" s="35" t="n">
        <v>14</v>
      </c>
      <c r="E25" s="35" t="n">
        <v>10</v>
      </c>
      <c r="F25" s="35" t="n">
        <v>2</v>
      </c>
      <c r="G25" s="35" t="n">
        <v>2</v>
      </c>
      <c r="H25" s="35" t="n">
        <v>21</v>
      </c>
      <c r="I25" s="5" t="n">
        <f aca="false">SUM(D25:H25)</f>
        <v>49</v>
      </c>
      <c r="J25" s="10" t="n">
        <f aca="false">IF($I25=0,0,D25/$I25)</f>
        <v>0.285714285714286</v>
      </c>
      <c r="K25" s="10" t="n">
        <f aca="false">IF($I25=0,0,E25/$I25)</f>
        <v>0.204081632653061</v>
      </c>
      <c r="L25" s="10" t="n">
        <f aca="false">IF($I25=0,0,F25/$I25)</f>
        <v>0.0408163265306122</v>
      </c>
      <c r="M25" s="10" t="n">
        <f aca="false">IF($I25=0,0,G25/$I25)</f>
        <v>0.0408163265306122</v>
      </c>
      <c r="N25" s="10" t="n">
        <f aca="false">IF($I25=0,0,H25/$I25)</f>
        <v>0.428571428571429</v>
      </c>
      <c r="O25" s="35" t="s">
        <v>3</v>
      </c>
      <c r="P25" s="0" t="str">
        <f aca="false">IF(O25="TVK","TVK",IF(O25="DMK","DMK+",IF(O25="ADMK","AIADMK+","")))</f>
        <v>TVK</v>
      </c>
      <c r="Q25" s="35" t="s">
        <v>3</v>
      </c>
      <c r="R25" s="36" t="s">
        <v>3</v>
      </c>
      <c r="S25" s="0" t="str">
        <f aca="false">IF(P25=R25,"Yes","No")</f>
        <v>Yes</v>
      </c>
      <c r="T25" s="2"/>
      <c r="U25" s="27" t="n">
        <f aca="false">IFERROR(SUMIFS($D$5:$D$238,$C$5:$C$238,$C25)/SUMIFS($I$5:$I$238,$C$5:$C$238,$C25),0)</f>
        <v>0.26049766718507</v>
      </c>
      <c r="V25" s="27" t="n">
        <f aca="false">IFERROR(SUMIFS($E$5:$E$238,$C$5:$C$238,$C25)/SUMIFS($I$5:$I$238,$C$5:$C$238,$C25),0)</f>
        <v>0.272161741835148</v>
      </c>
      <c r="W25" s="27" t="n">
        <f aca="false">IFERROR(SUMIFS($F$5:$F$238,$C$5:$C$238,$C25)/SUMIFS($I$5:$I$238,$C$5:$C$238,$C25),0)</f>
        <v>0.00777604976671851</v>
      </c>
      <c r="X25" s="27" t="n">
        <f aca="false">IFERROR(SUMIFS($G$5:$G$238,$C$5:$C$238,$C25)/SUMIFS($I$5:$I$238,$C$5:$C$238,$C25),0)</f>
        <v>0.0451010886469673</v>
      </c>
      <c r="Y25" s="27" t="n">
        <f aca="false">IFERROR(SUMIFS($H$5:$H$238,$C$5:$C$238,$C25)/SUMIFS($I$5:$I$238,$C$5:$C$238,$C25),0)</f>
        <v>0.414463452566096</v>
      </c>
      <c r="Z25" s="24" t="n">
        <f aca="false">LN(MAX(I25,1))</f>
        <v>3.89182029811063</v>
      </c>
      <c r="AA25" s="24" t="n">
        <f aca="false">Calibration!$M$35+Calibration!$N$35+SUMPRODUCT(Calibration!$B$35:$F$35,J25:N25)+SUMPRODUCT(Calibration!$G$35:$K$35,U25:Y25)+Calibration!$L$35*Z25</f>
        <v>0.139928209159804</v>
      </c>
      <c r="AB25" s="24" t="n">
        <f aca="false">Calibration!$M$36+Calibration!$N$36+SUMPRODUCT(Calibration!$B$36:$F$36,J25:N25)+SUMPRODUCT(Calibration!$G$36:$K$36,U25:Y25)+Calibration!$L$36*Z25</f>
        <v>0.0414778700178213</v>
      </c>
      <c r="AC25" s="24" t="n">
        <f aca="false">Calibration!$M$37+Calibration!$N$37+SUMPRODUCT(Calibration!$B$37:$F$37,J25:N25)+SUMPRODUCT(Calibration!$G$37:$K$37,U25:Y25)+Calibration!$L$37*Z25</f>
        <v>0.643594621555545</v>
      </c>
      <c r="AD25" s="27" t="n">
        <f aca="false">EXP(AC25)/(EXP(AA25)+EXP(AB25)+EXP(AC25))</f>
        <v>0.464692197352475</v>
      </c>
      <c r="AE25" s="7" t="str">
        <f aca="false">IF(AC25=MAX(AA25:AC25),"TVK",IF(AB25=MAX(AA25:AC25),"DMK+","AIADMK+"))</f>
        <v>TVK</v>
      </c>
      <c r="AF25" s="7" t="str">
        <f aca="false">IF(AE25=R25,"Yes","No")</f>
        <v>Yes</v>
      </c>
      <c r="AG25" s="7" t="str">
        <f aca="false">IF(AE25=P25,"No","Yes")</f>
        <v>No</v>
      </c>
      <c r="AH25" s="7" t="str">
        <f aca="false">IF(H25=MAX(D25,E25,H25),"TVK",IF(E25=MAX(D25,E25,H25),"DMK+","AIADMK+"))</f>
        <v>TVK</v>
      </c>
      <c r="AI25" s="27" t="n">
        <f aca="false">EXP(AA25)/(EXP(AA25)+EXP(AB25)+EXP(AC25))</f>
        <v>0.280818578534279</v>
      </c>
      <c r="AJ25" s="27" t="n">
        <f aca="false">EXP(AB25)/(EXP(AA25)+EXP(AB25)+EXP(AC25))</f>
        <v>0.254489224113246</v>
      </c>
      <c r="AK25" s="28" t="s">
        <v>3</v>
      </c>
      <c r="AL25" s="7" t="str">
        <f aca="false">IF(AK25=R25,"Yes","No")</f>
        <v>Yes</v>
      </c>
      <c r="AM25" s="27" t="n">
        <f aca="false">IF(AK25="TVK",AD25,IF(AK25="DMK+",AJ25,AI25))</f>
        <v>0.464692197352475</v>
      </c>
      <c r="AN25" s="7" t="str">
        <f aca="false">IF(AK25=P25,"No","Yes")</f>
        <v>No</v>
      </c>
    </row>
    <row r="26" customFormat="false" ht="15" hidden="false" customHeight="false" outlineLevel="0" collapsed="false">
      <c r="A26" s="0" t="n">
        <v>22</v>
      </c>
      <c r="B26" s="4" t="s">
        <v>215</v>
      </c>
      <c r="C26" s="5" t="s">
        <v>96</v>
      </c>
      <c r="D26" s="35" t="n">
        <v>21</v>
      </c>
      <c r="E26" s="35" t="n">
        <v>15</v>
      </c>
      <c r="F26" s="35"/>
      <c r="G26" s="35" t="n">
        <v>2</v>
      </c>
      <c r="H26" s="35" t="n">
        <v>27</v>
      </c>
      <c r="I26" s="5" t="n">
        <f aca="false">SUM(D26:H26)</f>
        <v>65</v>
      </c>
      <c r="J26" s="10" t="n">
        <f aca="false">IF($I26=0,0,D26/$I26)</f>
        <v>0.323076923076923</v>
      </c>
      <c r="K26" s="10" t="n">
        <f aca="false">IF($I26=0,0,E26/$I26)</f>
        <v>0.230769230769231</v>
      </c>
      <c r="L26" s="10" t="n">
        <f aca="false">IF($I26=0,0,F26/$I26)</f>
        <v>0</v>
      </c>
      <c r="M26" s="10" t="n">
        <f aca="false">IF($I26=0,0,G26/$I26)</f>
        <v>0.0307692307692308</v>
      </c>
      <c r="N26" s="10" t="n">
        <f aca="false">IF($I26=0,0,H26/$I26)</f>
        <v>0.415384615384615</v>
      </c>
      <c r="O26" s="35" t="s">
        <v>3</v>
      </c>
      <c r="P26" s="0" t="str">
        <f aca="false">IF(O26="TVK","TVK",IF(O26="DMK","DMK+",IF(O26="ADMK","AIADMK+","")))</f>
        <v>TVK</v>
      </c>
      <c r="Q26" s="35" t="s">
        <v>3</v>
      </c>
      <c r="R26" s="36" t="s">
        <v>3</v>
      </c>
      <c r="S26" s="0" t="str">
        <f aca="false">IF(P26=R26,"Yes","No")</f>
        <v>Yes</v>
      </c>
      <c r="T26" s="2"/>
      <c r="U26" s="27" t="n">
        <f aca="false">IFERROR(SUMIFS($D$5:$D$238,$C$5:$C$238,$C26)/SUMIFS($I$5:$I$238,$C$5:$C$238,$C26),0)</f>
        <v>0.26049766718507</v>
      </c>
      <c r="V26" s="27" t="n">
        <f aca="false">IFERROR(SUMIFS($E$5:$E$238,$C$5:$C$238,$C26)/SUMIFS($I$5:$I$238,$C$5:$C$238,$C26),0)</f>
        <v>0.272161741835148</v>
      </c>
      <c r="W26" s="27" t="n">
        <f aca="false">IFERROR(SUMIFS($F$5:$F$238,$C$5:$C$238,$C26)/SUMIFS($I$5:$I$238,$C$5:$C$238,$C26),0)</f>
        <v>0.00777604976671851</v>
      </c>
      <c r="X26" s="27" t="n">
        <f aca="false">IFERROR(SUMIFS($G$5:$G$238,$C$5:$C$238,$C26)/SUMIFS($I$5:$I$238,$C$5:$C$238,$C26),0)</f>
        <v>0.0451010886469673</v>
      </c>
      <c r="Y26" s="27" t="n">
        <f aca="false">IFERROR(SUMIFS($H$5:$H$238,$C$5:$C$238,$C26)/SUMIFS($I$5:$I$238,$C$5:$C$238,$C26),0)</f>
        <v>0.414463452566096</v>
      </c>
      <c r="Z26" s="24" t="n">
        <f aca="false">LN(MAX(I26,1))</f>
        <v>4.17438726989564</v>
      </c>
      <c r="AA26" s="24" t="n">
        <f aca="false">Calibration!$M$35+Calibration!$N$35+SUMPRODUCT(Calibration!$B$35:$F$35,J26:N26)+SUMPRODUCT(Calibration!$G$35:$K$35,U26:Y26)+Calibration!$L$35*Z26</f>
        <v>0.00461834830834063</v>
      </c>
      <c r="AB26" s="24" t="n">
        <f aca="false">Calibration!$M$36+Calibration!$N$36+SUMPRODUCT(Calibration!$B$36:$F$36,J26:N26)+SUMPRODUCT(Calibration!$G$36:$K$36,U26:Y26)+Calibration!$L$36*Z26</f>
        <v>-0.129942421533026</v>
      </c>
      <c r="AC26" s="24" t="n">
        <f aca="false">Calibration!$M$37+Calibration!$N$37+SUMPRODUCT(Calibration!$B$37:$F$37,J26:N26)+SUMPRODUCT(Calibration!$G$37:$K$37,U26:Y26)+Calibration!$L$37*Z26</f>
        <v>0.950324760771042</v>
      </c>
      <c r="AD26" s="27" t="n">
        <f aca="false">EXP(AC26)/(EXP(AA26)+EXP(AB26)+EXP(AC26))</f>
        <v>0.578733878373921</v>
      </c>
      <c r="AE26" s="7" t="str">
        <f aca="false">IF(AC26=MAX(AA26:AC26),"TVK",IF(AB26=MAX(AA26:AC26),"DMK+","AIADMK+"))</f>
        <v>TVK</v>
      </c>
      <c r="AF26" s="7" t="str">
        <f aca="false">IF(AE26=R26,"Yes","No")</f>
        <v>Yes</v>
      </c>
      <c r="AG26" s="7" t="str">
        <f aca="false">IF(AE26=P26,"No","Yes")</f>
        <v>No</v>
      </c>
      <c r="AH26" s="7" t="str">
        <f aca="false">IF(H26=MAX(D26,E26,H26),"TVK",IF(E26=MAX(D26,E26,H26),"DMK+","AIADMK+"))</f>
        <v>TVK</v>
      </c>
      <c r="AI26" s="27" t="n">
        <f aca="false">EXP(AA26)/(EXP(AA26)+EXP(AB26)+EXP(AC26))</f>
        <v>0.224783189767324</v>
      </c>
      <c r="AJ26" s="27" t="n">
        <f aca="false">EXP(AB26)/(EXP(AA26)+EXP(AB26)+EXP(AC26))</f>
        <v>0.196482931858754</v>
      </c>
      <c r="AK26" s="28" t="s">
        <v>3</v>
      </c>
      <c r="AL26" s="7" t="str">
        <f aca="false">IF(AK26=R26,"Yes","No")</f>
        <v>Yes</v>
      </c>
      <c r="AM26" s="27" t="n">
        <f aca="false">IF(AK26="TVK",AD26,IF(AK26="DMK+",AJ26,AI26))</f>
        <v>0.578733878373921</v>
      </c>
      <c r="AN26" s="7" t="str">
        <f aca="false">IF(AK26=P26,"No","Yes")</f>
        <v>No</v>
      </c>
    </row>
    <row r="27" customFormat="false" ht="15" hidden="false" customHeight="false" outlineLevel="0" collapsed="false">
      <c r="A27" s="0" t="n">
        <v>23</v>
      </c>
      <c r="B27" s="4" t="s">
        <v>216</v>
      </c>
      <c r="C27" s="5" t="s">
        <v>96</v>
      </c>
      <c r="D27" s="35" t="n">
        <v>10</v>
      </c>
      <c r="E27" s="35" t="n">
        <v>11</v>
      </c>
      <c r="F27" s="35"/>
      <c r="G27" s="35" t="n">
        <v>2</v>
      </c>
      <c r="H27" s="35" t="n">
        <v>16</v>
      </c>
      <c r="I27" s="5" t="n">
        <f aca="false">SUM(D27:H27)</f>
        <v>39</v>
      </c>
      <c r="J27" s="10" t="n">
        <f aca="false">IF($I27=0,0,D27/$I27)</f>
        <v>0.256410256410256</v>
      </c>
      <c r="K27" s="10" t="n">
        <f aca="false">IF($I27=0,0,E27/$I27)</f>
        <v>0.282051282051282</v>
      </c>
      <c r="L27" s="10" t="n">
        <f aca="false">IF($I27=0,0,F27/$I27)</f>
        <v>0</v>
      </c>
      <c r="M27" s="10" t="n">
        <f aca="false">IF($I27=0,0,G27/$I27)</f>
        <v>0.0512820512820513</v>
      </c>
      <c r="N27" s="10" t="n">
        <f aca="false">IF($I27=0,0,H27/$I27)</f>
        <v>0.41025641025641</v>
      </c>
      <c r="O27" s="35" t="s">
        <v>3</v>
      </c>
      <c r="P27" s="0" t="str">
        <f aca="false">IF(O27="TVK","TVK",IF(O27="DMK","DMK+",IF(O27="ADMK","AIADMK+","")))</f>
        <v>TVK</v>
      </c>
      <c r="Q27" s="35" t="s">
        <v>3</v>
      </c>
      <c r="R27" s="36" t="s">
        <v>3</v>
      </c>
      <c r="S27" s="0" t="str">
        <f aca="false">IF(P27=R27,"Yes","No")</f>
        <v>Yes</v>
      </c>
      <c r="T27" s="2"/>
      <c r="U27" s="27" t="n">
        <f aca="false">IFERROR(SUMIFS($D$5:$D$238,$C$5:$C$238,$C27)/SUMIFS($I$5:$I$238,$C$5:$C$238,$C27),0)</f>
        <v>0.26049766718507</v>
      </c>
      <c r="V27" s="27" t="n">
        <f aca="false">IFERROR(SUMIFS($E$5:$E$238,$C$5:$C$238,$C27)/SUMIFS($I$5:$I$238,$C$5:$C$238,$C27),0)</f>
        <v>0.272161741835148</v>
      </c>
      <c r="W27" s="27" t="n">
        <f aca="false">IFERROR(SUMIFS($F$5:$F$238,$C$5:$C$238,$C27)/SUMIFS($I$5:$I$238,$C$5:$C$238,$C27),0)</f>
        <v>0.00777604976671851</v>
      </c>
      <c r="X27" s="27" t="n">
        <f aca="false">IFERROR(SUMIFS($G$5:$G$238,$C$5:$C$238,$C27)/SUMIFS($I$5:$I$238,$C$5:$C$238,$C27),0)</f>
        <v>0.0451010886469673</v>
      </c>
      <c r="Y27" s="27" t="n">
        <f aca="false">IFERROR(SUMIFS($H$5:$H$238,$C$5:$C$238,$C27)/SUMIFS($I$5:$I$238,$C$5:$C$238,$C27),0)</f>
        <v>0.414463452566096</v>
      </c>
      <c r="Z27" s="24" t="n">
        <f aca="false">LN(MAX(I27,1))</f>
        <v>3.66356164612965</v>
      </c>
      <c r="AA27" s="24" t="n">
        <f aca="false">Calibration!$M$35+Calibration!$N$35+SUMPRODUCT(Calibration!$B$35:$F$35,J27:N27)+SUMPRODUCT(Calibration!$G$35:$K$35,U27:Y27)+Calibration!$L$35*Z27</f>
        <v>0.176477514373521</v>
      </c>
      <c r="AB27" s="24" t="n">
        <f aca="false">Calibration!$M$36+Calibration!$N$36+SUMPRODUCT(Calibration!$B$36:$F$36,J27:N27)+SUMPRODUCT(Calibration!$G$36:$K$36,U27:Y27)+Calibration!$L$36*Z27</f>
        <v>0.300736285058493</v>
      </c>
      <c r="AC27" s="24" t="n">
        <f aca="false">Calibration!$M$37+Calibration!$N$37+SUMPRODUCT(Calibration!$B$37:$F$37,J27:N27)+SUMPRODUCT(Calibration!$G$37:$K$37,U27:Y27)+Calibration!$L$37*Z27</f>
        <v>0.347786882986138</v>
      </c>
      <c r="AD27" s="27" t="n">
        <f aca="false">EXP(AC27)/(EXP(AA27)+EXP(AB27)+EXP(AC27))</f>
        <v>0.357577058466389</v>
      </c>
      <c r="AE27" s="7" t="str">
        <f aca="false">IF(AC27=MAX(AA27:AC27),"TVK",IF(AB27=MAX(AA27:AC27),"DMK+","AIADMK+"))</f>
        <v>TVK</v>
      </c>
      <c r="AF27" s="7" t="str">
        <f aca="false">IF(AE27=R27,"Yes","No")</f>
        <v>Yes</v>
      </c>
      <c r="AG27" s="7" t="str">
        <f aca="false">IF(AE27=P27,"No","Yes")</f>
        <v>No</v>
      </c>
      <c r="AH27" s="7" t="str">
        <f aca="false">IF(H27=MAX(D27,E27,H27),"TVK",IF(E27=MAX(D27,E27,H27),"DMK+","AIADMK+"))</f>
        <v>TVK</v>
      </c>
      <c r="AI27" s="27" t="n">
        <f aca="false">EXP(AA27)/(EXP(AA27)+EXP(AB27)+EXP(AC27))</f>
        <v>0.301280437923804</v>
      </c>
      <c r="AJ27" s="27" t="n">
        <f aca="false">EXP(AB27)/(EXP(AA27)+EXP(AB27)+EXP(AC27))</f>
        <v>0.341142503609807</v>
      </c>
      <c r="AK27" s="28" t="s">
        <v>3</v>
      </c>
      <c r="AL27" s="7" t="str">
        <f aca="false">IF(AK27=R27,"Yes","No")</f>
        <v>Yes</v>
      </c>
      <c r="AM27" s="27" t="n">
        <f aca="false">IF(AK27="TVK",AD27,IF(AK27="DMK+",AJ27,AI27))</f>
        <v>0.357577058466389</v>
      </c>
      <c r="AN27" s="7" t="str">
        <f aca="false">IF(AK27=P27,"No","Yes")</f>
        <v>No</v>
      </c>
    </row>
    <row r="28" customFormat="false" ht="15" hidden="true" customHeight="false" outlineLevel="0" collapsed="false">
      <c r="A28" s="0" t="n">
        <v>24</v>
      </c>
      <c r="B28" s="4" t="s">
        <v>217</v>
      </c>
      <c r="C28" s="5" t="s">
        <v>96</v>
      </c>
      <c r="D28" s="35" t="n">
        <v>25</v>
      </c>
      <c r="E28" s="35" t="n">
        <v>6</v>
      </c>
      <c r="F28" s="35" t="n">
        <v>1</v>
      </c>
      <c r="G28" s="35" t="n">
        <v>2</v>
      </c>
      <c r="H28" s="35" t="n">
        <v>7</v>
      </c>
      <c r="I28" s="5" t="n">
        <f aca="false">SUM(D28:H28)</f>
        <v>41</v>
      </c>
      <c r="J28" s="10" t="n">
        <f aca="false">IF($I28=0,0,D28/$I28)</f>
        <v>0.609756097560976</v>
      </c>
      <c r="K28" s="10" t="n">
        <f aca="false">IF($I28=0,0,E28/$I28)</f>
        <v>0.146341463414634</v>
      </c>
      <c r="L28" s="10" t="n">
        <f aca="false">IF($I28=0,0,F28/$I28)</f>
        <v>0.024390243902439</v>
      </c>
      <c r="M28" s="10" t="n">
        <f aca="false">IF($I28=0,0,G28/$I28)</f>
        <v>0.0487804878048781</v>
      </c>
      <c r="N28" s="10" t="n">
        <f aca="false">IF($I28=0,0,H28/$I28)</f>
        <v>0.170731707317073</v>
      </c>
      <c r="O28" s="35" t="s">
        <v>218</v>
      </c>
      <c r="P28" s="0" t="str">
        <f aca="false">IF(O28="TVK","TVK",IF(O28="DMK","DMK+",IF(O28="ADMK","AIADMK+","")))</f>
        <v>AIADMK+</v>
      </c>
      <c r="Q28" s="35" t="s">
        <v>3</v>
      </c>
      <c r="R28" s="36" t="s">
        <v>3</v>
      </c>
      <c r="S28" s="0" t="str">
        <f aca="false">IF(P28=R28,"Yes","No")</f>
        <v>No</v>
      </c>
      <c r="T28" s="2"/>
      <c r="U28" s="27" t="n">
        <f aca="false">IFERROR(SUMIFS($D$5:$D$238,$C$5:$C$238,$C28)/SUMIFS($I$5:$I$238,$C$5:$C$238,$C28),0)</f>
        <v>0.26049766718507</v>
      </c>
      <c r="V28" s="27" t="n">
        <f aca="false">IFERROR(SUMIFS($E$5:$E$238,$C$5:$C$238,$C28)/SUMIFS($I$5:$I$238,$C$5:$C$238,$C28),0)</f>
        <v>0.272161741835148</v>
      </c>
      <c r="W28" s="27" t="n">
        <f aca="false">IFERROR(SUMIFS($F$5:$F$238,$C$5:$C$238,$C28)/SUMIFS($I$5:$I$238,$C$5:$C$238,$C28),0)</f>
        <v>0.00777604976671851</v>
      </c>
      <c r="X28" s="27" t="n">
        <f aca="false">IFERROR(SUMIFS($G$5:$G$238,$C$5:$C$238,$C28)/SUMIFS($I$5:$I$238,$C$5:$C$238,$C28),0)</f>
        <v>0.0451010886469673</v>
      </c>
      <c r="Y28" s="27" t="n">
        <f aca="false">IFERROR(SUMIFS($H$5:$H$238,$C$5:$C$238,$C28)/SUMIFS($I$5:$I$238,$C$5:$C$238,$C28),0)</f>
        <v>0.414463452566096</v>
      </c>
      <c r="Z28" s="24" t="n">
        <f aca="false">LN(MAX(I28,1))</f>
        <v>3.71357206670431</v>
      </c>
      <c r="AA28" s="24" t="n">
        <f aca="false">Calibration!$M$35+Calibration!$N$35+SUMPRODUCT(Calibration!$B$35:$F$35,J28:N28)+SUMPRODUCT(Calibration!$G$35:$K$35,U28:Y28)+Calibration!$L$35*Z28</f>
        <v>0.610529124283001</v>
      </c>
      <c r="AB28" s="24" t="n">
        <f aca="false">Calibration!$M$36+Calibration!$N$36+SUMPRODUCT(Calibration!$B$36:$F$36,J28:N28)+SUMPRODUCT(Calibration!$G$36:$K$36,U28:Y28)+Calibration!$L$36*Z28</f>
        <v>-0.0896322950270512</v>
      </c>
      <c r="AC28" s="24" t="n">
        <f aca="false">Calibration!$M$37+Calibration!$N$37+SUMPRODUCT(Calibration!$B$37:$F$37,J28:N28)+SUMPRODUCT(Calibration!$G$37:$K$37,U28:Y28)+Calibration!$L$37*Z28</f>
        <v>0.304103613637499</v>
      </c>
      <c r="AD28" s="27" t="n">
        <f aca="false">EXP(AC28)/(EXP(AA28)+EXP(AB28)+EXP(AC28))</f>
        <v>0.329696513053009</v>
      </c>
      <c r="AE28" s="7" t="str">
        <f aca="false">IF(AC28=MAX(AA28:AC28),"TVK",IF(AB28=MAX(AA28:AC28),"DMK+","AIADMK+"))</f>
        <v>AIADMK+</v>
      </c>
      <c r="AF28" s="7" t="str">
        <f aca="false">IF(AE28=R28,"Yes","No")</f>
        <v>No</v>
      </c>
      <c r="AG28" s="7" t="str">
        <f aca="false">IF(AE28=P28,"No","Yes")</f>
        <v>No</v>
      </c>
      <c r="AH28" s="7" t="str">
        <f aca="false">IF(H28=MAX(D28,E28,H28),"TVK",IF(E28=MAX(D28,E28,H28),"DMK+","AIADMK+"))</f>
        <v>AIADMK+</v>
      </c>
      <c r="AI28" s="27" t="n">
        <f aca="false">EXP(AA28)/(EXP(AA28)+EXP(AB28)+EXP(AC28))</f>
        <v>0.447912582284919</v>
      </c>
      <c r="AJ28" s="27" t="n">
        <f aca="false">EXP(AB28)/(EXP(AA28)+EXP(AB28)+EXP(AC28))</f>
        <v>0.222390904662072</v>
      </c>
      <c r="AK28" s="28" t="s">
        <v>3</v>
      </c>
      <c r="AL28" s="7" t="str">
        <f aca="false">IF(AK28=R28,"Yes","No")</f>
        <v>Yes</v>
      </c>
      <c r="AM28" s="27" t="n">
        <f aca="false">IF(AK28="TVK",AD28,IF(AK28="DMK+",AJ28,AI28))</f>
        <v>0.329696513053009</v>
      </c>
      <c r="AN28" s="7" t="str">
        <f aca="false">IF(AK28=P28,"No","Yes")</f>
        <v>Yes</v>
      </c>
    </row>
    <row r="29" customFormat="false" ht="15" hidden="false" customHeight="false" outlineLevel="0" collapsed="false">
      <c r="A29" s="0" t="n">
        <v>25</v>
      </c>
      <c r="B29" s="4" t="s">
        <v>219</v>
      </c>
      <c r="C29" s="5" t="s">
        <v>96</v>
      </c>
      <c r="D29" s="35" t="n">
        <v>14</v>
      </c>
      <c r="E29" s="35" t="n">
        <v>8</v>
      </c>
      <c r="F29" s="35"/>
      <c r="G29" s="35" t="n">
        <v>2</v>
      </c>
      <c r="H29" s="35" t="n">
        <v>21</v>
      </c>
      <c r="I29" s="5" t="n">
        <f aca="false">SUM(D29:H29)</f>
        <v>45</v>
      </c>
      <c r="J29" s="10" t="n">
        <f aca="false">IF($I29=0,0,D29/$I29)</f>
        <v>0.311111111111111</v>
      </c>
      <c r="K29" s="10" t="n">
        <f aca="false">IF($I29=0,0,E29/$I29)</f>
        <v>0.177777777777778</v>
      </c>
      <c r="L29" s="10" t="n">
        <f aca="false">IF($I29=0,0,F29/$I29)</f>
        <v>0</v>
      </c>
      <c r="M29" s="10" t="n">
        <f aca="false">IF($I29=0,0,G29/$I29)</f>
        <v>0.0444444444444444</v>
      </c>
      <c r="N29" s="10" t="n">
        <f aca="false">IF($I29=0,0,H29/$I29)</f>
        <v>0.466666666666667</v>
      </c>
      <c r="O29" s="35" t="s">
        <v>3</v>
      </c>
      <c r="P29" s="0" t="str">
        <f aca="false">IF(O29="TVK","TVK",IF(O29="DMK","DMK+",IF(O29="ADMK","AIADMK+","")))</f>
        <v>TVK</v>
      </c>
      <c r="Q29" s="35" t="s">
        <v>3</v>
      </c>
      <c r="R29" s="36" t="s">
        <v>3</v>
      </c>
      <c r="S29" s="0" t="str">
        <f aca="false">IF(P29=R29,"Yes","No")</f>
        <v>Yes</v>
      </c>
      <c r="T29" s="2"/>
      <c r="U29" s="27" t="n">
        <f aca="false">IFERROR(SUMIFS($D$5:$D$238,$C$5:$C$238,$C29)/SUMIFS($I$5:$I$238,$C$5:$C$238,$C29),0)</f>
        <v>0.26049766718507</v>
      </c>
      <c r="V29" s="27" t="n">
        <f aca="false">IFERROR(SUMIFS($E$5:$E$238,$C$5:$C$238,$C29)/SUMIFS($I$5:$I$238,$C$5:$C$238,$C29),0)</f>
        <v>0.272161741835148</v>
      </c>
      <c r="W29" s="27" t="n">
        <f aca="false">IFERROR(SUMIFS($F$5:$F$238,$C$5:$C$238,$C29)/SUMIFS($I$5:$I$238,$C$5:$C$238,$C29),0)</f>
        <v>0.00777604976671851</v>
      </c>
      <c r="X29" s="27" t="n">
        <f aca="false">IFERROR(SUMIFS($G$5:$G$238,$C$5:$C$238,$C29)/SUMIFS($I$5:$I$238,$C$5:$C$238,$C29),0)</f>
        <v>0.0451010886469673</v>
      </c>
      <c r="Y29" s="27" t="n">
        <f aca="false">IFERROR(SUMIFS($H$5:$H$238,$C$5:$C$238,$C29)/SUMIFS($I$5:$I$238,$C$5:$C$238,$C29),0)</f>
        <v>0.414463452566096</v>
      </c>
      <c r="Z29" s="24" t="n">
        <f aca="false">LN(MAX(I29,1))</f>
        <v>3.80666248977032</v>
      </c>
      <c r="AA29" s="24" t="n">
        <f aca="false">Calibration!$M$35+Calibration!$N$35+SUMPRODUCT(Calibration!$B$35:$F$35,J29:N29)+SUMPRODUCT(Calibration!$G$35:$K$35,U29:Y29)+Calibration!$L$35*Z29</f>
        <v>0.215915828688254</v>
      </c>
      <c r="AB29" s="24" t="n">
        <f aca="false">Calibration!$M$36+Calibration!$N$36+SUMPRODUCT(Calibration!$B$36:$F$36,J29:N29)+SUMPRODUCT(Calibration!$G$36:$K$36,U29:Y29)+Calibration!$L$36*Z29</f>
        <v>0.0347537943164764</v>
      </c>
      <c r="AC29" s="24" t="n">
        <f aca="false">Calibration!$M$37+Calibration!$N$37+SUMPRODUCT(Calibration!$B$37:$F$37,J29:N29)+SUMPRODUCT(Calibration!$G$37:$K$37,U29:Y29)+Calibration!$L$37*Z29</f>
        <v>0.574331115823677</v>
      </c>
      <c r="AD29" s="27" t="n">
        <f aca="false">EXP(AC29)/(EXP(AA29)+EXP(AB29)+EXP(AC29))</f>
        <v>0.438254837210973</v>
      </c>
      <c r="AE29" s="7" t="str">
        <f aca="false">IF(AC29=MAX(AA29:AC29),"TVK",IF(AB29=MAX(AA29:AC29),"DMK+","AIADMK+"))</f>
        <v>TVK</v>
      </c>
      <c r="AF29" s="7" t="str">
        <f aca="false">IF(AE29=R29,"Yes","No")</f>
        <v>Yes</v>
      </c>
      <c r="AG29" s="7" t="str">
        <f aca="false">IF(AE29=P29,"No","Yes")</f>
        <v>No</v>
      </c>
      <c r="AH29" s="7" t="str">
        <f aca="false">IF(H29=MAX(D29,E29,H29),"TVK",IF(E29=MAX(D29,E29,H29),"DMK+","AIADMK+"))</f>
        <v>TVK</v>
      </c>
      <c r="AI29" s="27" t="n">
        <f aca="false">EXP(AA29)/(EXP(AA29)+EXP(AB29)+EXP(AC29))</f>
        <v>0.306244950685572</v>
      </c>
      <c r="AJ29" s="27" t="n">
        <f aca="false">EXP(AB29)/(EXP(AA29)+EXP(AB29)+EXP(AC29))</f>
        <v>0.255500212103455</v>
      </c>
      <c r="AK29" s="28" t="s">
        <v>3</v>
      </c>
      <c r="AL29" s="7" t="str">
        <f aca="false">IF(AK29=R29,"Yes","No")</f>
        <v>Yes</v>
      </c>
      <c r="AM29" s="27" t="n">
        <f aca="false">IF(AK29="TVK",AD29,IF(AK29="DMK+",AJ29,AI29))</f>
        <v>0.438254837210973</v>
      </c>
      <c r="AN29" s="7" t="str">
        <f aca="false">IF(AK29=P29,"No","Yes")</f>
        <v>No</v>
      </c>
    </row>
    <row r="30" customFormat="false" ht="15" hidden="true" customHeight="false" outlineLevel="0" collapsed="false">
      <c r="A30" s="0" t="n">
        <v>26</v>
      </c>
      <c r="B30" s="4" t="s">
        <v>220</v>
      </c>
      <c r="C30" s="5" t="s">
        <v>96</v>
      </c>
      <c r="D30" s="35" t="n">
        <v>22</v>
      </c>
      <c r="E30" s="35" t="n">
        <v>14</v>
      </c>
      <c r="F30" s="35"/>
      <c r="G30" s="35" t="n">
        <v>3</v>
      </c>
      <c r="H30" s="35" t="n">
        <v>21</v>
      </c>
      <c r="I30" s="5" t="n">
        <f aca="false">SUM(D30:H30)</f>
        <v>60</v>
      </c>
      <c r="J30" s="10" t="n">
        <f aca="false">IF($I30=0,0,D30/$I30)</f>
        <v>0.366666666666667</v>
      </c>
      <c r="K30" s="10" t="n">
        <f aca="false">IF($I30=0,0,E30/$I30)</f>
        <v>0.233333333333333</v>
      </c>
      <c r="L30" s="10" t="n">
        <f aca="false">IF($I30=0,0,F30/$I30)</f>
        <v>0</v>
      </c>
      <c r="M30" s="10" t="n">
        <f aca="false">IF($I30=0,0,G30/$I30)</f>
        <v>0.05</v>
      </c>
      <c r="N30" s="10" t="n">
        <f aca="false">IF($I30=0,0,H30/$I30)</f>
        <v>0.35</v>
      </c>
      <c r="O30" s="35" t="s">
        <v>218</v>
      </c>
      <c r="P30" s="0" t="str">
        <f aca="false">IF(O30="TVK","TVK",IF(O30="DMK","DMK+",IF(O30="ADMK","AIADMK+","")))</f>
        <v>AIADMK+</v>
      </c>
      <c r="Q30" s="35" t="s">
        <v>3</v>
      </c>
      <c r="R30" s="36" t="s">
        <v>3</v>
      </c>
      <c r="S30" s="0" t="str">
        <f aca="false">IF(P30=R30,"Yes","No")</f>
        <v>No</v>
      </c>
      <c r="T30" s="2"/>
      <c r="U30" s="27" t="n">
        <f aca="false">IFERROR(SUMIFS($D$5:$D$238,$C$5:$C$238,$C30)/SUMIFS($I$5:$I$238,$C$5:$C$238,$C30),0)</f>
        <v>0.26049766718507</v>
      </c>
      <c r="V30" s="27" t="n">
        <f aca="false">IFERROR(SUMIFS($E$5:$E$238,$C$5:$C$238,$C30)/SUMIFS($I$5:$I$238,$C$5:$C$238,$C30),0)</f>
        <v>0.272161741835148</v>
      </c>
      <c r="W30" s="27" t="n">
        <f aca="false">IFERROR(SUMIFS($F$5:$F$238,$C$5:$C$238,$C30)/SUMIFS($I$5:$I$238,$C$5:$C$238,$C30),0)</f>
        <v>0.00777604976671851</v>
      </c>
      <c r="X30" s="27" t="n">
        <f aca="false">IFERROR(SUMIFS($G$5:$G$238,$C$5:$C$238,$C30)/SUMIFS($I$5:$I$238,$C$5:$C$238,$C30),0)</f>
        <v>0.0451010886469673</v>
      </c>
      <c r="Y30" s="27" t="n">
        <f aca="false">IFERROR(SUMIFS($H$5:$H$238,$C$5:$C$238,$C30)/SUMIFS($I$5:$I$238,$C$5:$C$238,$C30),0)</f>
        <v>0.414463452566096</v>
      </c>
      <c r="Z30" s="24" t="n">
        <f aca="false">LN(MAX(I30,1))</f>
        <v>4.0943445622221</v>
      </c>
      <c r="AA30" s="24" t="n">
        <f aca="false">Calibration!$M$35+Calibration!$N$35+SUMPRODUCT(Calibration!$B$35:$F$35,J30:N30)+SUMPRODUCT(Calibration!$G$35:$K$35,U30:Y30)+Calibration!$L$35*Z30</f>
        <v>0.0962087081898928</v>
      </c>
      <c r="AB30" s="24" t="n">
        <f aca="false">Calibration!$M$36+Calibration!$N$36+SUMPRODUCT(Calibration!$B$36:$F$36,J30:N30)+SUMPRODUCT(Calibration!$G$36:$K$36,U30:Y30)+Calibration!$L$36*Z30</f>
        <v>-0.0891182945212048</v>
      </c>
      <c r="AC30" s="24" t="n">
        <f aca="false">Calibration!$M$37+Calibration!$N$37+SUMPRODUCT(Calibration!$B$37:$F$37,J30:N30)+SUMPRODUCT(Calibration!$G$37:$K$37,U30:Y30)+Calibration!$L$37*Z30</f>
        <v>0.817910208493053</v>
      </c>
      <c r="AD30" s="27" t="n">
        <f aca="false">EXP(AC30)/(EXP(AA30)+EXP(AB30)+EXP(AC30))</f>
        <v>0.529199410020067</v>
      </c>
      <c r="AE30" s="7" t="str">
        <f aca="false">IF(AC30=MAX(AA30:AC30),"TVK",IF(AB30=MAX(AA30:AC30),"DMK+","AIADMK+"))</f>
        <v>TVK</v>
      </c>
      <c r="AF30" s="7" t="str">
        <f aca="false">IF(AE30=R30,"Yes","No")</f>
        <v>Yes</v>
      </c>
      <c r="AG30" s="7" t="str">
        <f aca="false">IF(AE30=P30,"No","Yes")</f>
        <v>Yes</v>
      </c>
      <c r="AH30" s="7" t="str">
        <f aca="false">IF(H30=MAX(D30,E30,H30),"TVK",IF(E30=MAX(D30,E30,H30),"DMK+","AIADMK+"))</f>
        <v>AIADMK+</v>
      </c>
      <c r="AI30" s="27" t="n">
        <f aca="false">EXP(AA30)/(EXP(AA30)+EXP(AB30)+EXP(AC30))</f>
        <v>0.257151091568995</v>
      </c>
      <c r="AJ30" s="27" t="n">
        <f aca="false">EXP(AB30)/(EXP(AA30)+EXP(AB30)+EXP(AC30))</f>
        <v>0.213649498410938</v>
      </c>
      <c r="AK30" s="28" t="s">
        <v>3</v>
      </c>
      <c r="AL30" s="7" t="str">
        <f aca="false">IF(AK30=R30,"Yes","No")</f>
        <v>Yes</v>
      </c>
      <c r="AM30" s="27" t="n">
        <f aca="false">IF(AK30="TVK",AD30,IF(AK30="DMK+",AJ30,AI30))</f>
        <v>0.529199410020067</v>
      </c>
      <c r="AN30" s="7" t="str">
        <f aca="false">IF(AK30=P30,"No","Yes")</f>
        <v>Yes</v>
      </c>
    </row>
    <row r="31" customFormat="false" ht="15" hidden="false" customHeight="false" outlineLevel="0" collapsed="false">
      <c r="A31" s="0" t="n">
        <v>27</v>
      </c>
      <c r="B31" s="4" t="s">
        <v>221</v>
      </c>
      <c r="C31" s="5" t="s">
        <v>96</v>
      </c>
      <c r="D31" s="35" t="n">
        <v>34</v>
      </c>
      <c r="E31" s="35" t="n">
        <v>22</v>
      </c>
      <c r="F31" s="35" t="n">
        <v>1</v>
      </c>
      <c r="G31" s="35" t="n">
        <v>6</v>
      </c>
      <c r="H31" s="35" t="n">
        <v>45</v>
      </c>
      <c r="I31" s="5" t="n">
        <f aca="false">SUM(D31:H31)</f>
        <v>108</v>
      </c>
      <c r="J31" s="10" t="n">
        <f aca="false">IF($I31=0,0,D31/$I31)</f>
        <v>0.314814814814815</v>
      </c>
      <c r="K31" s="10" t="n">
        <f aca="false">IF($I31=0,0,E31/$I31)</f>
        <v>0.203703703703704</v>
      </c>
      <c r="L31" s="10" t="n">
        <f aca="false">IF($I31=0,0,F31/$I31)</f>
        <v>0.00925925925925926</v>
      </c>
      <c r="M31" s="10" t="n">
        <f aca="false">IF($I31=0,0,G31/$I31)</f>
        <v>0.0555555555555556</v>
      </c>
      <c r="N31" s="10" t="n">
        <f aca="false">IF($I31=0,0,H31/$I31)</f>
        <v>0.416666666666667</v>
      </c>
      <c r="O31" s="35" t="s">
        <v>3</v>
      </c>
      <c r="P31" s="0" t="str">
        <f aca="false">IF(O31="TVK","TVK",IF(O31="DMK","DMK+",IF(O31="ADMK","AIADMK+","")))</f>
        <v>TVK</v>
      </c>
      <c r="Q31" s="35" t="s">
        <v>3</v>
      </c>
      <c r="R31" s="36" t="s">
        <v>3</v>
      </c>
      <c r="S31" s="0" t="str">
        <f aca="false">IF(P31=R31,"Yes","No")</f>
        <v>Yes</v>
      </c>
      <c r="T31" s="2"/>
      <c r="U31" s="27" t="n">
        <f aca="false">IFERROR(SUMIFS($D$5:$D$238,$C$5:$C$238,$C31)/SUMIFS($I$5:$I$238,$C$5:$C$238,$C31),0)</f>
        <v>0.26049766718507</v>
      </c>
      <c r="V31" s="27" t="n">
        <f aca="false">IFERROR(SUMIFS($E$5:$E$238,$C$5:$C$238,$C31)/SUMIFS($I$5:$I$238,$C$5:$C$238,$C31),0)</f>
        <v>0.272161741835148</v>
      </c>
      <c r="W31" s="27" t="n">
        <f aca="false">IFERROR(SUMIFS($F$5:$F$238,$C$5:$C$238,$C31)/SUMIFS($I$5:$I$238,$C$5:$C$238,$C31),0)</f>
        <v>0.00777604976671851</v>
      </c>
      <c r="X31" s="27" t="n">
        <f aca="false">IFERROR(SUMIFS($G$5:$G$238,$C$5:$C$238,$C31)/SUMIFS($I$5:$I$238,$C$5:$C$238,$C31),0)</f>
        <v>0.0451010886469673</v>
      </c>
      <c r="Y31" s="27" t="n">
        <f aca="false">IFERROR(SUMIFS($H$5:$H$238,$C$5:$C$238,$C31)/SUMIFS($I$5:$I$238,$C$5:$C$238,$C31),0)</f>
        <v>0.414463452566096</v>
      </c>
      <c r="Z31" s="24" t="n">
        <f aca="false">LN(MAX(I31,1))</f>
        <v>4.68213122712422</v>
      </c>
      <c r="AA31" s="24" t="n">
        <f aca="false">Calibration!$M$35+Calibration!$N$35+SUMPRODUCT(Calibration!$B$35:$F$35,J31:N31)+SUMPRODUCT(Calibration!$G$35:$K$35,U31:Y31)+Calibration!$L$35*Z31</f>
        <v>-0.246919255453666</v>
      </c>
      <c r="AB31" s="24" t="n">
        <f aca="false">Calibration!$M$36+Calibration!$N$36+SUMPRODUCT(Calibration!$B$36:$F$36,J31:N31)+SUMPRODUCT(Calibration!$G$36:$K$36,U31:Y31)+Calibration!$L$36*Z31</f>
        <v>-0.463774767113314</v>
      </c>
      <c r="AC31" s="24" t="n">
        <f aca="false">Calibration!$M$37+Calibration!$N$37+SUMPRODUCT(Calibration!$B$37:$F$37,J31:N31)+SUMPRODUCT(Calibration!$G$37:$K$37,U31:Y31)+Calibration!$L$37*Z31</f>
        <v>1.53569471139539</v>
      </c>
      <c r="AD31" s="27" t="n">
        <f aca="false">EXP(AC31)/(EXP(AA31)+EXP(AB31)+EXP(AC31))</f>
        <v>0.767103526867909</v>
      </c>
      <c r="AE31" s="7" t="str">
        <f aca="false">IF(AC31=MAX(AA31:AC31),"TVK",IF(AB31=MAX(AA31:AC31),"DMK+","AIADMK+"))</f>
        <v>TVK</v>
      </c>
      <c r="AF31" s="7" t="str">
        <f aca="false">IF(AE31=R31,"Yes","No")</f>
        <v>Yes</v>
      </c>
      <c r="AG31" s="7" t="str">
        <f aca="false">IF(AE31=P31,"No","Yes")</f>
        <v>No</v>
      </c>
      <c r="AH31" s="7" t="str">
        <f aca="false">IF(H31=MAX(D31,E31,H31),"TVK",IF(E31=MAX(D31,E31,H31),"DMK+","AIADMK+"))</f>
        <v>TVK</v>
      </c>
      <c r="AI31" s="27" t="n">
        <f aca="false">EXP(AA31)/(EXP(AA31)+EXP(AB31)+EXP(AC31))</f>
        <v>0.129025208728382</v>
      </c>
      <c r="AJ31" s="27" t="n">
        <f aca="false">EXP(AB31)/(EXP(AA31)+EXP(AB31)+EXP(AC31))</f>
        <v>0.10387126440371</v>
      </c>
      <c r="AK31" s="28" t="s">
        <v>3</v>
      </c>
      <c r="AL31" s="7" t="str">
        <f aca="false">IF(AK31=R31,"Yes","No")</f>
        <v>Yes</v>
      </c>
      <c r="AM31" s="27" t="n">
        <f aca="false">IF(AK31="TVK",AD31,IF(AK31="DMK+",AJ31,AI31))</f>
        <v>0.767103526867909</v>
      </c>
      <c r="AN31" s="7" t="str">
        <f aca="false">IF(AK31=P31,"No","Yes")</f>
        <v>No</v>
      </c>
    </row>
    <row r="32" customFormat="false" ht="15" hidden="true" customHeight="false" outlineLevel="0" collapsed="false">
      <c r="A32" s="0" t="n">
        <v>28</v>
      </c>
      <c r="B32" s="4" t="s">
        <v>222</v>
      </c>
      <c r="C32" s="5" t="s">
        <v>96</v>
      </c>
      <c r="D32" s="35" t="n">
        <v>23</v>
      </c>
      <c r="E32" s="35" t="n">
        <v>14</v>
      </c>
      <c r="F32" s="35"/>
      <c r="G32" s="35" t="n">
        <v>3</v>
      </c>
      <c r="H32" s="35" t="n">
        <v>16</v>
      </c>
      <c r="I32" s="5" t="n">
        <f aca="false">SUM(D32:H32)</f>
        <v>56</v>
      </c>
      <c r="J32" s="10" t="n">
        <f aca="false">IF($I32=0,0,D32/$I32)</f>
        <v>0.410714285714286</v>
      </c>
      <c r="K32" s="10" t="n">
        <f aca="false">IF($I32=0,0,E32/$I32)</f>
        <v>0.25</v>
      </c>
      <c r="L32" s="10" t="n">
        <f aca="false">IF($I32=0,0,F32/$I32)</f>
        <v>0</v>
      </c>
      <c r="M32" s="10" t="n">
        <f aca="false">IF($I32=0,0,G32/$I32)</f>
        <v>0.0535714285714286</v>
      </c>
      <c r="N32" s="10" t="n">
        <f aca="false">IF($I32=0,0,H32/$I32)</f>
        <v>0.285714285714286</v>
      </c>
      <c r="O32" s="35" t="s">
        <v>218</v>
      </c>
      <c r="P32" s="0" t="str">
        <f aca="false">IF(O32="TVK","TVK",IF(O32="DMK","DMK+",IF(O32="ADMK","AIADMK+","")))</f>
        <v>AIADMK+</v>
      </c>
      <c r="Q32" s="35" t="s">
        <v>3</v>
      </c>
      <c r="R32" s="36" t="s">
        <v>3</v>
      </c>
      <c r="S32" s="0" t="str">
        <f aca="false">IF(P32=R32,"Yes","No")</f>
        <v>No</v>
      </c>
      <c r="T32" s="2"/>
      <c r="U32" s="27" t="n">
        <f aca="false">IFERROR(SUMIFS($D$5:$D$238,$C$5:$C$238,$C32)/SUMIFS($I$5:$I$238,$C$5:$C$238,$C32),0)</f>
        <v>0.26049766718507</v>
      </c>
      <c r="V32" s="27" t="n">
        <f aca="false">IFERROR(SUMIFS($E$5:$E$238,$C$5:$C$238,$C32)/SUMIFS($I$5:$I$238,$C$5:$C$238,$C32),0)</f>
        <v>0.272161741835148</v>
      </c>
      <c r="W32" s="27" t="n">
        <f aca="false">IFERROR(SUMIFS($F$5:$F$238,$C$5:$C$238,$C32)/SUMIFS($I$5:$I$238,$C$5:$C$238,$C32),0)</f>
        <v>0.00777604976671851</v>
      </c>
      <c r="X32" s="27" t="n">
        <f aca="false">IFERROR(SUMIFS($G$5:$G$238,$C$5:$C$238,$C32)/SUMIFS($I$5:$I$238,$C$5:$C$238,$C32),0)</f>
        <v>0.0451010886469673</v>
      </c>
      <c r="Y32" s="27" t="n">
        <f aca="false">IFERROR(SUMIFS($H$5:$H$238,$C$5:$C$238,$C32)/SUMIFS($I$5:$I$238,$C$5:$C$238,$C32),0)</f>
        <v>0.414463452566096</v>
      </c>
      <c r="Z32" s="24" t="n">
        <f aca="false">LN(MAX(I32,1))</f>
        <v>4.02535169073515</v>
      </c>
      <c r="AA32" s="24" t="n">
        <f aca="false">Calibration!$M$35+Calibration!$N$35+SUMPRODUCT(Calibration!$B$35:$F$35,J32:N32)+SUMPRODUCT(Calibration!$G$35:$K$35,U32:Y32)+Calibration!$L$35*Z32</f>
        <v>0.171350063054532</v>
      </c>
      <c r="AB32" s="24" t="n">
        <f aca="false">Calibration!$M$36+Calibration!$N$36+SUMPRODUCT(Calibration!$B$36:$F$36,J32:N32)+SUMPRODUCT(Calibration!$G$36:$K$36,U32:Y32)+Calibration!$L$36*Z32</f>
        <v>-0.0427930457440766</v>
      </c>
      <c r="AC32" s="24" t="n">
        <f aca="false">Calibration!$M$37+Calibration!$N$37+SUMPRODUCT(Calibration!$B$37:$F$37,J32:N32)+SUMPRODUCT(Calibration!$G$37:$K$37,U32:Y32)+Calibration!$L$37*Z32</f>
        <v>0.696443540565571</v>
      </c>
      <c r="AD32" s="27" t="n">
        <f aca="false">EXP(AC32)/(EXP(AA32)+EXP(AB32)+EXP(AC32))</f>
        <v>0.483330333208442</v>
      </c>
      <c r="AE32" s="7" t="str">
        <f aca="false">IF(AC32=MAX(AA32:AC32),"TVK",IF(AB32=MAX(AA32:AC32),"DMK+","AIADMK+"))</f>
        <v>TVK</v>
      </c>
      <c r="AF32" s="7" t="str">
        <f aca="false">IF(AE32=R32,"Yes","No")</f>
        <v>Yes</v>
      </c>
      <c r="AG32" s="7" t="str">
        <f aca="false">IF(AE32=P32,"No","Yes")</f>
        <v>Yes</v>
      </c>
      <c r="AH32" s="7" t="str">
        <f aca="false">IF(H32=MAX(D32,E32,H32),"TVK",IF(E32=MAX(D32,E32,H32),"DMK+","AIADMK+"))</f>
        <v>AIADMK+</v>
      </c>
      <c r="AI32" s="27" t="n">
        <f aca="false">EXP(AA32)/(EXP(AA32)+EXP(AB32)+EXP(AC32))</f>
        <v>0.285889925842857</v>
      </c>
      <c r="AJ32" s="27" t="n">
        <f aca="false">EXP(AB32)/(EXP(AA32)+EXP(AB32)+EXP(AC32))</f>
        <v>0.230779740948702</v>
      </c>
      <c r="AK32" s="28" t="s">
        <v>3</v>
      </c>
      <c r="AL32" s="7" t="str">
        <f aca="false">IF(AK32=R32,"Yes","No")</f>
        <v>Yes</v>
      </c>
      <c r="AM32" s="27" t="n">
        <f aca="false">IF(AK32="TVK",AD32,IF(AK32="DMK+",AJ32,AI32))</f>
        <v>0.483330333208442</v>
      </c>
      <c r="AN32" s="7" t="str">
        <f aca="false">IF(AK32=P32,"No","Yes")</f>
        <v>Yes</v>
      </c>
    </row>
    <row r="33" customFormat="false" ht="15" hidden="true" customHeight="false" outlineLevel="0" collapsed="false">
      <c r="A33" s="0" t="n">
        <v>29</v>
      </c>
      <c r="B33" s="4" t="s">
        <v>223</v>
      </c>
      <c r="C33" s="5" t="s">
        <v>110</v>
      </c>
      <c r="D33" s="35" t="n">
        <v>12</v>
      </c>
      <c r="E33" s="35" t="n">
        <v>16</v>
      </c>
      <c r="F33" s="35"/>
      <c r="G33" s="35" t="n">
        <v>3</v>
      </c>
      <c r="H33" s="35" t="n">
        <v>17</v>
      </c>
      <c r="I33" s="5" t="n">
        <f aca="false">SUM(D33:H33)</f>
        <v>48</v>
      </c>
      <c r="J33" s="10" t="n">
        <f aca="false">IF($I33=0,0,D33/$I33)</f>
        <v>0.25</v>
      </c>
      <c r="K33" s="10" t="n">
        <f aca="false">IF($I33=0,0,E33/$I33)</f>
        <v>0.333333333333333</v>
      </c>
      <c r="L33" s="10" t="n">
        <f aca="false">IF($I33=0,0,F33/$I33)</f>
        <v>0</v>
      </c>
      <c r="M33" s="10" t="n">
        <f aca="false">IF($I33=0,0,G33/$I33)</f>
        <v>0.0625</v>
      </c>
      <c r="N33" s="10" t="n">
        <f aca="false">IF($I33=0,0,H33/$I33)</f>
        <v>0.354166666666667</v>
      </c>
      <c r="O33" s="35" t="s">
        <v>197</v>
      </c>
      <c r="P33" s="0" t="str">
        <f aca="false">IF(O33="TVK","TVK",IF(O33="DMK","DMK+",IF(O33="ADMK","AIADMK+","")))</f>
        <v>DMK+</v>
      </c>
      <c r="Q33" s="35" t="s">
        <v>3</v>
      </c>
      <c r="R33" s="36" t="s">
        <v>3</v>
      </c>
      <c r="S33" s="0" t="str">
        <f aca="false">IF(P33=R33,"Yes","No")</f>
        <v>No</v>
      </c>
      <c r="T33" s="2"/>
      <c r="U33" s="27" t="n">
        <f aca="false">IFERROR(SUMIFS($D$5:$D$238,$C$5:$C$238,$C33)/SUMIFS($I$5:$I$238,$C$5:$C$238,$C33),0)</f>
        <v>0.251851851851852</v>
      </c>
      <c r="V33" s="27" t="n">
        <f aca="false">IFERROR(SUMIFS($E$5:$E$238,$C$5:$C$238,$C33)/SUMIFS($I$5:$I$238,$C$5:$C$238,$C33),0)</f>
        <v>0.288888888888889</v>
      </c>
      <c r="W33" s="27" t="n">
        <f aca="false">IFERROR(SUMIFS($F$5:$F$238,$C$5:$C$238,$C33)/SUMIFS($I$5:$I$238,$C$5:$C$238,$C33),0)</f>
        <v>0</v>
      </c>
      <c r="X33" s="27" t="n">
        <f aca="false">IFERROR(SUMIFS($G$5:$G$238,$C$5:$C$238,$C33)/SUMIFS($I$5:$I$238,$C$5:$C$238,$C33),0)</f>
        <v>0.0592592592592593</v>
      </c>
      <c r="Y33" s="27" t="n">
        <f aca="false">IFERROR(SUMIFS($H$5:$H$238,$C$5:$C$238,$C33)/SUMIFS($I$5:$I$238,$C$5:$C$238,$C33),0)</f>
        <v>0.4</v>
      </c>
      <c r="Z33" s="24" t="n">
        <f aca="false">LN(MAX(I33,1))</f>
        <v>3.87120101090789</v>
      </c>
      <c r="AA33" s="24" t="n">
        <f aca="false">Calibration!$M$35+Calibration!$N$35+SUMPRODUCT(Calibration!$B$35:$F$35,J33:N33)+SUMPRODUCT(Calibration!$G$35:$K$35,U33:Y33)+Calibration!$L$35*Z33</f>
        <v>0.020140455453983</v>
      </c>
      <c r="AB33" s="24" t="n">
        <f aca="false">Calibration!$M$36+Calibration!$N$36+SUMPRODUCT(Calibration!$B$36:$F$36,J33:N33)+SUMPRODUCT(Calibration!$G$36:$K$36,U33:Y33)+Calibration!$L$36*Z33</f>
        <v>0.28797215368401</v>
      </c>
      <c r="AC33" s="24" t="n">
        <f aca="false">Calibration!$M$37+Calibration!$N$37+SUMPRODUCT(Calibration!$B$37:$F$37,J33:N33)+SUMPRODUCT(Calibration!$G$37:$K$37,U33:Y33)+Calibration!$L$37*Z33</f>
        <v>0.516888033917563</v>
      </c>
      <c r="AD33" s="27" t="n">
        <f aca="false">EXP(AC33)/(EXP(AA33)+EXP(AB33)+EXP(AC33))</f>
        <v>0.415990335062145</v>
      </c>
      <c r="AE33" s="7" t="str">
        <f aca="false">IF(AC33=MAX(AA33:AC33),"TVK",IF(AB33=MAX(AA33:AC33),"DMK+","AIADMK+"))</f>
        <v>TVK</v>
      </c>
      <c r="AF33" s="7" t="str">
        <f aca="false">IF(AE33=R33,"Yes","No")</f>
        <v>Yes</v>
      </c>
      <c r="AG33" s="7" t="str">
        <f aca="false">IF(AE33=P33,"No","Yes")</f>
        <v>Yes</v>
      </c>
      <c r="AH33" s="7" t="str">
        <f aca="false">IF(H33=MAX(D33,E33,H33),"TVK",IF(E33=MAX(D33,E33,H33),"DMK+","AIADMK+"))</f>
        <v>TVK</v>
      </c>
      <c r="AI33" s="27" t="n">
        <f aca="false">EXP(AA33)/(EXP(AA33)+EXP(AB33)+EXP(AC33))</f>
        <v>0.253132849690797</v>
      </c>
      <c r="AJ33" s="27" t="n">
        <f aca="false">EXP(AB33)/(EXP(AA33)+EXP(AB33)+EXP(AC33))</f>
        <v>0.330876815247058</v>
      </c>
      <c r="AK33" s="28" t="s">
        <v>3</v>
      </c>
      <c r="AL33" s="7" t="str">
        <f aca="false">IF(AK33=R33,"Yes","No")</f>
        <v>Yes</v>
      </c>
      <c r="AM33" s="27" t="n">
        <f aca="false">IF(AK33="TVK",AD33,IF(AK33="DMK+",AJ33,AI33))</f>
        <v>0.415990335062145</v>
      </c>
      <c r="AN33" s="7" t="str">
        <f aca="false">IF(AK33=P33,"No","Yes")</f>
        <v>Yes</v>
      </c>
    </row>
    <row r="34" customFormat="false" ht="15" hidden="false" customHeight="false" outlineLevel="0" collapsed="false">
      <c r="A34" s="0" t="n">
        <v>30</v>
      </c>
      <c r="B34" s="4" t="s">
        <v>224</v>
      </c>
      <c r="C34" s="5" t="s">
        <v>94</v>
      </c>
      <c r="D34" s="35" t="n">
        <v>26</v>
      </c>
      <c r="E34" s="35" t="n">
        <v>28</v>
      </c>
      <c r="F34" s="35"/>
      <c r="G34" s="35" t="n">
        <v>4</v>
      </c>
      <c r="H34" s="35" t="n">
        <v>38</v>
      </c>
      <c r="I34" s="5" t="n">
        <f aca="false">SUM(D34:H34)</f>
        <v>96</v>
      </c>
      <c r="J34" s="10" t="n">
        <f aca="false">IF($I34=0,0,D34/$I34)</f>
        <v>0.270833333333333</v>
      </c>
      <c r="K34" s="10" t="n">
        <f aca="false">IF($I34=0,0,E34/$I34)</f>
        <v>0.291666666666667</v>
      </c>
      <c r="L34" s="10" t="n">
        <f aca="false">IF($I34=0,0,F34/$I34)</f>
        <v>0</v>
      </c>
      <c r="M34" s="10" t="n">
        <f aca="false">IF($I34=0,0,G34/$I34)</f>
        <v>0.0416666666666667</v>
      </c>
      <c r="N34" s="10" t="n">
        <f aca="false">IF($I34=0,0,H34/$I34)</f>
        <v>0.395833333333333</v>
      </c>
      <c r="O34" s="35" t="s">
        <v>3</v>
      </c>
      <c r="P34" s="0" t="str">
        <f aca="false">IF(O34="TVK","TVK",IF(O34="DMK","DMK+",IF(O34="ADMK","AIADMK+","")))</f>
        <v>TVK</v>
      </c>
      <c r="Q34" s="35" t="s">
        <v>3</v>
      </c>
      <c r="R34" s="36" t="s">
        <v>3</v>
      </c>
      <c r="S34" s="0" t="str">
        <f aca="false">IF(P34=R34,"Yes","No")</f>
        <v>Yes</v>
      </c>
      <c r="T34" s="2"/>
      <c r="U34" s="27" t="n">
        <f aca="false">IFERROR(SUMIFS($D$5:$D$238,$C$5:$C$238,$C34)/SUMIFS($I$5:$I$238,$C$5:$C$238,$C34),0)</f>
        <v>0.263473053892216</v>
      </c>
      <c r="V34" s="27" t="n">
        <f aca="false">IFERROR(SUMIFS($E$5:$E$238,$C$5:$C$238,$C34)/SUMIFS($I$5:$I$238,$C$5:$C$238,$C34),0)</f>
        <v>0.248502994011976</v>
      </c>
      <c r="W34" s="27" t="n">
        <f aca="false">IFERROR(SUMIFS($F$5:$F$238,$C$5:$C$238,$C34)/SUMIFS($I$5:$I$238,$C$5:$C$238,$C34),0)</f>
        <v>0.00898203592814371</v>
      </c>
      <c r="X34" s="27" t="n">
        <f aca="false">IFERROR(SUMIFS($G$5:$G$238,$C$5:$C$238,$C34)/SUMIFS($I$5:$I$238,$C$5:$C$238,$C34),0)</f>
        <v>0.0658682634730539</v>
      </c>
      <c r="Y34" s="27" t="n">
        <f aca="false">IFERROR(SUMIFS($H$5:$H$238,$C$5:$C$238,$C34)/SUMIFS($I$5:$I$238,$C$5:$C$238,$C34),0)</f>
        <v>0.413173652694611</v>
      </c>
      <c r="Z34" s="24" t="n">
        <f aca="false">LN(MAX(I34,1))</f>
        <v>4.56434819146784</v>
      </c>
      <c r="AA34" s="24" t="n">
        <f aca="false">Calibration!$M$35+Calibration!$N$35+SUMPRODUCT(Calibration!$B$35:$F$35,J34:N34)+SUMPRODUCT(Calibration!$G$35:$K$35,U34:Y34)+Calibration!$L$35*Z34</f>
        <v>-0.275680910949232</v>
      </c>
      <c r="AB34" s="24" t="n">
        <f aca="false">Calibration!$M$36+Calibration!$N$36+SUMPRODUCT(Calibration!$B$36:$F$36,J34:N34)+SUMPRODUCT(Calibration!$G$36:$K$36,U34:Y34)+Calibration!$L$36*Z34</f>
        <v>-0.261090261158357</v>
      </c>
      <c r="AC34" s="24" t="n">
        <f aca="false">Calibration!$M$37+Calibration!$N$37+SUMPRODUCT(Calibration!$B$37:$F$37,J34:N34)+SUMPRODUCT(Calibration!$G$37:$K$37,U34:Y34)+Calibration!$L$37*Z34</f>
        <v>1.36177181644392</v>
      </c>
      <c r="AD34" s="27" t="n">
        <f aca="false">EXP(AC34)/(EXP(AA34)+EXP(AB34)+EXP(AC34))</f>
        <v>0.718489958471716</v>
      </c>
      <c r="AE34" s="7" t="str">
        <f aca="false">IF(AC34=MAX(AA34:AC34),"TVK",IF(AB34=MAX(AA34:AC34),"DMK+","AIADMK+"))</f>
        <v>TVK</v>
      </c>
      <c r="AF34" s="7" t="str">
        <f aca="false">IF(AE34=R34,"Yes","No")</f>
        <v>Yes</v>
      </c>
      <c r="AG34" s="7" t="str">
        <f aca="false">IF(AE34=P34,"No","Yes")</f>
        <v>No</v>
      </c>
      <c r="AH34" s="7" t="str">
        <f aca="false">IF(H34=MAX(D34,E34,H34),"TVK",IF(E34=MAX(D34,E34,H34),"DMK+","AIADMK+"))</f>
        <v>TVK</v>
      </c>
      <c r="AI34" s="27" t="n">
        <f aca="false">EXP(AA34)/(EXP(AA34)+EXP(AB34)+EXP(AC34))</f>
        <v>0.139728185373603</v>
      </c>
      <c r="AJ34" s="27" t="n">
        <f aca="false">EXP(AB34)/(EXP(AA34)+EXP(AB34)+EXP(AC34))</f>
        <v>0.141781856154681</v>
      </c>
      <c r="AK34" s="28" t="s">
        <v>3</v>
      </c>
      <c r="AL34" s="7" t="str">
        <f aca="false">IF(AK34=R34,"Yes","No")</f>
        <v>Yes</v>
      </c>
      <c r="AM34" s="27" t="n">
        <f aca="false">IF(AK34="TVK",AD34,IF(AK34="DMK+",AJ34,AI34))</f>
        <v>0.718489958471716</v>
      </c>
      <c r="AN34" s="7" t="str">
        <f aca="false">IF(AK34=P34,"No","Yes")</f>
        <v>No</v>
      </c>
    </row>
    <row r="35" customFormat="false" ht="15" hidden="true" customHeight="false" outlineLevel="0" collapsed="false">
      <c r="A35" s="0" t="n">
        <v>31</v>
      </c>
      <c r="B35" s="4" t="s">
        <v>225</v>
      </c>
      <c r="C35" s="5" t="s">
        <v>94</v>
      </c>
      <c r="D35" s="35" t="n">
        <v>25</v>
      </c>
      <c r="E35" s="35" t="n">
        <v>33</v>
      </c>
      <c r="F35" s="35" t="n">
        <v>2</v>
      </c>
      <c r="G35" s="35" t="n">
        <v>6</v>
      </c>
      <c r="H35" s="35" t="n">
        <v>31</v>
      </c>
      <c r="I35" s="5" t="n">
        <f aca="false">SUM(D35:H35)</f>
        <v>97</v>
      </c>
      <c r="J35" s="10" t="n">
        <f aca="false">IF($I35=0,0,D35/$I35)</f>
        <v>0.257731958762887</v>
      </c>
      <c r="K35" s="10" t="n">
        <f aca="false">IF($I35=0,0,E35/$I35)</f>
        <v>0.34020618556701</v>
      </c>
      <c r="L35" s="10" t="n">
        <f aca="false">IF($I35=0,0,F35/$I35)</f>
        <v>0.0206185567010309</v>
      </c>
      <c r="M35" s="10" t="n">
        <f aca="false">IF($I35=0,0,G35/$I35)</f>
        <v>0.0618556701030928</v>
      </c>
      <c r="N35" s="10" t="n">
        <f aca="false">IF($I35=0,0,H35/$I35)</f>
        <v>0.319587628865979</v>
      </c>
      <c r="O35" s="35" t="s">
        <v>197</v>
      </c>
      <c r="P35" s="0" t="str">
        <f aca="false">IF(O35="TVK","TVK",IF(O35="DMK","DMK+",IF(O35="ADMK","AIADMK+","")))</f>
        <v>DMK+</v>
      </c>
      <c r="Q35" s="35" t="s">
        <v>3</v>
      </c>
      <c r="R35" s="36" t="s">
        <v>3</v>
      </c>
      <c r="S35" s="0" t="str">
        <f aca="false">IF(P35=R35,"Yes","No")</f>
        <v>No</v>
      </c>
      <c r="T35" s="2"/>
      <c r="U35" s="27" t="n">
        <f aca="false">IFERROR(SUMIFS($D$5:$D$238,$C$5:$C$238,$C35)/SUMIFS($I$5:$I$238,$C$5:$C$238,$C35),0)</f>
        <v>0.263473053892216</v>
      </c>
      <c r="V35" s="27" t="n">
        <f aca="false">IFERROR(SUMIFS($E$5:$E$238,$C$5:$C$238,$C35)/SUMIFS($I$5:$I$238,$C$5:$C$238,$C35),0)</f>
        <v>0.248502994011976</v>
      </c>
      <c r="W35" s="27" t="n">
        <f aca="false">IFERROR(SUMIFS($F$5:$F$238,$C$5:$C$238,$C35)/SUMIFS($I$5:$I$238,$C$5:$C$238,$C35),0)</f>
        <v>0.00898203592814371</v>
      </c>
      <c r="X35" s="27" t="n">
        <f aca="false">IFERROR(SUMIFS($G$5:$G$238,$C$5:$C$238,$C35)/SUMIFS($I$5:$I$238,$C$5:$C$238,$C35),0)</f>
        <v>0.0658682634730539</v>
      </c>
      <c r="Y35" s="27" t="n">
        <f aca="false">IFERROR(SUMIFS($H$5:$H$238,$C$5:$C$238,$C35)/SUMIFS($I$5:$I$238,$C$5:$C$238,$C35),0)</f>
        <v>0.413173652694611</v>
      </c>
      <c r="Z35" s="24" t="n">
        <f aca="false">LN(MAX(I35,1))</f>
        <v>4.57471097850338</v>
      </c>
      <c r="AA35" s="24" t="n">
        <f aca="false">Calibration!$M$35+Calibration!$N$35+SUMPRODUCT(Calibration!$B$35:$F$35,J35:N35)+SUMPRODUCT(Calibration!$G$35:$K$35,U35:Y35)+Calibration!$L$35*Z35</f>
        <v>-0.311652269432241</v>
      </c>
      <c r="AB35" s="24" t="n">
        <f aca="false">Calibration!$M$36+Calibration!$N$36+SUMPRODUCT(Calibration!$B$36:$F$36,J35:N35)+SUMPRODUCT(Calibration!$G$36:$K$36,U35:Y35)+Calibration!$L$36*Z35</f>
        <v>-0.177119767953994</v>
      </c>
      <c r="AC35" s="24" t="n">
        <f aca="false">Calibration!$M$37+Calibration!$N$37+SUMPRODUCT(Calibration!$B$37:$F$37,J35:N35)+SUMPRODUCT(Calibration!$G$37:$K$37,U35:Y35)+Calibration!$L$37*Z35</f>
        <v>1.31377260547686</v>
      </c>
      <c r="AD35" s="27" t="n">
        <f aca="false">EXP(AC35)/(EXP(AA35)+EXP(AB35)+EXP(AC35))</f>
        <v>0.703235049175474</v>
      </c>
      <c r="AE35" s="7" t="str">
        <f aca="false">IF(AC35=MAX(AA35:AC35),"TVK",IF(AB35=MAX(AA35:AC35),"DMK+","AIADMK+"))</f>
        <v>TVK</v>
      </c>
      <c r="AF35" s="7" t="str">
        <f aca="false">IF(AE35=R35,"Yes","No")</f>
        <v>Yes</v>
      </c>
      <c r="AG35" s="7" t="str">
        <f aca="false">IF(AE35=P35,"No","Yes")</f>
        <v>Yes</v>
      </c>
      <c r="AH35" s="7" t="str">
        <f aca="false">IF(H35=MAX(D35,E35,H35),"TVK",IF(E35=MAX(D35,E35,H35),"DMK+","AIADMK+"))</f>
        <v>DMK+</v>
      </c>
      <c r="AI35" s="27" t="n">
        <f aca="false">EXP(AA35)/(EXP(AA35)+EXP(AB35)+EXP(AC35))</f>
        <v>0.138416369457915</v>
      </c>
      <c r="AJ35" s="27" t="n">
        <f aca="false">EXP(AB35)/(EXP(AA35)+EXP(AB35)+EXP(AC35))</f>
        <v>0.158348581366611</v>
      </c>
      <c r="AK35" s="28" t="s">
        <v>3</v>
      </c>
      <c r="AL35" s="7" t="str">
        <f aca="false">IF(AK35=R35,"Yes","No")</f>
        <v>Yes</v>
      </c>
      <c r="AM35" s="27" t="n">
        <f aca="false">IF(AK35="TVK",AD35,IF(AK35="DMK+",AJ35,AI35))</f>
        <v>0.703235049175474</v>
      </c>
      <c r="AN35" s="7" t="str">
        <f aca="false">IF(AK35=P35,"No","Yes")</f>
        <v>Yes</v>
      </c>
    </row>
    <row r="36" customFormat="false" ht="15" hidden="false" customHeight="false" outlineLevel="0" collapsed="false">
      <c r="A36" s="0" t="n">
        <v>32</v>
      </c>
      <c r="B36" s="4" t="s">
        <v>94</v>
      </c>
      <c r="C36" s="5" t="s">
        <v>94</v>
      </c>
      <c r="D36" s="35" t="n">
        <v>13</v>
      </c>
      <c r="E36" s="35" t="n">
        <v>13</v>
      </c>
      <c r="F36" s="35" t="n">
        <v>1</v>
      </c>
      <c r="G36" s="35" t="n">
        <v>5</v>
      </c>
      <c r="H36" s="35" t="n">
        <v>35</v>
      </c>
      <c r="I36" s="5" t="n">
        <f aca="false">SUM(D36:H36)</f>
        <v>67</v>
      </c>
      <c r="J36" s="10" t="n">
        <f aca="false">IF($I36=0,0,D36/$I36)</f>
        <v>0.194029850746269</v>
      </c>
      <c r="K36" s="10" t="n">
        <f aca="false">IF($I36=0,0,E36/$I36)</f>
        <v>0.194029850746269</v>
      </c>
      <c r="L36" s="10" t="n">
        <f aca="false">IF($I36=0,0,F36/$I36)</f>
        <v>0.0149253731343284</v>
      </c>
      <c r="M36" s="10" t="n">
        <f aca="false">IF($I36=0,0,G36/$I36)</f>
        <v>0.0746268656716418</v>
      </c>
      <c r="N36" s="10" t="n">
        <f aca="false">IF($I36=0,0,H36/$I36)</f>
        <v>0.522388059701493</v>
      </c>
      <c r="O36" s="35" t="s">
        <v>3</v>
      </c>
      <c r="P36" s="0" t="str">
        <f aca="false">IF(O36="TVK","TVK",IF(O36="DMK","DMK+",IF(O36="ADMK","AIADMK+","")))</f>
        <v>TVK</v>
      </c>
      <c r="Q36" s="35" t="s">
        <v>3</v>
      </c>
      <c r="R36" s="36" t="s">
        <v>3</v>
      </c>
      <c r="S36" s="0" t="str">
        <f aca="false">IF(P36=R36,"Yes","No")</f>
        <v>Yes</v>
      </c>
      <c r="T36" s="2"/>
      <c r="U36" s="27" t="n">
        <f aca="false">IFERROR(SUMIFS($D$5:$D$238,$C$5:$C$238,$C36)/SUMIFS($I$5:$I$238,$C$5:$C$238,$C36),0)</f>
        <v>0.263473053892216</v>
      </c>
      <c r="V36" s="27" t="n">
        <f aca="false">IFERROR(SUMIFS($E$5:$E$238,$C$5:$C$238,$C36)/SUMIFS($I$5:$I$238,$C$5:$C$238,$C36),0)</f>
        <v>0.248502994011976</v>
      </c>
      <c r="W36" s="27" t="n">
        <f aca="false">IFERROR(SUMIFS($F$5:$F$238,$C$5:$C$238,$C36)/SUMIFS($I$5:$I$238,$C$5:$C$238,$C36),0)</f>
        <v>0.00898203592814371</v>
      </c>
      <c r="X36" s="27" t="n">
        <f aca="false">IFERROR(SUMIFS($G$5:$G$238,$C$5:$C$238,$C36)/SUMIFS($I$5:$I$238,$C$5:$C$238,$C36),0)</f>
        <v>0.0658682634730539</v>
      </c>
      <c r="Y36" s="27" t="n">
        <f aca="false">IFERROR(SUMIFS($H$5:$H$238,$C$5:$C$238,$C36)/SUMIFS($I$5:$I$238,$C$5:$C$238,$C36),0)</f>
        <v>0.413173652694611</v>
      </c>
      <c r="Z36" s="24" t="n">
        <f aca="false">LN(MAX(I36,1))</f>
        <v>4.20469261939097</v>
      </c>
      <c r="AA36" s="24" t="n">
        <f aca="false">Calibration!$M$35+Calibration!$N$35+SUMPRODUCT(Calibration!$B$35:$F$35,J36:N36)+SUMPRODUCT(Calibration!$G$35:$K$35,U36:Y36)+Calibration!$L$35*Z36</f>
        <v>-0.105685026026942</v>
      </c>
      <c r="AB36" s="24" t="n">
        <f aca="false">Calibration!$M$36+Calibration!$N$36+SUMPRODUCT(Calibration!$B$36:$F$36,J36:N36)+SUMPRODUCT(Calibration!$G$36:$K$36,U36:Y36)+Calibration!$L$36*Z36</f>
        <v>-0.11947406898989</v>
      </c>
      <c r="AC36" s="24" t="n">
        <f aca="false">Calibration!$M$37+Calibration!$N$37+SUMPRODUCT(Calibration!$B$37:$F$37,J36:N36)+SUMPRODUCT(Calibration!$G$37:$K$37,U36:Y36)+Calibration!$L$37*Z36</f>
        <v>1.05015986590789</v>
      </c>
      <c r="AD36" s="27" t="n">
        <f aca="false">EXP(AC36)/(EXP(AA36)+EXP(AB36)+EXP(AC36))</f>
        <v>0.615281612956543</v>
      </c>
      <c r="AE36" s="7" t="str">
        <f aca="false">IF(AC36=MAX(AA36:AC36),"TVK",IF(AB36=MAX(AA36:AC36),"DMK+","AIADMK+"))</f>
        <v>TVK</v>
      </c>
      <c r="AF36" s="7" t="str">
        <f aca="false">IF(AE36=R36,"Yes","No")</f>
        <v>Yes</v>
      </c>
      <c r="AG36" s="7" t="str">
        <f aca="false">IF(AE36=P36,"No","Yes")</f>
        <v>No</v>
      </c>
      <c r="AH36" s="7" t="str">
        <f aca="false">IF(H36=MAX(D36,E36,H36),"TVK",IF(E36=MAX(D36,E36,H36),"DMK+","AIADMK+"))</f>
        <v>TVK</v>
      </c>
      <c r="AI36" s="27" t="n">
        <f aca="false">EXP(AA36)/(EXP(AA36)+EXP(AB36)+EXP(AC36))</f>
        <v>0.193685397100248</v>
      </c>
      <c r="AJ36" s="27" t="n">
        <f aca="false">EXP(AB36)/(EXP(AA36)+EXP(AB36)+EXP(AC36))</f>
        <v>0.19103298994321</v>
      </c>
      <c r="AK36" s="28" t="s">
        <v>3</v>
      </c>
      <c r="AL36" s="7" t="str">
        <f aca="false">IF(AK36=R36,"Yes","No")</f>
        <v>Yes</v>
      </c>
      <c r="AM36" s="27" t="n">
        <f aca="false">IF(AK36="TVK",AD36,IF(AK36="DMK+",AJ36,AI36))</f>
        <v>0.615281612956543</v>
      </c>
      <c r="AN36" s="7" t="str">
        <f aca="false">IF(AK36=P36,"No","Yes")</f>
        <v>No</v>
      </c>
    </row>
    <row r="37" customFormat="false" ht="15" hidden="false" customHeight="false" outlineLevel="0" collapsed="false">
      <c r="A37" s="0" t="n">
        <v>33</v>
      </c>
      <c r="B37" s="4" t="s">
        <v>226</v>
      </c>
      <c r="C37" s="5" t="s">
        <v>94</v>
      </c>
      <c r="D37" s="35" t="n">
        <v>7</v>
      </c>
      <c r="E37" s="35" t="n">
        <v>2</v>
      </c>
      <c r="F37" s="35"/>
      <c r="G37" s="35" t="n">
        <v>5</v>
      </c>
      <c r="H37" s="35" t="n">
        <v>20</v>
      </c>
      <c r="I37" s="5" t="n">
        <f aca="false">SUM(D37:H37)</f>
        <v>34</v>
      </c>
      <c r="J37" s="10" t="n">
        <f aca="false">IF($I37=0,0,D37/$I37)</f>
        <v>0.205882352941176</v>
      </c>
      <c r="K37" s="10" t="n">
        <f aca="false">IF($I37=0,0,E37/$I37)</f>
        <v>0.0588235294117647</v>
      </c>
      <c r="L37" s="10" t="n">
        <f aca="false">IF($I37=0,0,F37/$I37)</f>
        <v>0</v>
      </c>
      <c r="M37" s="10" t="n">
        <f aca="false">IF($I37=0,0,G37/$I37)</f>
        <v>0.147058823529412</v>
      </c>
      <c r="N37" s="10" t="n">
        <f aca="false">IF($I37=0,0,H37/$I37)</f>
        <v>0.588235294117647</v>
      </c>
      <c r="O37" s="35" t="s">
        <v>3</v>
      </c>
      <c r="P37" s="0" t="str">
        <f aca="false">IF(O37="TVK","TVK",IF(O37="DMK","DMK+",IF(O37="ADMK","AIADMK+","")))</f>
        <v>TVK</v>
      </c>
      <c r="Q37" s="35" t="s">
        <v>3</v>
      </c>
      <c r="R37" s="36" t="s">
        <v>3</v>
      </c>
      <c r="S37" s="0" t="str">
        <f aca="false">IF(P37=R37,"Yes","No")</f>
        <v>Yes</v>
      </c>
      <c r="T37" s="2"/>
      <c r="U37" s="27" t="n">
        <f aca="false">IFERROR(SUMIFS($D$5:$D$238,$C$5:$C$238,$C37)/SUMIFS($I$5:$I$238,$C$5:$C$238,$C37),0)</f>
        <v>0.263473053892216</v>
      </c>
      <c r="V37" s="27" t="n">
        <f aca="false">IFERROR(SUMIFS($E$5:$E$238,$C$5:$C$238,$C37)/SUMIFS($I$5:$I$238,$C$5:$C$238,$C37),0)</f>
        <v>0.248502994011976</v>
      </c>
      <c r="W37" s="27" t="n">
        <f aca="false">IFERROR(SUMIFS($F$5:$F$238,$C$5:$C$238,$C37)/SUMIFS($I$5:$I$238,$C$5:$C$238,$C37),0)</f>
        <v>0.00898203592814371</v>
      </c>
      <c r="X37" s="27" t="n">
        <f aca="false">IFERROR(SUMIFS($G$5:$G$238,$C$5:$C$238,$C37)/SUMIFS($I$5:$I$238,$C$5:$C$238,$C37),0)</f>
        <v>0.0658682634730539</v>
      </c>
      <c r="Y37" s="27" t="n">
        <f aca="false">IFERROR(SUMIFS($H$5:$H$238,$C$5:$C$238,$C37)/SUMIFS($I$5:$I$238,$C$5:$C$238,$C37),0)</f>
        <v>0.413173652694611</v>
      </c>
      <c r="Z37" s="24" t="n">
        <f aca="false">LN(MAX(I37,1))</f>
        <v>3.52636052461616</v>
      </c>
      <c r="AA37" s="24" t="n">
        <f aca="false">Calibration!$M$35+Calibration!$N$35+SUMPRODUCT(Calibration!$B$35:$F$35,J37:N37)+SUMPRODUCT(Calibration!$G$35:$K$35,U37:Y37)+Calibration!$L$35*Z37</f>
        <v>0.347457617458495</v>
      </c>
      <c r="AB37" s="24" t="n">
        <f aca="false">Calibration!$M$36+Calibration!$N$36+SUMPRODUCT(Calibration!$B$36:$F$36,J37:N37)+SUMPRODUCT(Calibration!$G$36:$K$36,U37:Y37)+Calibration!$L$36*Z37</f>
        <v>0.132833572317309</v>
      </c>
      <c r="AC37" s="24" t="n">
        <f aca="false">Calibration!$M$37+Calibration!$N$37+SUMPRODUCT(Calibration!$B$37:$F$37,J37:N37)+SUMPRODUCT(Calibration!$G$37:$K$37,U37:Y37)+Calibration!$L$37*Z37</f>
        <v>0.344709646962484</v>
      </c>
      <c r="AD37" s="27" t="n">
        <f aca="false">EXP(AC37)/(EXP(AA37)+EXP(AB37)+EXP(AC37))</f>
        <v>0.355641958577368</v>
      </c>
      <c r="AE37" s="7" t="str">
        <f aca="false">IF(AC37=MAX(AA37:AC37),"TVK",IF(AB37=MAX(AA37:AC37),"DMK+","AIADMK+"))</f>
        <v>AIADMK+</v>
      </c>
      <c r="AF37" s="7" t="str">
        <f aca="false">IF(AE37=R37,"Yes","No")</f>
        <v>No</v>
      </c>
      <c r="AG37" s="7" t="str">
        <f aca="false">IF(AE37=P37,"No","Yes")</f>
        <v>Yes</v>
      </c>
      <c r="AH37" s="7" t="str">
        <f aca="false">IF(H37=MAX(D37,E37,H37),"TVK",IF(E37=MAX(D37,E37,H37),"DMK+","AIADMK+"))</f>
        <v>TVK</v>
      </c>
      <c r="AI37" s="27" t="n">
        <f aca="false">EXP(AA37)/(EXP(AA37)+EXP(AB37)+EXP(AC37))</f>
        <v>0.35662059620451</v>
      </c>
      <c r="AJ37" s="27" t="n">
        <f aca="false">EXP(AB37)/(EXP(AA37)+EXP(AB37)+EXP(AC37))</f>
        <v>0.287737445218122</v>
      </c>
      <c r="AK37" s="28" t="s">
        <v>3</v>
      </c>
      <c r="AL37" s="7" t="str">
        <f aca="false">IF(AK37=R37,"Yes","No")</f>
        <v>Yes</v>
      </c>
      <c r="AM37" s="27" t="n">
        <f aca="false">IF(AK37="TVK",AD37,IF(AK37="DMK+",AJ37,AI37))</f>
        <v>0.355641958577368</v>
      </c>
      <c r="AN37" s="7" t="str">
        <f aca="false">IF(AK37=P37,"No","Yes")</f>
        <v>No</v>
      </c>
    </row>
    <row r="38" customFormat="false" ht="15" hidden="true" customHeight="false" outlineLevel="0" collapsed="false">
      <c r="A38" s="0" t="n">
        <v>34</v>
      </c>
      <c r="B38" s="4" t="s">
        <v>227</v>
      </c>
      <c r="C38" s="5" t="s">
        <v>94</v>
      </c>
      <c r="D38" s="35" t="n">
        <v>12</v>
      </c>
      <c r="E38" s="35" t="n">
        <v>3</v>
      </c>
      <c r="F38" s="35"/>
      <c r="G38" s="35" t="n">
        <v>1</v>
      </c>
      <c r="H38" s="35" t="n">
        <v>6</v>
      </c>
      <c r="I38" s="5" t="n">
        <f aca="false">SUM(D38:H38)</f>
        <v>22</v>
      </c>
      <c r="J38" s="10" t="n">
        <f aca="false">IF($I38=0,0,D38/$I38)</f>
        <v>0.545454545454545</v>
      </c>
      <c r="K38" s="10" t="n">
        <f aca="false">IF($I38=0,0,E38/$I38)</f>
        <v>0.136363636363636</v>
      </c>
      <c r="L38" s="10" t="n">
        <f aca="false">IF($I38=0,0,F38/$I38)</f>
        <v>0</v>
      </c>
      <c r="M38" s="10" t="n">
        <f aca="false">IF($I38=0,0,G38/$I38)</f>
        <v>0.0454545454545455</v>
      </c>
      <c r="N38" s="10" t="n">
        <f aca="false">IF($I38=0,0,H38/$I38)</f>
        <v>0.272727272727273</v>
      </c>
      <c r="O38" s="35" t="s">
        <v>218</v>
      </c>
      <c r="P38" s="0" t="str">
        <f aca="false">IF(O38="TVK","TVK",IF(O38="DMK","DMK+",IF(O38="ADMK","AIADMK+","")))</f>
        <v>AIADMK+</v>
      </c>
      <c r="Q38" s="35" t="s">
        <v>196</v>
      </c>
      <c r="R38" s="36" t="s">
        <v>4</v>
      </c>
      <c r="S38" s="0" t="str">
        <f aca="false">IF(P38=R38,"Yes","No")</f>
        <v>Yes</v>
      </c>
      <c r="T38" s="2"/>
      <c r="U38" s="27" t="n">
        <f aca="false">IFERROR(SUMIFS($D$5:$D$238,$C$5:$C$238,$C38)/SUMIFS($I$5:$I$238,$C$5:$C$238,$C38),0)</f>
        <v>0.263473053892216</v>
      </c>
      <c r="V38" s="27" t="n">
        <f aca="false">IFERROR(SUMIFS($E$5:$E$238,$C$5:$C$238,$C38)/SUMIFS($I$5:$I$238,$C$5:$C$238,$C38),0)</f>
        <v>0.248502994011976</v>
      </c>
      <c r="W38" s="27" t="n">
        <f aca="false">IFERROR(SUMIFS($F$5:$F$238,$C$5:$C$238,$C38)/SUMIFS($I$5:$I$238,$C$5:$C$238,$C38),0)</f>
        <v>0.00898203592814371</v>
      </c>
      <c r="X38" s="27" t="n">
        <f aca="false">IFERROR(SUMIFS($G$5:$G$238,$C$5:$C$238,$C38)/SUMIFS($I$5:$I$238,$C$5:$C$238,$C38),0)</f>
        <v>0.0658682634730539</v>
      </c>
      <c r="Y38" s="27" t="n">
        <f aca="false">IFERROR(SUMIFS($H$5:$H$238,$C$5:$C$238,$C38)/SUMIFS($I$5:$I$238,$C$5:$C$238,$C38),0)</f>
        <v>0.413173652694611</v>
      </c>
      <c r="Z38" s="24" t="n">
        <f aca="false">LN(MAX(I38,1))</f>
        <v>3.09104245335832</v>
      </c>
      <c r="AA38" s="24" t="n">
        <f aca="false">Calibration!$M$35+Calibration!$N$35+SUMPRODUCT(Calibration!$B$35:$F$35,J38:N38)+SUMPRODUCT(Calibration!$G$35:$K$35,U38:Y38)+Calibration!$L$35*Z38</f>
        <v>0.875466153511095</v>
      </c>
      <c r="AB38" s="24" t="n">
        <f aca="false">Calibration!$M$36+Calibration!$N$36+SUMPRODUCT(Calibration!$B$36:$F$36,J38:N38)+SUMPRODUCT(Calibration!$G$36:$K$36,U38:Y38)+Calibration!$L$36*Z38</f>
        <v>0.297267318551134</v>
      </c>
      <c r="AC38" s="24" t="n">
        <f aca="false">Calibration!$M$37+Calibration!$N$37+SUMPRODUCT(Calibration!$B$37:$F$37,J38:N38)+SUMPRODUCT(Calibration!$G$37:$K$37,U38:Y38)+Calibration!$L$37*Z38</f>
        <v>-0.347732950831962</v>
      </c>
      <c r="AD38" s="27" t="n">
        <f aca="false">EXP(AC38)/(EXP(AA38)+EXP(AB38)+EXP(AC38))</f>
        <v>0.158628722095258</v>
      </c>
      <c r="AE38" s="7" t="str">
        <f aca="false">IF(AC38=MAX(AA38:AC38),"TVK",IF(AB38=MAX(AA38:AC38),"DMK+","AIADMK+"))</f>
        <v>AIADMK+</v>
      </c>
      <c r="AF38" s="7" t="str">
        <f aca="false">IF(AE38=R38,"Yes","No")</f>
        <v>Yes</v>
      </c>
      <c r="AG38" s="7" t="str">
        <f aca="false">IF(AE38=P38,"No","Yes")</f>
        <v>No</v>
      </c>
      <c r="AH38" s="7" t="str">
        <f aca="false">IF(H38=MAX(D38,E38,H38),"TVK",IF(E38=MAX(D38,E38,H38),"DMK+","AIADMK+"))</f>
        <v>AIADMK+</v>
      </c>
      <c r="AI38" s="27" t="n">
        <f aca="false">EXP(AA38)/(EXP(AA38)+EXP(AB38)+EXP(AC38))</f>
        <v>0.539026909674748</v>
      </c>
      <c r="AJ38" s="27" t="n">
        <f aca="false">EXP(AB38)/(EXP(AA38)+EXP(AB38)+EXP(AC38))</f>
        <v>0.302344368229994</v>
      </c>
      <c r="AK38" s="28" t="s">
        <v>4</v>
      </c>
      <c r="AL38" s="7" t="str">
        <f aca="false">IF(AK38=R38,"Yes","No")</f>
        <v>Yes</v>
      </c>
      <c r="AM38" s="27" t="n">
        <f aca="false">IF(AK38="TVK",AD38,IF(AK38="DMK+",AJ38,AI38))</f>
        <v>0.539026909674748</v>
      </c>
      <c r="AN38" s="7" t="str">
        <f aca="false">IF(AK38=P38,"No","Yes")</f>
        <v>No</v>
      </c>
    </row>
    <row r="39" customFormat="false" ht="15" hidden="false" customHeight="false" outlineLevel="0" collapsed="false">
      <c r="A39" s="0" t="n">
        <v>35</v>
      </c>
      <c r="B39" s="4" t="s">
        <v>228</v>
      </c>
      <c r="C39" s="5" t="s">
        <v>94</v>
      </c>
      <c r="D39" s="35" t="n">
        <v>5</v>
      </c>
      <c r="E39" s="35" t="n">
        <v>4</v>
      </c>
      <c r="F39" s="35"/>
      <c r="G39" s="35" t="n">
        <v>1</v>
      </c>
      <c r="H39" s="35" t="n">
        <v>8</v>
      </c>
      <c r="I39" s="5" t="n">
        <f aca="false">SUM(D39:H39)</f>
        <v>18</v>
      </c>
      <c r="J39" s="10" t="n">
        <f aca="false">IF($I39=0,0,D39/$I39)</f>
        <v>0.277777777777778</v>
      </c>
      <c r="K39" s="10" t="n">
        <f aca="false">IF($I39=0,0,E39/$I39)</f>
        <v>0.222222222222222</v>
      </c>
      <c r="L39" s="10" t="n">
        <f aca="false">IF($I39=0,0,F39/$I39)</f>
        <v>0</v>
      </c>
      <c r="M39" s="10" t="n">
        <f aca="false">IF($I39=0,0,G39/$I39)</f>
        <v>0.0555555555555556</v>
      </c>
      <c r="N39" s="10" t="n">
        <f aca="false">IF($I39=0,0,H39/$I39)</f>
        <v>0.444444444444444</v>
      </c>
      <c r="O39" s="35" t="s">
        <v>3</v>
      </c>
      <c r="P39" s="0" t="str">
        <f aca="false">IF(O39="TVK","TVK",IF(O39="DMK","DMK+",IF(O39="ADMK","AIADMK+","")))</f>
        <v>TVK</v>
      </c>
      <c r="Q39" s="35" t="s">
        <v>196</v>
      </c>
      <c r="R39" s="36" t="s">
        <v>4</v>
      </c>
      <c r="S39" s="0" t="str">
        <f aca="false">IF(P39=R39,"Yes","No")</f>
        <v>No</v>
      </c>
      <c r="T39" s="2"/>
      <c r="U39" s="27" t="n">
        <f aca="false">IFERROR(SUMIFS($D$5:$D$238,$C$5:$C$238,$C39)/SUMIFS($I$5:$I$238,$C$5:$C$238,$C39),0)</f>
        <v>0.263473053892216</v>
      </c>
      <c r="V39" s="27" t="n">
        <f aca="false">IFERROR(SUMIFS($E$5:$E$238,$C$5:$C$238,$C39)/SUMIFS($I$5:$I$238,$C$5:$C$238,$C39),0)</f>
        <v>0.248502994011976</v>
      </c>
      <c r="W39" s="27" t="n">
        <f aca="false">IFERROR(SUMIFS($F$5:$F$238,$C$5:$C$238,$C39)/SUMIFS($I$5:$I$238,$C$5:$C$238,$C39),0)</f>
        <v>0.00898203592814371</v>
      </c>
      <c r="X39" s="27" t="n">
        <f aca="false">IFERROR(SUMIFS($G$5:$G$238,$C$5:$C$238,$C39)/SUMIFS($I$5:$I$238,$C$5:$C$238,$C39),0)</f>
        <v>0.0658682634730539</v>
      </c>
      <c r="Y39" s="27" t="n">
        <f aca="false">IFERROR(SUMIFS($H$5:$H$238,$C$5:$C$238,$C39)/SUMIFS($I$5:$I$238,$C$5:$C$238,$C39),0)</f>
        <v>0.413173652694611</v>
      </c>
      <c r="Z39" s="24" t="n">
        <f aca="false">LN(MAX(I39,1))</f>
        <v>2.89037175789616</v>
      </c>
      <c r="AA39" s="24" t="n">
        <f aca="false">Calibration!$M$35+Calibration!$N$35+SUMPRODUCT(Calibration!$B$35:$F$35,J39:N39)+SUMPRODUCT(Calibration!$G$35:$K$35,U39:Y39)+Calibration!$L$35*Z39</f>
        <v>0.647792453915774</v>
      </c>
      <c r="AB39" s="24" t="n">
        <f aca="false">Calibration!$M$36+Calibration!$N$36+SUMPRODUCT(Calibration!$B$36:$F$36,J39:N39)+SUMPRODUCT(Calibration!$G$36:$K$36,U39:Y39)+Calibration!$L$36*Z39</f>
        <v>0.678701500045362</v>
      </c>
      <c r="AC39" s="24" t="n">
        <f aca="false">Calibration!$M$37+Calibration!$N$37+SUMPRODUCT(Calibration!$B$37:$F$37,J39:N39)+SUMPRODUCT(Calibration!$G$37:$K$37,U39:Y39)+Calibration!$L$37*Z39</f>
        <v>-0.501493261013698</v>
      </c>
      <c r="AD39" s="27" t="n">
        <f aca="false">EXP(AC39)/(EXP(AA39)+EXP(AB39)+EXP(AC39))</f>
        <v>0.134935540760826</v>
      </c>
      <c r="AE39" s="7" t="str">
        <f aca="false">IF(AC39=MAX(AA39:AC39),"TVK",IF(AB39=MAX(AA39:AC39),"DMK+","AIADMK+"))</f>
        <v>DMK+</v>
      </c>
      <c r="AF39" s="7" t="str">
        <f aca="false">IF(AE39=R39,"Yes","No")</f>
        <v>No</v>
      </c>
      <c r="AG39" s="7" t="str">
        <f aca="false">IF(AE39=P39,"No","Yes")</f>
        <v>Yes</v>
      </c>
      <c r="AH39" s="7" t="str">
        <f aca="false">IF(H39=MAX(D39,E39,H39),"TVK",IF(E39=MAX(D39,E39,H39),"DMK+","AIADMK+"))</f>
        <v>TVK</v>
      </c>
      <c r="AI39" s="27" t="n">
        <f aca="false">EXP(AA39)/(EXP(AA39)+EXP(AB39)+EXP(AC39))</f>
        <v>0.425848182436555</v>
      </c>
      <c r="AJ39" s="27" t="n">
        <f aca="false">EXP(AB39)/(EXP(AA39)+EXP(AB39)+EXP(AC39))</f>
        <v>0.439216276802619</v>
      </c>
      <c r="AK39" s="28" t="s">
        <v>4</v>
      </c>
      <c r="AL39" s="7" t="str">
        <f aca="false">IF(AK39=R39,"Yes","No")</f>
        <v>Yes</v>
      </c>
      <c r="AM39" s="27" t="n">
        <f aca="false">IF(AK39="TVK",AD39,IF(AK39="DMK+",AJ39,AI39))</f>
        <v>0.425848182436555</v>
      </c>
      <c r="AN39" s="7" t="str">
        <f aca="false">IF(AK39=P39,"No","Yes")</f>
        <v>Yes</v>
      </c>
    </row>
    <row r="40" customFormat="false" ht="15" hidden="true" customHeight="false" outlineLevel="0" collapsed="false">
      <c r="A40" s="0" t="n">
        <v>36</v>
      </c>
      <c r="B40" s="4" t="s">
        <v>229</v>
      </c>
      <c r="C40" s="5" t="s">
        <v>110</v>
      </c>
      <c r="D40" s="35" t="n">
        <v>11</v>
      </c>
      <c r="E40" s="35" t="n">
        <v>11</v>
      </c>
      <c r="F40" s="35"/>
      <c r="G40" s="35"/>
      <c r="H40" s="35" t="n">
        <v>3</v>
      </c>
      <c r="I40" s="5" t="n">
        <f aca="false">SUM(D40:H40)</f>
        <v>25</v>
      </c>
      <c r="J40" s="10" t="n">
        <f aca="false">IF($I40=0,0,D40/$I40)</f>
        <v>0.44</v>
      </c>
      <c r="K40" s="10" t="n">
        <f aca="false">IF($I40=0,0,E40/$I40)</f>
        <v>0.44</v>
      </c>
      <c r="L40" s="10" t="n">
        <f aca="false">IF($I40=0,0,F40/$I40)</f>
        <v>0</v>
      </c>
      <c r="M40" s="10" t="n">
        <f aca="false">IF($I40=0,0,G40/$I40)</f>
        <v>0</v>
      </c>
      <c r="N40" s="10" t="n">
        <f aca="false">IF($I40=0,0,H40/$I40)</f>
        <v>0.12</v>
      </c>
      <c r="O40" s="35" t="s">
        <v>197</v>
      </c>
      <c r="P40" s="0" t="str">
        <f aca="false">IF(O40="TVK","TVK",IF(O40="DMK","DMK+",IF(O40="ADMK","AIADMK+","")))</f>
        <v>DMK+</v>
      </c>
      <c r="Q40" s="35" t="s">
        <v>3</v>
      </c>
      <c r="R40" s="36" t="s">
        <v>3</v>
      </c>
      <c r="S40" s="0" t="str">
        <f aca="false">IF(P40=R40,"Yes","No")</f>
        <v>No</v>
      </c>
      <c r="T40" s="2"/>
      <c r="U40" s="27" t="n">
        <f aca="false">IFERROR(SUMIFS($D$5:$D$238,$C$5:$C$238,$C40)/SUMIFS($I$5:$I$238,$C$5:$C$238,$C40),0)</f>
        <v>0.251851851851852</v>
      </c>
      <c r="V40" s="27" t="n">
        <f aca="false">IFERROR(SUMIFS($E$5:$E$238,$C$5:$C$238,$C40)/SUMIFS($I$5:$I$238,$C$5:$C$238,$C40),0)</f>
        <v>0.288888888888889</v>
      </c>
      <c r="W40" s="27" t="n">
        <f aca="false">IFERROR(SUMIFS($F$5:$F$238,$C$5:$C$238,$C40)/SUMIFS($I$5:$I$238,$C$5:$C$238,$C40),0)</f>
        <v>0</v>
      </c>
      <c r="X40" s="27" t="n">
        <f aca="false">IFERROR(SUMIFS($G$5:$G$238,$C$5:$C$238,$C40)/SUMIFS($I$5:$I$238,$C$5:$C$238,$C40),0)</f>
        <v>0.0592592592592593</v>
      </c>
      <c r="Y40" s="27" t="n">
        <f aca="false">IFERROR(SUMIFS($H$5:$H$238,$C$5:$C$238,$C40)/SUMIFS($I$5:$I$238,$C$5:$C$238,$C40),0)</f>
        <v>0.4</v>
      </c>
      <c r="Z40" s="24" t="n">
        <f aca="false">LN(MAX(I40,1))</f>
        <v>3.2188758248682</v>
      </c>
      <c r="AA40" s="24" t="n">
        <f aca="false">Calibration!$M$35+Calibration!$N$35+SUMPRODUCT(Calibration!$B$35:$F$35,J40:N40)+SUMPRODUCT(Calibration!$G$35:$K$35,U40:Y40)+Calibration!$L$35*Z40</f>
        <v>0.493450048851022</v>
      </c>
      <c r="AB40" s="24" t="n">
        <f aca="false">Calibration!$M$36+Calibration!$N$36+SUMPRODUCT(Calibration!$B$36:$F$36,J40:N40)+SUMPRODUCT(Calibration!$G$36:$K$36,U40:Y40)+Calibration!$L$36*Z40</f>
        <v>0.719508731811529</v>
      </c>
      <c r="AC40" s="24" t="n">
        <f aca="false">Calibration!$M$37+Calibration!$N$37+SUMPRODUCT(Calibration!$B$37:$F$37,J40:N40)+SUMPRODUCT(Calibration!$G$37:$K$37,U40:Y40)+Calibration!$L$37*Z40</f>
        <v>-0.387958371773663</v>
      </c>
      <c r="AD40" s="27" t="n">
        <f aca="false">EXP(AC40)/(EXP(AA40)+EXP(AB40)+EXP(AC40))</f>
        <v>0.15525587567133</v>
      </c>
      <c r="AE40" s="7" t="str">
        <f aca="false">IF(AC40=MAX(AA40:AC40),"TVK",IF(AB40=MAX(AA40:AC40),"DMK+","AIADMK+"))</f>
        <v>DMK+</v>
      </c>
      <c r="AF40" s="7" t="str">
        <f aca="false">IF(AE40=R40,"Yes","No")</f>
        <v>No</v>
      </c>
      <c r="AG40" s="7" t="str">
        <f aca="false">IF(AE40=P40,"No","Yes")</f>
        <v>No</v>
      </c>
      <c r="AH40" s="7" t="str">
        <f aca="false">IF(H40=MAX(D40,E40,H40),"TVK",IF(E40=MAX(D40,E40,H40),"DMK+","AIADMK+"))</f>
        <v>DMK+</v>
      </c>
      <c r="AI40" s="27" t="n">
        <f aca="false">EXP(AA40)/(EXP(AA40)+EXP(AB40)+EXP(AC40))</f>
        <v>0.374833897272403</v>
      </c>
      <c r="AJ40" s="27" t="n">
        <f aca="false">EXP(AB40)/(EXP(AA40)+EXP(AB40)+EXP(AC40))</f>
        <v>0.469910227056267</v>
      </c>
      <c r="AK40" s="28" t="s">
        <v>3</v>
      </c>
      <c r="AL40" s="7" t="str">
        <f aca="false">IF(AK40=R40,"Yes","No")</f>
        <v>Yes</v>
      </c>
      <c r="AM40" s="27" t="n">
        <f aca="false">IF(AK40="TVK",AD40,IF(AK40="DMK+",AJ40,AI40))</f>
        <v>0.15525587567133</v>
      </c>
      <c r="AN40" s="7" t="str">
        <f aca="false">IF(AK40=P40,"No","Yes")</f>
        <v>Yes</v>
      </c>
    </row>
    <row r="41" customFormat="false" ht="15" hidden="false" customHeight="false" outlineLevel="0" collapsed="false">
      <c r="A41" s="0" t="n">
        <v>37</v>
      </c>
      <c r="B41" s="4" t="s">
        <v>110</v>
      </c>
      <c r="C41" s="5" t="s">
        <v>110</v>
      </c>
      <c r="D41" s="35" t="n">
        <v>11</v>
      </c>
      <c r="E41" s="35" t="n">
        <v>12</v>
      </c>
      <c r="F41" s="35"/>
      <c r="G41" s="35" t="n">
        <v>5</v>
      </c>
      <c r="H41" s="35" t="n">
        <v>34</v>
      </c>
      <c r="I41" s="5" t="n">
        <f aca="false">SUM(D41:H41)</f>
        <v>62</v>
      </c>
      <c r="J41" s="10" t="n">
        <f aca="false">IF($I41=0,0,D41/$I41)</f>
        <v>0.17741935483871</v>
      </c>
      <c r="K41" s="10" t="n">
        <f aca="false">IF($I41=0,0,E41/$I41)</f>
        <v>0.193548387096774</v>
      </c>
      <c r="L41" s="10" t="n">
        <f aca="false">IF($I41=0,0,F41/$I41)</f>
        <v>0</v>
      </c>
      <c r="M41" s="10" t="n">
        <f aca="false">IF($I41=0,0,G41/$I41)</f>
        <v>0.0806451612903226</v>
      </c>
      <c r="N41" s="10" t="n">
        <f aca="false">IF($I41=0,0,H41/$I41)</f>
        <v>0.548387096774194</v>
      </c>
      <c r="O41" s="35" t="s">
        <v>3</v>
      </c>
      <c r="P41" s="0" t="str">
        <f aca="false">IF(O41="TVK","TVK",IF(O41="DMK","DMK+",IF(O41="ADMK","AIADMK+","")))</f>
        <v>TVK</v>
      </c>
      <c r="Q41" s="35" t="s">
        <v>3</v>
      </c>
      <c r="R41" s="36" t="s">
        <v>3</v>
      </c>
      <c r="S41" s="0" t="str">
        <f aca="false">IF(P41=R41,"Yes","No")</f>
        <v>Yes</v>
      </c>
      <c r="T41" s="2"/>
      <c r="U41" s="27" t="n">
        <f aca="false">IFERROR(SUMIFS($D$5:$D$238,$C$5:$C$238,$C41)/SUMIFS($I$5:$I$238,$C$5:$C$238,$C41),0)</f>
        <v>0.251851851851852</v>
      </c>
      <c r="V41" s="27" t="n">
        <f aca="false">IFERROR(SUMIFS($E$5:$E$238,$C$5:$C$238,$C41)/SUMIFS($I$5:$I$238,$C$5:$C$238,$C41),0)</f>
        <v>0.288888888888889</v>
      </c>
      <c r="W41" s="27" t="n">
        <f aca="false">IFERROR(SUMIFS($F$5:$F$238,$C$5:$C$238,$C41)/SUMIFS($I$5:$I$238,$C$5:$C$238,$C41),0)</f>
        <v>0</v>
      </c>
      <c r="X41" s="27" t="n">
        <f aca="false">IFERROR(SUMIFS($G$5:$G$238,$C$5:$C$238,$C41)/SUMIFS($I$5:$I$238,$C$5:$C$238,$C41),0)</f>
        <v>0.0592592592592593</v>
      </c>
      <c r="Y41" s="27" t="n">
        <f aca="false">IFERROR(SUMIFS($H$5:$H$238,$C$5:$C$238,$C41)/SUMIFS($I$5:$I$238,$C$5:$C$238,$C41),0)</f>
        <v>0.4</v>
      </c>
      <c r="Z41" s="24" t="n">
        <f aca="false">LN(MAX(I41,1))</f>
        <v>4.12713438504509</v>
      </c>
      <c r="AA41" s="24" t="n">
        <f aca="false">Calibration!$M$35+Calibration!$N$35+SUMPRODUCT(Calibration!$B$35:$F$35,J41:N41)+SUMPRODUCT(Calibration!$G$35:$K$35,U41:Y41)+Calibration!$L$35*Z41</f>
        <v>-0.111404765467569</v>
      </c>
      <c r="AB41" s="24" t="n">
        <f aca="false">Calibration!$M$36+Calibration!$N$36+SUMPRODUCT(Calibration!$B$36:$F$36,J41:N41)+SUMPRODUCT(Calibration!$G$36:$K$36,U41:Y41)+Calibration!$L$36*Z41</f>
        <v>-0.0238277977057022</v>
      </c>
      <c r="AC41" s="24" t="n">
        <f aca="false">Calibration!$M$37+Calibration!$N$37+SUMPRODUCT(Calibration!$B$37:$F$37,J41:N41)+SUMPRODUCT(Calibration!$G$37:$K$37,U41:Y41)+Calibration!$L$37*Z41</f>
        <v>0.960233400449257</v>
      </c>
      <c r="AD41" s="27" t="n">
        <f aca="false">EXP(AC41)/(EXP(AA41)+EXP(AB41)+EXP(AC41))</f>
        <v>0.58267009226251</v>
      </c>
      <c r="AE41" s="7" t="str">
        <f aca="false">IF(AC41=MAX(AA41:AC41),"TVK",IF(AB41=MAX(AA41:AC41),"DMK+","AIADMK+"))</f>
        <v>TVK</v>
      </c>
      <c r="AF41" s="7" t="str">
        <f aca="false">IF(AE41=R41,"Yes","No")</f>
        <v>Yes</v>
      </c>
      <c r="AG41" s="7" t="str">
        <f aca="false">IF(AE41=P41,"No","Yes")</f>
        <v>No</v>
      </c>
      <c r="AH41" s="7" t="str">
        <f aca="false">IF(H41=MAX(D41,E41,H41),"TVK",IF(E41=MAX(D41,E41,H41),"DMK+","AIADMK+"))</f>
        <v>TVK</v>
      </c>
      <c r="AI41" s="27" t="n">
        <f aca="false">EXP(AA41)/(EXP(AA41)+EXP(AB41)+EXP(AC41))</f>
        <v>0.199533667358766</v>
      </c>
      <c r="AJ41" s="27" t="n">
        <f aca="false">EXP(AB41)/(EXP(AA41)+EXP(AB41)+EXP(AC41))</f>
        <v>0.217796240378724</v>
      </c>
      <c r="AK41" s="28" t="s">
        <v>3</v>
      </c>
      <c r="AL41" s="7" t="str">
        <f aca="false">IF(AK41=R41,"Yes","No")</f>
        <v>Yes</v>
      </c>
      <c r="AM41" s="27" t="n">
        <f aca="false">IF(AK41="TVK",AD41,IF(AK41="DMK+",AJ41,AI41))</f>
        <v>0.58267009226251</v>
      </c>
      <c r="AN41" s="7" t="str">
        <f aca="false">IF(AK41=P41,"No","Yes")</f>
        <v>No</v>
      </c>
    </row>
    <row r="42" customFormat="false" ht="15" hidden="true" customHeight="false" outlineLevel="0" collapsed="false">
      <c r="A42" s="0" t="n">
        <v>38</v>
      </c>
      <c r="B42" s="4" t="s">
        <v>230</v>
      </c>
      <c r="C42" s="5" t="s">
        <v>132</v>
      </c>
      <c r="D42" s="35" t="n">
        <v>14</v>
      </c>
      <c r="E42" s="35" t="n">
        <v>5</v>
      </c>
      <c r="F42" s="35"/>
      <c r="G42" s="35" t="n">
        <v>3</v>
      </c>
      <c r="H42" s="35" t="n">
        <v>9</v>
      </c>
      <c r="I42" s="5" t="n">
        <f aca="false">SUM(D42:H42)</f>
        <v>31</v>
      </c>
      <c r="J42" s="10" t="n">
        <f aca="false">IF($I42=0,0,D42/$I42)</f>
        <v>0.451612903225806</v>
      </c>
      <c r="K42" s="10" t="n">
        <f aca="false">IF($I42=0,0,E42/$I42)</f>
        <v>0.161290322580645</v>
      </c>
      <c r="L42" s="10" t="n">
        <f aca="false">IF($I42=0,0,F42/$I42)</f>
        <v>0</v>
      </c>
      <c r="M42" s="10" t="n">
        <f aca="false">IF($I42=0,0,G42/$I42)</f>
        <v>0.0967741935483871</v>
      </c>
      <c r="N42" s="10" t="n">
        <f aca="false">IF($I42=0,0,H42/$I42)</f>
        <v>0.290322580645161</v>
      </c>
      <c r="O42" s="35" t="s">
        <v>218</v>
      </c>
      <c r="P42" s="0" t="str">
        <f aca="false">IF(O42="TVK","TVK",IF(O42="DMK","DMK+",IF(O42="ADMK","AIADMK+","")))</f>
        <v>AIADMK+</v>
      </c>
      <c r="Q42" s="35" t="s">
        <v>3</v>
      </c>
      <c r="R42" s="36" t="s">
        <v>3</v>
      </c>
      <c r="S42" s="0" t="str">
        <f aca="false">IF(P42=R42,"Yes","No")</f>
        <v>No</v>
      </c>
      <c r="T42" s="2"/>
      <c r="U42" s="27" t="n">
        <f aca="false">IFERROR(SUMIFS($D$5:$D$238,$C$5:$C$238,$C42)/SUMIFS($I$5:$I$238,$C$5:$C$238,$C42),0)</f>
        <v>0.327272727272727</v>
      </c>
      <c r="V42" s="27" t="n">
        <f aca="false">IFERROR(SUMIFS($E$5:$E$238,$C$5:$C$238,$C42)/SUMIFS($I$5:$I$238,$C$5:$C$238,$C42),0)</f>
        <v>0.236363636363636</v>
      </c>
      <c r="W42" s="27" t="n">
        <f aca="false">IFERROR(SUMIFS($F$5:$F$238,$C$5:$C$238,$C42)/SUMIFS($I$5:$I$238,$C$5:$C$238,$C42),0)</f>
        <v>0</v>
      </c>
      <c r="X42" s="27" t="n">
        <f aca="false">IFERROR(SUMIFS($G$5:$G$238,$C$5:$C$238,$C42)/SUMIFS($I$5:$I$238,$C$5:$C$238,$C42),0)</f>
        <v>0.1</v>
      </c>
      <c r="Y42" s="27" t="n">
        <f aca="false">IFERROR(SUMIFS($H$5:$H$238,$C$5:$C$238,$C42)/SUMIFS($I$5:$I$238,$C$5:$C$238,$C42),0)</f>
        <v>0.336363636363636</v>
      </c>
      <c r="Z42" s="24" t="n">
        <f aca="false">LN(MAX(I42,1))</f>
        <v>3.43398720448515</v>
      </c>
      <c r="AA42" s="24" t="n">
        <f aca="false">Calibration!$M$35+Calibration!$N$35+SUMPRODUCT(Calibration!$B$35:$F$35,J42:N42)+SUMPRODUCT(Calibration!$G$35:$K$35,U42:Y42)+Calibration!$L$35*Z42</f>
        <v>0.633274026714124</v>
      </c>
      <c r="AB42" s="24" t="n">
        <f aca="false">Calibration!$M$36+Calibration!$N$36+SUMPRODUCT(Calibration!$B$36:$F$36,J42:N42)+SUMPRODUCT(Calibration!$G$36:$K$36,U42:Y42)+Calibration!$L$36*Z42</f>
        <v>0.23197150655731</v>
      </c>
      <c r="AC42" s="24" t="n">
        <f aca="false">Calibration!$M$37+Calibration!$N$37+SUMPRODUCT(Calibration!$B$37:$F$37,J42:N42)+SUMPRODUCT(Calibration!$G$37:$K$37,U42:Y42)+Calibration!$L$37*Z42</f>
        <v>-0.0402450065852182</v>
      </c>
      <c r="AD42" s="27" t="n">
        <f aca="false">EXP(AC42)/(EXP(AA42)+EXP(AB42)+EXP(AC42))</f>
        <v>0.2339729858405</v>
      </c>
      <c r="AE42" s="7" t="str">
        <f aca="false">IF(AC42=MAX(AA42:AC42),"TVK",IF(AB42=MAX(AA42:AC42),"DMK+","AIADMK+"))</f>
        <v>AIADMK+</v>
      </c>
      <c r="AF42" s="7" t="str">
        <f aca="false">IF(AE42=R42,"Yes","No")</f>
        <v>No</v>
      </c>
      <c r="AG42" s="7" t="str">
        <f aca="false">IF(AE42=P42,"No","Yes")</f>
        <v>No</v>
      </c>
      <c r="AH42" s="7" t="str">
        <f aca="false">IF(H42=MAX(D42,E42,H42),"TVK",IF(E42=MAX(D42,E42,H42),"DMK+","AIADMK+"))</f>
        <v>AIADMK+</v>
      </c>
      <c r="AI42" s="27" t="n">
        <f aca="false">EXP(AA42)/(EXP(AA42)+EXP(AB42)+EXP(AC42))</f>
        <v>0.458850613758929</v>
      </c>
      <c r="AJ42" s="27" t="n">
        <f aca="false">EXP(AB42)/(EXP(AA42)+EXP(AB42)+EXP(AC42))</f>
        <v>0.307176400400571</v>
      </c>
      <c r="AK42" s="28" t="s">
        <v>3</v>
      </c>
      <c r="AL42" s="7" t="str">
        <f aca="false">IF(AK42=R42,"Yes","No")</f>
        <v>Yes</v>
      </c>
      <c r="AM42" s="27" t="n">
        <f aca="false">IF(AK42="TVK",AD42,IF(AK42="DMK+",AJ42,AI42))</f>
        <v>0.2339729858405</v>
      </c>
      <c r="AN42" s="7" t="str">
        <f aca="false">IF(AK42=P42,"No","Yes")</f>
        <v>Yes</v>
      </c>
    </row>
    <row r="43" customFormat="false" ht="15" hidden="true" customHeight="false" outlineLevel="0" collapsed="false">
      <c r="A43" s="0" t="n">
        <v>39</v>
      </c>
      <c r="B43" s="4" t="s">
        <v>231</v>
      </c>
      <c r="C43" s="5" t="s">
        <v>132</v>
      </c>
      <c r="D43" s="35" t="n">
        <v>6</v>
      </c>
      <c r="E43" s="35" t="n">
        <v>3</v>
      </c>
      <c r="F43" s="35"/>
      <c r="G43" s="35" t="n">
        <v>4</v>
      </c>
      <c r="H43" s="35" t="n">
        <v>4</v>
      </c>
      <c r="I43" s="5" t="n">
        <f aca="false">SUM(D43:H43)</f>
        <v>17</v>
      </c>
      <c r="J43" s="10" t="n">
        <f aca="false">IF($I43=0,0,D43/$I43)</f>
        <v>0.352941176470588</v>
      </c>
      <c r="K43" s="10" t="n">
        <f aca="false">IF($I43=0,0,E43/$I43)</f>
        <v>0.176470588235294</v>
      </c>
      <c r="L43" s="10" t="n">
        <f aca="false">IF($I43=0,0,F43/$I43)</f>
        <v>0</v>
      </c>
      <c r="M43" s="10" t="n">
        <f aca="false">IF($I43=0,0,G43/$I43)</f>
        <v>0.235294117647059</v>
      </c>
      <c r="N43" s="10" t="n">
        <f aca="false">IF($I43=0,0,H43/$I43)</f>
        <v>0.235294117647059</v>
      </c>
      <c r="O43" s="35" t="s">
        <v>218</v>
      </c>
      <c r="P43" s="0" t="str">
        <f aca="false">IF(O43="TVK","TVK",IF(O43="DMK","DMK+",IF(O43="ADMK","AIADMK+","")))</f>
        <v>AIADMK+</v>
      </c>
      <c r="Q43" s="35" t="s">
        <v>3</v>
      </c>
      <c r="R43" s="36" t="s">
        <v>3</v>
      </c>
      <c r="S43" s="0" t="str">
        <f aca="false">IF(P43=R43,"Yes","No")</f>
        <v>No</v>
      </c>
      <c r="T43" s="2"/>
      <c r="U43" s="27" t="n">
        <f aca="false">IFERROR(SUMIFS($D$5:$D$238,$C$5:$C$238,$C43)/SUMIFS($I$5:$I$238,$C$5:$C$238,$C43),0)</f>
        <v>0.327272727272727</v>
      </c>
      <c r="V43" s="27" t="n">
        <f aca="false">IFERROR(SUMIFS($E$5:$E$238,$C$5:$C$238,$C43)/SUMIFS($I$5:$I$238,$C$5:$C$238,$C43),0)</f>
        <v>0.236363636363636</v>
      </c>
      <c r="W43" s="27" t="n">
        <f aca="false">IFERROR(SUMIFS($F$5:$F$238,$C$5:$C$238,$C43)/SUMIFS($I$5:$I$238,$C$5:$C$238,$C43),0)</f>
        <v>0</v>
      </c>
      <c r="X43" s="27" t="n">
        <f aca="false">IFERROR(SUMIFS($G$5:$G$238,$C$5:$C$238,$C43)/SUMIFS($I$5:$I$238,$C$5:$C$238,$C43),0)</f>
        <v>0.1</v>
      </c>
      <c r="Y43" s="27" t="n">
        <f aca="false">IFERROR(SUMIFS($H$5:$H$238,$C$5:$C$238,$C43)/SUMIFS($I$5:$I$238,$C$5:$C$238,$C43),0)</f>
        <v>0.336363636363636</v>
      </c>
      <c r="Z43" s="24" t="n">
        <f aca="false">LN(MAX(I43,1))</f>
        <v>2.83321334405622</v>
      </c>
      <c r="AA43" s="24" t="n">
        <f aca="false">Calibration!$M$35+Calibration!$N$35+SUMPRODUCT(Calibration!$B$35:$F$35,J43:N43)+SUMPRODUCT(Calibration!$G$35:$K$35,U43:Y43)+Calibration!$L$35*Z43</f>
        <v>0.863564653298728</v>
      </c>
      <c r="AB43" s="24" t="n">
        <f aca="false">Calibration!$M$36+Calibration!$N$36+SUMPRODUCT(Calibration!$B$36:$F$36,J43:N43)+SUMPRODUCT(Calibration!$G$36:$K$36,U43:Y43)+Calibration!$L$36*Z43</f>
        <v>0.738568921584811</v>
      </c>
      <c r="AC43" s="24" t="n">
        <f aca="false">Calibration!$M$37+Calibration!$N$37+SUMPRODUCT(Calibration!$B$37:$F$37,J43:N43)+SUMPRODUCT(Calibration!$G$37:$K$37,U43:Y43)+Calibration!$L$37*Z43</f>
        <v>-0.777133103225785</v>
      </c>
      <c r="AD43" s="27" t="n">
        <f aca="false">EXP(AC43)/(EXP(AA43)+EXP(AB43)+EXP(AC43))</f>
        <v>0.0933586184233265</v>
      </c>
      <c r="AE43" s="7" t="str">
        <f aca="false">IF(AC43=MAX(AA43:AC43),"TVK",IF(AB43=MAX(AA43:AC43),"DMK+","AIADMK+"))</f>
        <v>AIADMK+</v>
      </c>
      <c r="AF43" s="7" t="str">
        <f aca="false">IF(AE43=R43,"Yes","No")</f>
        <v>No</v>
      </c>
      <c r="AG43" s="7" t="str">
        <f aca="false">IF(AE43=P43,"No","Yes")</f>
        <v>No</v>
      </c>
      <c r="AH43" s="7" t="str">
        <f aca="false">IF(H43=MAX(D43,E43,H43),"TVK",IF(E43=MAX(D43,E43,H43),"DMK+","AIADMK+"))</f>
        <v>AIADMK+</v>
      </c>
      <c r="AI43" s="27" t="n">
        <f aca="false">EXP(AA43)/(EXP(AA43)+EXP(AB43)+EXP(AC43))</f>
        <v>0.481615436500022</v>
      </c>
      <c r="AJ43" s="27" t="n">
        <f aca="false">EXP(AB43)/(EXP(AA43)+EXP(AB43)+EXP(AC43))</f>
        <v>0.425025945076652</v>
      </c>
      <c r="AK43" s="28" t="s">
        <v>4</v>
      </c>
      <c r="AL43" s="7" t="str">
        <f aca="false">IF(AK43=R43,"Yes","No")</f>
        <v>No</v>
      </c>
      <c r="AM43" s="27" t="n">
        <f aca="false">IF(AK43="TVK",AD43,IF(AK43="DMK+",AJ43,AI43))</f>
        <v>0.481615436500022</v>
      </c>
      <c r="AN43" s="7" t="str">
        <f aca="false">IF(AK43=P43,"No","Yes")</f>
        <v>No</v>
      </c>
    </row>
    <row r="44" customFormat="false" ht="15" hidden="true" customHeight="false" outlineLevel="0" collapsed="false">
      <c r="A44" s="0" t="n">
        <v>40</v>
      </c>
      <c r="B44" s="4" t="s">
        <v>232</v>
      </c>
      <c r="C44" s="5" t="s">
        <v>162</v>
      </c>
      <c r="D44" s="35" t="n">
        <v>24</v>
      </c>
      <c r="E44" s="35" t="n">
        <v>10</v>
      </c>
      <c r="F44" s="35"/>
      <c r="G44" s="35" t="n">
        <v>3</v>
      </c>
      <c r="H44" s="35" t="n">
        <v>7</v>
      </c>
      <c r="I44" s="5" t="n">
        <f aca="false">SUM(D44:H44)</f>
        <v>44</v>
      </c>
      <c r="J44" s="10" t="n">
        <f aca="false">IF($I44=0,0,D44/$I44)</f>
        <v>0.545454545454545</v>
      </c>
      <c r="K44" s="10" t="n">
        <f aca="false">IF($I44=0,0,E44/$I44)</f>
        <v>0.227272727272727</v>
      </c>
      <c r="L44" s="10" t="n">
        <f aca="false">IF($I44=0,0,F44/$I44)</f>
        <v>0</v>
      </c>
      <c r="M44" s="10" t="n">
        <f aca="false">IF($I44=0,0,G44/$I44)</f>
        <v>0.0681818181818182</v>
      </c>
      <c r="N44" s="10" t="n">
        <f aca="false">IF($I44=0,0,H44/$I44)</f>
        <v>0.159090909090909</v>
      </c>
      <c r="O44" s="35" t="s">
        <v>218</v>
      </c>
      <c r="P44" s="0" t="str">
        <f aca="false">IF(O44="TVK","TVK",IF(O44="DMK","DMK+",IF(O44="ADMK","AIADMK+","")))</f>
        <v>AIADMK+</v>
      </c>
      <c r="Q44" s="35" t="s">
        <v>3</v>
      </c>
      <c r="R44" s="36" t="s">
        <v>3</v>
      </c>
      <c r="S44" s="0" t="str">
        <f aca="false">IF(P44=R44,"Yes","No")</f>
        <v>No</v>
      </c>
      <c r="T44" s="2"/>
      <c r="U44" s="27" t="n">
        <f aca="false">IFERROR(SUMIFS($D$5:$D$238,$C$5:$C$238,$C44)/SUMIFS($I$5:$I$238,$C$5:$C$238,$C44),0)</f>
        <v>0.285714285714286</v>
      </c>
      <c r="V44" s="27" t="n">
        <f aca="false">IFERROR(SUMIFS($E$5:$E$238,$C$5:$C$238,$C44)/SUMIFS($I$5:$I$238,$C$5:$C$238,$C44),0)</f>
        <v>0.28042328042328</v>
      </c>
      <c r="W44" s="27" t="n">
        <f aca="false">IFERROR(SUMIFS($F$5:$F$238,$C$5:$C$238,$C44)/SUMIFS($I$5:$I$238,$C$5:$C$238,$C44),0)</f>
        <v>0</v>
      </c>
      <c r="X44" s="27" t="n">
        <f aca="false">IFERROR(SUMIFS($G$5:$G$238,$C$5:$C$238,$C44)/SUMIFS($I$5:$I$238,$C$5:$C$238,$C44),0)</f>
        <v>0.0476190476190476</v>
      </c>
      <c r="Y44" s="27" t="n">
        <f aca="false">IFERROR(SUMIFS($H$5:$H$238,$C$5:$C$238,$C44)/SUMIFS($I$5:$I$238,$C$5:$C$238,$C44),0)</f>
        <v>0.386243386243386</v>
      </c>
      <c r="Z44" s="24" t="n">
        <f aca="false">LN(MAX(I44,1))</f>
        <v>3.78418963391826</v>
      </c>
      <c r="AA44" s="24" t="n">
        <f aca="false">Calibration!$M$35+Calibration!$N$35+SUMPRODUCT(Calibration!$B$35:$F$35,J44:N44)+SUMPRODUCT(Calibration!$G$35:$K$35,U44:Y44)+Calibration!$L$35*Z44</f>
        <v>0.469052878006781</v>
      </c>
      <c r="AB44" s="24" t="n">
        <f aca="false">Calibration!$M$36+Calibration!$N$36+SUMPRODUCT(Calibration!$B$36:$F$36,J44:N44)+SUMPRODUCT(Calibration!$G$36:$K$36,U44:Y44)+Calibration!$L$36*Z44</f>
        <v>0.0334687604081743</v>
      </c>
      <c r="AC44" s="24" t="n">
        <f aca="false">Calibration!$M$37+Calibration!$N$37+SUMPRODUCT(Calibration!$B$37:$F$37,J44:N44)+SUMPRODUCT(Calibration!$G$37:$K$37,U44:Y44)+Calibration!$L$37*Z44</f>
        <v>0.322478801099234</v>
      </c>
      <c r="AD44" s="27" t="n">
        <f aca="false">EXP(AC44)/(EXP(AA44)+EXP(AB44)+EXP(AC44))</f>
        <v>0.344013178515899</v>
      </c>
      <c r="AE44" s="7" t="str">
        <f aca="false">IF(AC44=MAX(AA44:AC44),"TVK",IF(AB44=MAX(AA44:AC44),"DMK+","AIADMK+"))</f>
        <v>AIADMK+</v>
      </c>
      <c r="AF44" s="7" t="str">
        <f aca="false">IF(AE44=R44,"Yes","No")</f>
        <v>No</v>
      </c>
      <c r="AG44" s="7" t="str">
        <f aca="false">IF(AE44=P44,"No","Yes")</f>
        <v>No</v>
      </c>
      <c r="AH44" s="7" t="str">
        <f aca="false">IF(H44=MAX(D44,E44,H44),"TVK",IF(E44=MAX(D44,E44,H44),"DMK+","AIADMK+"))</f>
        <v>AIADMK+</v>
      </c>
      <c r="AI44" s="27" t="n">
        <f aca="false">EXP(AA44)/(EXP(AA44)+EXP(AB44)+EXP(AC44))</f>
        <v>0.398319339128901</v>
      </c>
      <c r="AJ44" s="27" t="n">
        <f aca="false">EXP(AB44)/(EXP(AA44)+EXP(AB44)+EXP(AC44))</f>
        <v>0.2576674823552</v>
      </c>
      <c r="AK44" s="28" t="s">
        <v>3</v>
      </c>
      <c r="AL44" s="7" t="str">
        <f aca="false">IF(AK44=R44,"Yes","No")</f>
        <v>Yes</v>
      </c>
      <c r="AM44" s="27" t="n">
        <f aca="false">IF(AK44="TVK",AD44,IF(AK44="DMK+",AJ44,AI44))</f>
        <v>0.344013178515899</v>
      </c>
      <c r="AN44" s="7" t="str">
        <f aca="false">IF(AK44=P44,"No","Yes")</f>
        <v>Yes</v>
      </c>
    </row>
    <row r="45" customFormat="false" ht="15" hidden="false" customHeight="false" outlineLevel="0" collapsed="false">
      <c r="A45" s="0" t="n">
        <v>41</v>
      </c>
      <c r="B45" s="4" t="s">
        <v>132</v>
      </c>
      <c r="C45" s="5" t="s">
        <v>132</v>
      </c>
      <c r="D45" s="35" t="n">
        <v>7</v>
      </c>
      <c r="E45" s="35" t="n">
        <v>5</v>
      </c>
      <c r="F45" s="35"/>
      <c r="G45" s="35"/>
      <c r="H45" s="35" t="n">
        <v>12</v>
      </c>
      <c r="I45" s="5" t="n">
        <f aca="false">SUM(D45:H45)</f>
        <v>24</v>
      </c>
      <c r="J45" s="10" t="n">
        <f aca="false">IF($I45=0,0,D45/$I45)</f>
        <v>0.291666666666667</v>
      </c>
      <c r="K45" s="10" t="n">
        <f aca="false">IF($I45=0,0,E45/$I45)</f>
        <v>0.208333333333333</v>
      </c>
      <c r="L45" s="10" t="n">
        <f aca="false">IF($I45=0,0,F45/$I45)</f>
        <v>0</v>
      </c>
      <c r="M45" s="10" t="n">
        <f aca="false">IF($I45=0,0,G45/$I45)</f>
        <v>0</v>
      </c>
      <c r="N45" s="10" t="n">
        <f aca="false">IF($I45=0,0,H45/$I45)</f>
        <v>0.5</v>
      </c>
      <c r="O45" s="35" t="s">
        <v>3</v>
      </c>
      <c r="P45" s="0" t="str">
        <f aca="false">IF(O45="TVK","TVK",IF(O45="DMK","DMK+",IF(O45="ADMK","AIADMK+","")))</f>
        <v>TVK</v>
      </c>
      <c r="Q45" s="35" t="s">
        <v>3</v>
      </c>
      <c r="R45" s="36" t="s">
        <v>3</v>
      </c>
      <c r="S45" s="0" t="str">
        <f aca="false">IF(P45=R45,"Yes","No")</f>
        <v>Yes</v>
      </c>
      <c r="T45" s="2"/>
      <c r="U45" s="27" t="n">
        <f aca="false">IFERROR(SUMIFS($D$5:$D$238,$C$5:$C$238,$C45)/SUMIFS($I$5:$I$238,$C$5:$C$238,$C45),0)</f>
        <v>0.327272727272727</v>
      </c>
      <c r="V45" s="27" t="n">
        <f aca="false">IFERROR(SUMIFS($E$5:$E$238,$C$5:$C$238,$C45)/SUMIFS($I$5:$I$238,$C$5:$C$238,$C45),0)</f>
        <v>0.236363636363636</v>
      </c>
      <c r="W45" s="27" t="n">
        <f aca="false">IFERROR(SUMIFS($F$5:$F$238,$C$5:$C$238,$C45)/SUMIFS($I$5:$I$238,$C$5:$C$238,$C45),0)</f>
        <v>0</v>
      </c>
      <c r="X45" s="27" t="n">
        <f aca="false">IFERROR(SUMIFS($G$5:$G$238,$C$5:$C$238,$C45)/SUMIFS($I$5:$I$238,$C$5:$C$238,$C45),0)</f>
        <v>0.1</v>
      </c>
      <c r="Y45" s="27" t="n">
        <f aca="false">IFERROR(SUMIFS($H$5:$H$238,$C$5:$C$238,$C45)/SUMIFS($I$5:$I$238,$C$5:$C$238,$C45),0)</f>
        <v>0.336363636363636</v>
      </c>
      <c r="Z45" s="24" t="n">
        <f aca="false">LN(MAX(I45,1))</f>
        <v>3.17805383034795</v>
      </c>
      <c r="AA45" s="24" t="n">
        <f aca="false">Calibration!$M$35+Calibration!$N$35+SUMPRODUCT(Calibration!$B$35:$F$35,J45:N45)+SUMPRODUCT(Calibration!$G$35:$K$35,U45:Y45)+Calibration!$L$35*Z45</f>
        <v>0.547888292662558</v>
      </c>
      <c r="AB45" s="24" t="n">
        <f aca="false">Calibration!$M$36+Calibration!$N$36+SUMPRODUCT(Calibration!$B$36:$F$36,J45:N45)+SUMPRODUCT(Calibration!$G$36:$K$36,U45:Y45)+Calibration!$L$36*Z45</f>
        <v>0.489439032543796</v>
      </c>
      <c r="AC45" s="24" t="n">
        <f aca="false">Calibration!$M$37+Calibration!$N$37+SUMPRODUCT(Calibration!$B$37:$F$37,J45:N45)+SUMPRODUCT(Calibration!$G$37:$K$37,U45:Y45)+Calibration!$L$37*Z45</f>
        <v>-0.212326588842718</v>
      </c>
      <c r="AD45" s="27" t="n">
        <f aca="false">EXP(AC45)/(EXP(AA45)+EXP(AB45)+EXP(AC45))</f>
        <v>0.193947025102654</v>
      </c>
      <c r="AE45" s="7" t="str">
        <f aca="false">IF(AC45=MAX(AA45:AC45),"TVK",IF(AB45=MAX(AA45:AC45),"DMK+","AIADMK+"))</f>
        <v>AIADMK+</v>
      </c>
      <c r="AF45" s="7" t="str">
        <f aca="false">IF(AE45=R45,"Yes","No")</f>
        <v>No</v>
      </c>
      <c r="AG45" s="7" t="str">
        <f aca="false">IF(AE45=P45,"No","Yes")</f>
        <v>Yes</v>
      </c>
      <c r="AH45" s="7" t="str">
        <f aca="false">IF(H45=MAX(D45,E45,H45),"TVK",IF(E45=MAX(D45,E45,H45),"DMK+","AIADMK+"))</f>
        <v>TVK</v>
      </c>
      <c r="AI45" s="27" t="n">
        <f aca="false">EXP(AA45)/(EXP(AA45)+EXP(AB45)+EXP(AC45))</f>
        <v>0.414801435394085</v>
      </c>
      <c r="AJ45" s="27" t="n">
        <f aca="false">EXP(AB45)/(EXP(AA45)+EXP(AB45)+EXP(AC45))</f>
        <v>0.391251539503261</v>
      </c>
      <c r="AK45" s="28" t="s">
        <v>3</v>
      </c>
      <c r="AL45" s="7" t="str">
        <f aca="false">IF(AK45=R45,"Yes","No")</f>
        <v>Yes</v>
      </c>
      <c r="AM45" s="27" t="n">
        <f aca="false">IF(AK45="TVK",AD45,IF(AK45="DMK+",AJ45,AI45))</f>
        <v>0.193947025102654</v>
      </c>
      <c r="AN45" s="7" t="str">
        <f aca="false">IF(AK45=P45,"No","Yes")</f>
        <v>No</v>
      </c>
    </row>
    <row r="46" customFormat="false" ht="15" hidden="true" customHeight="false" outlineLevel="0" collapsed="false">
      <c r="A46" s="0" t="n">
        <v>42</v>
      </c>
      <c r="B46" s="4" t="s">
        <v>233</v>
      </c>
      <c r="C46" s="5" t="s">
        <v>132</v>
      </c>
      <c r="D46" s="35" t="n">
        <v>9</v>
      </c>
      <c r="E46" s="35" t="n">
        <v>13</v>
      </c>
      <c r="F46" s="35"/>
      <c r="G46" s="35" t="n">
        <v>4</v>
      </c>
      <c r="H46" s="35" t="n">
        <v>12</v>
      </c>
      <c r="I46" s="5" t="n">
        <f aca="false">SUM(D46:H46)</f>
        <v>38</v>
      </c>
      <c r="J46" s="10" t="n">
        <f aca="false">IF($I46=0,0,D46/$I46)</f>
        <v>0.236842105263158</v>
      </c>
      <c r="K46" s="10" t="n">
        <f aca="false">IF($I46=0,0,E46/$I46)</f>
        <v>0.342105263157895</v>
      </c>
      <c r="L46" s="10" t="n">
        <f aca="false">IF($I46=0,0,F46/$I46)</f>
        <v>0</v>
      </c>
      <c r="M46" s="10" t="n">
        <f aca="false">IF($I46=0,0,G46/$I46)</f>
        <v>0.105263157894737</v>
      </c>
      <c r="N46" s="10" t="n">
        <f aca="false">IF($I46=0,0,H46/$I46)</f>
        <v>0.315789473684211</v>
      </c>
      <c r="O46" s="35" t="s">
        <v>197</v>
      </c>
      <c r="P46" s="0" t="str">
        <f aca="false">IF(O46="TVK","TVK",IF(O46="DMK","DMK+",IF(O46="ADMK","AIADMK+","")))</f>
        <v>DMK+</v>
      </c>
      <c r="Q46" s="35" t="s">
        <v>196</v>
      </c>
      <c r="R46" s="36" t="s">
        <v>4</v>
      </c>
      <c r="S46" s="0" t="str">
        <f aca="false">IF(P46=R46,"Yes","No")</f>
        <v>No</v>
      </c>
      <c r="T46" s="2"/>
      <c r="U46" s="27" t="n">
        <f aca="false">IFERROR(SUMIFS($D$5:$D$238,$C$5:$C$238,$C46)/SUMIFS($I$5:$I$238,$C$5:$C$238,$C46),0)</f>
        <v>0.327272727272727</v>
      </c>
      <c r="V46" s="27" t="n">
        <f aca="false">IFERROR(SUMIFS($E$5:$E$238,$C$5:$C$238,$C46)/SUMIFS($I$5:$I$238,$C$5:$C$238,$C46),0)</f>
        <v>0.236363636363636</v>
      </c>
      <c r="W46" s="27" t="n">
        <f aca="false">IFERROR(SUMIFS($F$5:$F$238,$C$5:$C$238,$C46)/SUMIFS($I$5:$I$238,$C$5:$C$238,$C46),0)</f>
        <v>0</v>
      </c>
      <c r="X46" s="27" t="n">
        <f aca="false">IFERROR(SUMIFS($G$5:$G$238,$C$5:$C$238,$C46)/SUMIFS($I$5:$I$238,$C$5:$C$238,$C46),0)</f>
        <v>0.1</v>
      </c>
      <c r="Y46" s="27" t="n">
        <f aca="false">IFERROR(SUMIFS($H$5:$H$238,$C$5:$C$238,$C46)/SUMIFS($I$5:$I$238,$C$5:$C$238,$C46),0)</f>
        <v>0.336363636363636</v>
      </c>
      <c r="Z46" s="24" t="n">
        <f aca="false">LN(MAX(I46,1))</f>
        <v>3.63758615972639</v>
      </c>
      <c r="AA46" s="24" t="n">
        <f aca="false">Calibration!$M$35+Calibration!$N$35+SUMPRODUCT(Calibration!$B$35:$F$35,J46:N46)+SUMPRODUCT(Calibration!$G$35:$K$35,U46:Y46)+Calibration!$L$35*Z46</f>
        <v>0.199007735262394</v>
      </c>
      <c r="AB46" s="24" t="n">
        <f aca="false">Calibration!$M$36+Calibration!$N$36+SUMPRODUCT(Calibration!$B$36:$F$36,J46:N46)+SUMPRODUCT(Calibration!$G$36:$K$36,U46:Y46)+Calibration!$L$36*Z46</f>
        <v>0.471102634942104</v>
      </c>
      <c r="AC46" s="24" t="n">
        <f aca="false">Calibration!$M$37+Calibration!$N$37+SUMPRODUCT(Calibration!$B$37:$F$37,J46:N46)+SUMPRODUCT(Calibration!$G$37:$K$37,U46:Y46)+Calibration!$L$37*Z46</f>
        <v>0.154890181948612</v>
      </c>
      <c r="AD46" s="27" t="n">
        <f aca="false">EXP(AC46)/(EXP(AA46)+EXP(AB46)+EXP(AC46))</f>
        <v>0.292652071583328</v>
      </c>
      <c r="AE46" s="7" t="str">
        <f aca="false">IF(AC46=MAX(AA46:AC46),"TVK",IF(AB46=MAX(AA46:AC46),"DMK+","AIADMK+"))</f>
        <v>DMK+</v>
      </c>
      <c r="AF46" s="7" t="str">
        <f aca="false">IF(AE46=R46,"Yes","No")</f>
        <v>No</v>
      </c>
      <c r="AG46" s="7" t="str">
        <f aca="false">IF(AE46=P46,"No","Yes")</f>
        <v>No</v>
      </c>
      <c r="AH46" s="7" t="str">
        <f aca="false">IF(H46=MAX(D46,E46,H46),"TVK",IF(E46=MAX(D46,E46,H46),"DMK+","AIADMK+"))</f>
        <v>DMK+</v>
      </c>
      <c r="AI46" s="27" t="n">
        <f aca="false">EXP(AA46)/(EXP(AA46)+EXP(AB46)+EXP(AC46))</f>
        <v>0.305852202752919</v>
      </c>
      <c r="AJ46" s="27" t="n">
        <f aca="false">EXP(AB46)/(EXP(AA46)+EXP(AB46)+EXP(AC46))</f>
        <v>0.401495725663753</v>
      </c>
      <c r="AK46" s="28" t="s">
        <v>3</v>
      </c>
      <c r="AL46" s="7" t="str">
        <f aca="false">IF(AK46=R46,"Yes","No")</f>
        <v>No</v>
      </c>
      <c r="AM46" s="27" t="n">
        <f aca="false">IF(AK46="TVK",AD46,IF(AK46="DMK+",AJ46,AI46))</f>
        <v>0.292652071583328</v>
      </c>
      <c r="AN46" s="7" t="str">
        <f aca="false">IF(AK46=P46,"No","Yes")</f>
        <v>Yes</v>
      </c>
    </row>
    <row r="47" customFormat="false" ht="15" hidden="true" customHeight="false" outlineLevel="0" collapsed="false">
      <c r="A47" s="0" t="n">
        <v>43</v>
      </c>
      <c r="B47" s="4" t="s">
        <v>162</v>
      </c>
      <c r="C47" s="5" t="s">
        <v>162</v>
      </c>
      <c r="D47" s="35" t="n">
        <v>9</v>
      </c>
      <c r="E47" s="35" t="n">
        <v>25</v>
      </c>
      <c r="F47" s="35"/>
      <c r="G47" s="35" t="n">
        <v>3</v>
      </c>
      <c r="H47" s="35" t="n">
        <v>22</v>
      </c>
      <c r="I47" s="5" t="n">
        <f aca="false">SUM(D47:H47)</f>
        <v>59</v>
      </c>
      <c r="J47" s="10" t="n">
        <f aca="false">IF($I47=0,0,D47/$I47)</f>
        <v>0.152542372881356</v>
      </c>
      <c r="K47" s="10" t="n">
        <f aca="false">IF($I47=0,0,E47/$I47)</f>
        <v>0.423728813559322</v>
      </c>
      <c r="L47" s="10" t="n">
        <f aca="false">IF($I47=0,0,F47/$I47)</f>
        <v>0</v>
      </c>
      <c r="M47" s="10" t="n">
        <f aca="false">IF($I47=0,0,G47/$I47)</f>
        <v>0.0508474576271187</v>
      </c>
      <c r="N47" s="10" t="n">
        <f aca="false">IF($I47=0,0,H47/$I47)</f>
        <v>0.372881355932203</v>
      </c>
      <c r="O47" s="35" t="s">
        <v>197</v>
      </c>
      <c r="P47" s="0" t="str">
        <f aca="false">IF(O47="TVK","TVK",IF(O47="DMK","DMK+",IF(O47="ADMK","AIADMK+","")))</f>
        <v>DMK+</v>
      </c>
      <c r="Q47" s="35" t="s">
        <v>3</v>
      </c>
      <c r="R47" s="36" t="s">
        <v>3</v>
      </c>
      <c r="S47" s="0" t="str">
        <f aca="false">IF(P47=R47,"Yes","No")</f>
        <v>No</v>
      </c>
      <c r="T47" s="2"/>
      <c r="U47" s="27" t="n">
        <f aca="false">IFERROR(SUMIFS($D$5:$D$238,$C$5:$C$238,$C47)/SUMIFS($I$5:$I$238,$C$5:$C$238,$C47),0)</f>
        <v>0.285714285714286</v>
      </c>
      <c r="V47" s="27" t="n">
        <f aca="false">IFERROR(SUMIFS($E$5:$E$238,$C$5:$C$238,$C47)/SUMIFS($I$5:$I$238,$C$5:$C$238,$C47),0)</f>
        <v>0.28042328042328</v>
      </c>
      <c r="W47" s="27" t="n">
        <f aca="false">IFERROR(SUMIFS($F$5:$F$238,$C$5:$C$238,$C47)/SUMIFS($I$5:$I$238,$C$5:$C$238,$C47),0)</f>
        <v>0</v>
      </c>
      <c r="X47" s="27" t="n">
        <f aca="false">IFERROR(SUMIFS($G$5:$G$238,$C$5:$C$238,$C47)/SUMIFS($I$5:$I$238,$C$5:$C$238,$C47),0)</f>
        <v>0.0476190476190476</v>
      </c>
      <c r="Y47" s="27" t="n">
        <f aca="false">IFERROR(SUMIFS($H$5:$H$238,$C$5:$C$238,$C47)/SUMIFS($I$5:$I$238,$C$5:$C$238,$C47),0)</f>
        <v>0.386243386243386</v>
      </c>
      <c r="Z47" s="24" t="n">
        <f aca="false">LN(MAX(I47,1))</f>
        <v>4.07753744390572</v>
      </c>
      <c r="AA47" s="24" t="n">
        <f aca="false">Calibration!$M$35+Calibration!$N$35+SUMPRODUCT(Calibration!$B$35:$F$35,J47:N47)+SUMPRODUCT(Calibration!$G$35:$K$35,U47:Y47)+Calibration!$L$35*Z47</f>
        <v>-0.21801355797479</v>
      </c>
      <c r="AB47" s="24" t="n">
        <f aca="false">Calibration!$M$36+Calibration!$N$36+SUMPRODUCT(Calibration!$B$36:$F$36,J47:N47)+SUMPRODUCT(Calibration!$G$36:$K$36,U47:Y47)+Calibration!$L$36*Z47</f>
        <v>0.314349821398162</v>
      </c>
      <c r="AC47" s="24" t="n">
        <f aca="false">Calibration!$M$37+Calibration!$N$37+SUMPRODUCT(Calibration!$B$37:$F$37,J47:N47)+SUMPRODUCT(Calibration!$G$37:$K$37,U47:Y47)+Calibration!$L$37*Z47</f>
        <v>0.728664389881265</v>
      </c>
      <c r="AD47" s="27" t="n">
        <f aca="false">EXP(AC47)/(EXP(AA47)+EXP(AB47)+EXP(AC47))</f>
        <v>0.488085589735784</v>
      </c>
      <c r="AE47" s="7" t="str">
        <f aca="false">IF(AC47=MAX(AA47:AC47),"TVK",IF(AB47=MAX(AA47:AC47),"DMK+","AIADMK+"))</f>
        <v>TVK</v>
      </c>
      <c r="AF47" s="7" t="str">
        <f aca="false">IF(AE47=R47,"Yes","No")</f>
        <v>Yes</v>
      </c>
      <c r="AG47" s="7" t="str">
        <f aca="false">IF(AE47=P47,"No","Yes")</f>
        <v>Yes</v>
      </c>
      <c r="AH47" s="7" t="str">
        <f aca="false">IF(H47=MAX(D47,E47,H47),"TVK",IF(E47=MAX(D47,E47,H47),"DMK+","AIADMK+"))</f>
        <v>DMK+</v>
      </c>
      <c r="AI47" s="27" t="n">
        <f aca="false">EXP(AA47)/(EXP(AA47)+EXP(AB47)+EXP(AC47))</f>
        <v>0.189390842858106</v>
      </c>
      <c r="AJ47" s="27" t="n">
        <f aca="false">EXP(AB47)/(EXP(AA47)+EXP(AB47)+EXP(AC47))</f>
        <v>0.322523567406109</v>
      </c>
      <c r="AK47" s="28" t="s">
        <v>3</v>
      </c>
      <c r="AL47" s="7" t="str">
        <f aca="false">IF(AK47=R47,"Yes","No")</f>
        <v>Yes</v>
      </c>
      <c r="AM47" s="27" t="n">
        <f aca="false">IF(AK47="TVK",AD47,IF(AK47="DMK+",AJ47,AI47))</f>
        <v>0.488085589735784</v>
      </c>
      <c r="AN47" s="7" t="str">
        <f aca="false">IF(AK47=P47,"No","Yes")</f>
        <v>Yes</v>
      </c>
    </row>
    <row r="48" customFormat="false" ht="15" hidden="false" customHeight="false" outlineLevel="0" collapsed="false">
      <c r="A48" s="0" t="n">
        <v>44</v>
      </c>
      <c r="B48" s="4" t="s">
        <v>234</v>
      </c>
      <c r="C48" s="5" t="s">
        <v>162</v>
      </c>
      <c r="D48" s="35" t="n">
        <v>10</v>
      </c>
      <c r="E48" s="35" t="n">
        <v>4</v>
      </c>
      <c r="F48" s="35"/>
      <c r="G48" s="35"/>
      <c r="H48" s="35" t="n">
        <v>17</v>
      </c>
      <c r="I48" s="5" t="n">
        <f aca="false">SUM(D48:H48)</f>
        <v>31</v>
      </c>
      <c r="J48" s="10" t="n">
        <f aca="false">IF($I48=0,0,D48/$I48)</f>
        <v>0.32258064516129</v>
      </c>
      <c r="K48" s="10" t="n">
        <f aca="false">IF($I48=0,0,E48/$I48)</f>
        <v>0.129032258064516</v>
      </c>
      <c r="L48" s="10" t="n">
        <f aca="false">IF($I48=0,0,F48/$I48)</f>
        <v>0</v>
      </c>
      <c r="M48" s="10" t="n">
        <f aca="false">IF($I48=0,0,G48/$I48)</f>
        <v>0</v>
      </c>
      <c r="N48" s="10" t="n">
        <f aca="false">IF($I48=0,0,H48/$I48)</f>
        <v>0.548387096774194</v>
      </c>
      <c r="O48" s="35" t="s">
        <v>3</v>
      </c>
      <c r="P48" s="0" t="str">
        <f aca="false">IF(O48="TVK","TVK",IF(O48="DMK","DMK+",IF(O48="ADMK","AIADMK+","")))</f>
        <v>TVK</v>
      </c>
      <c r="Q48" s="35" t="s">
        <v>196</v>
      </c>
      <c r="R48" s="36" t="s">
        <v>4</v>
      </c>
      <c r="S48" s="0" t="str">
        <f aca="false">IF(P48=R48,"Yes","No")</f>
        <v>No</v>
      </c>
      <c r="T48" s="2"/>
      <c r="U48" s="27" t="n">
        <f aca="false">IFERROR(SUMIFS($D$5:$D$238,$C$5:$C$238,$C48)/SUMIFS($I$5:$I$238,$C$5:$C$238,$C48),0)</f>
        <v>0.285714285714286</v>
      </c>
      <c r="V48" s="27" t="n">
        <f aca="false">IFERROR(SUMIFS($E$5:$E$238,$C$5:$C$238,$C48)/SUMIFS($I$5:$I$238,$C$5:$C$238,$C48),0)</f>
        <v>0.28042328042328</v>
      </c>
      <c r="W48" s="27" t="n">
        <f aca="false">IFERROR(SUMIFS($F$5:$F$238,$C$5:$C$238,$C48)/SUMIFS($I$5:$I$238,$C$5:$C$238,$C48),0)</f>
        <v>0</v>
      </c>
      <c r="X48" s="27" t="n">
        <f aca="false">IFERROR(SUMIFS($G$5:$G$238,$C$5:$C$238,$C48)/SUMIFS($I$5:$I$238,$C$5:$C$238,$C48),0)</f>
        <v>0.0476190476190476</v>
      </c>
      <c r="Y48" s="27" t="n">
        <f aca="false">IFERROR(SUMIFS($H$5:$H$238,$C$5:$C$238,$C48)/SUMIFS($I$5:$I$238,$C$5:$C$238,$C48),0)</f>
        <v>0.386243386243386</v>
      </c>
      <c r="Z48" s="24" t="n">
        <f aca="false">LN(MAX(I48,1))</f>
        <v>3.43398720448515</v>
      </c>
      <c r="AA48" s="24" t="n">
        <f aca="false">Calibration!$M$35+Calibration!$N$35+SUMPRODUCT(Calibration!$B$35:$F$35,J48:N48)+SUMPRODUCT(Calibration!$G$35:$K$35,U48:Y48)+Calibration!$L$35*Z48</f>
        <v>0.450879385726676</v>
      </c>
      <c r="AB48" s="24" t="n">
        <f aca="false">Calibration!$M$36+Calibration!$N$36+SUMPRODUCT(Calibration!$B$36:$F$36,J48:N48)+SUMPRODUCT(Calibration!$G$36:$K$36,U48:Y48)+Calibration!$L$36*Z48</f>
        <v>0.188056389861939</v>
      </c>
      <c r="AC48" s="24" t="n">
        <f aca="false">Calibration!$M$37+Calibration!$N$37+SUMPRODUCT(Calibration!$B$37:$F$37,J48:N48)+SUMPRODUCT(Calibration!$G$37:$K$37,U48:Y48)+Calibration!$L$37*Z48</f>
        <v>0.186065053221761</v>
      </c>
      <c r="AD48" s="27" t="n">
        <f aca="false">EXP(AC48)/(EXP(AA48)+EXP(AB48)+EXP(AC48))</f>
        <v>0.302555170926538</v>
      </c>
      <c r="AE48" s="7" t="str">
        <f aca="false">IF(AC48=MAX(AA48:AC48),"TVK",IF(AB48=MAX(AA48:AC48),"DMK+","AIADMK+"))</f>
        <v>AIADMK+</v>
      </c>
      <c r="AF48" s="7" t="str">
        <f aca="false">IF(AE48=R48,"Yes","No")</f>
        <v>Yes</v>
      </c>
      <c r="AG48" s="7" t="str">
        <f aca="false">IF(AE48=P48,"No","Yes")</f>
        <v>Yes</v>
      </c>
      <c r="AH48" s="7" t="str">
        <f aca="false">IF(H48=MAX(D48,E48,H48),"TVK",IF(E48=MAX(D48,E48,H48),"DMK+","AIADMK+"))</f>
        <v>TVK</v>
      </c>
      <c r="AI48" s="27" t="n">
        <f aca="false">EXP(AA48)/(EXP(AA48)+EXP(AB48)+EXP(AC48))</f>
        <v>0.394286568671591</v>
      </c>
      <c r="AJ48" s="27" t="n">
        <f aca="false">EXP(AB48)/(EXP(AA48)+EXP(AB48)+EXP(AC48))</f>
        <v>0.303158260401872</v>
      </c>
      <c r="AK48" s="28" t="s">
        <v>3</v>
      </c>
      <c r="AL48" s="7" t="str">
        <f aca="false">IF(AK48=R48,"Yes","No")</f>
        <v>No</v>
      </c>
      <c r="AM48" s="27" t="n">
        <f aca="false">IF(AK48="TVK",AD48,IF(AK48="DMK+",AJ48,AI48))</f>
        <v>0.302555170926538</v>
      </c>
      <c r="AN48" s="7" t="str">
        <f aca="false">IF(AK48=P48,"No","Yes")</f>
        <v>No</v>
      </c>
    </row>
    <row r="49" customFormat="false" ht="15" hidden="false" customHeight="false" outlineLevel="0" collapsed="false">
      <c r="A49" s="0" t="n">
        <v>45</v>
      </c>
      <c r="B49" s="4" t="s">
        <v>235</v>
      </c>
      <c r="C49" s="5" t="s">
        <v>162</v>
      </c>
      <c r="D49" s="35" t="n">
        <v>4</v>
      </c>
      <c r="E49" s="35" t="n">
        <v>5</v>
      </c>
      <c r="F49" s="35"/>
      <c r="G49" s="35" t="n">
        <v>2</v>
      </c>
      <c r="H49" s="35" t="n">
        <v>11</v>
      </c>
      <c r="I49" s="5" t="n">
        <f aca="false">SUM(D49:H49)</f>
        <v>22</v>
      </c>
      <c r="J49" s="10" t="n">
        <f aca="false">IF($I49=0,0,D49/$I49)</f>
        <v>0.181818181818182</v>
      </c>
      <c r="K49" s="10" t="n">
        <f aca="false">IF($I49=0,0,E49/$I49)</f>
        <v>0.227272727272727</v>
      </c>
      <c r="L49" s="10" t="n">
        <f aca="false">IF($I49=0,0,F49/$I49)</f>
        <v>0</v>
      </c>
      <c r="M49" s="10" t="n">
        <f aca="false">IF($I49=0,0,G49/$I49)</f>
        <v>0.0909090909090909</v>
      </c>
      <c r="N49" s="10" t="n">
        <f aca="false">IF($I49=0,0,H49/$I49)</f>
        <v>0.5</v>
      </c>
      <c r="O49" s="35" t="s">
        <v>3</v>
      </c>
      <c r="P49" s="0" t="str">
        <f aca="false">IF(O49="TVK","TVK",IF(O49="DMK","DMK+",IF(O49="ADMK","AIADMK+","")))</f>
        <v>TVK</v>
      </c>
      <c r="Q49" s="35" t="s">
        <v>3</v>
      </c>
      <c r="R49" s="36" t="s">
        <v>3</v>
      </c>
      <c r="S49" s="0" t="str">
        <f aca="false">IF(P49=R49,"Yes","No")</f>
        <v>Yes</v>
      </c>
      <c r="T49" s="2"/>
      <c r="U49" s="27" t="n">
        <f aca="false">IFERROR(SUMIFS($D$5:$D$238,$C$5:$C$238,$C49)/SUMIFS($I$5:$I$238,$C$5:$C$238,$C49),0)</f>
        <v>0.285714285714286</v>
      </c>
      <c r="V49" s="27" t="n">
        <f aca="false">IFERROR(SUMIFS($E$5:$E$238,$C$5:$C$238,$C49)/SUMIFS($I$5:$I$238,$C$5:$C$238,$C49),0)</f>
        <v>0.28042328042328</v>
      </c>
      <c r="W49" s="27" t="n">
        <f aca="false">IFERROR(SUMIFS($F$5:$F$238,$C$5:$C$238,$C49)/SUMIFS($I$5:$I$238,$C$5:$C$238,$C49),0)</f>
        <v>0</v>
      </c>
      <c r="X49" s="27" t="n">
        <f aca="false">IFERROR(SUMIFS($G$5:$G$238,$C$5:$C$238,$C49)/SUMIFS($I$5:$I$238,$C$5:$C$238,$C49),0)</f>
        <v>0.0476190476190476</v>
      </c>
      <c r="Y49" s="27" t="n">
        <f aca="false">IFERROR(SUMIFS($H$5:$H$238,$C$5:$C$238,$C49)/SUMIFS($I$5:$I$238,$C$5:$C$238,$C49),0)</f>
        <v>0.386243386243386</v>
      </c>
      <c r="Z49" s="24" t="n">
        <f aca="false">LN(MAX(I49,1))</f>
        <v>3.09104245335832</v>
      </c>
      <c r="AA49" s="24" t="n">
        <f aca="false">Calibration!$M$35+Calibration!$N$35+SUMPRODUCT(Calibration!$B$35:$F$35,J49:N49)+SUMPRODUCT(Calibration!$G$35:$K$35,U49:Y49)+Calibration!$L$35*Z49</f>
        <v>0.445239908523436</v>
      </c>
      <c r="AB49" s="24" t="n">
        <f aca="false">Calibration!$M$36+Calibration!$N$36+SUMPRODUCT(Calibration!$B$36:$F$36,J49:N49)+SUMPRODUCT(Calibration!$G$36:$K$36,U49:Y49)+Calibration!$L$36*Z49</f>
        <v>0.650899892677052</v>
      </c>
      <c r="AC49" s="24" t="n">
        <f aca="false">Calibration!$M$37+Calibration!$N$37+SUMPRODUCT(Calibration!$B$37:$F$37,J49:N49)+SUMPRODUCT(Calibration!$G$37:$K$37,U49:Y49)+Calibration!$L$37*Z49</f>
        <v>-0.271139020777208</v>
      </c>
      <c r="AD49" s="27" t="n">
        <f aca="false">EXP(AC49)/(EXP(AA49)+EXP(AB49)+EXP(AC49))</f>
        <v>0.179810216586764</v>
      </c>
      <c r="AE49" s="7" t="str">
        <f aca="false">IF(AC49=MAX(AA49:AC49),"TVK",IF(AB49=MAX(AA49:AC49),"DMK+","AIADMK+"))</f>
        <v>DMK+</v>
      </c>
      <c r="AF49" s="7" t="str">
        <f aca="false">IF(AE49=R49,"Yes","No")</f>
        <v>No</v>
      </c>
      <c r="AG49" s="7" t="str">
        <f aca="false">IF(AE49=P49,"No","Yes")</f>
        <v>Yes</v>
      </c>
      <c r="AH49" s="7" t="str">
        <f aca="false">IF(H49=MAX(D49,E49,H49),"TVK",IF(E49=MAX(D49,E49,H49),"DMK+","AIADMK+"))</f>
        <v>TVK</v>
      </c>
      <c r="AI49" s="27" t="n">
        <f aca="false">EXP(AA49)/(EXP(AA49)+EXP(AB49)+EXP(AC49))</f>
        <v>0.368072846739296</v>
      </c>
      <c r="AJ49" s="27" t="n">
        <f aca="false">EXP(AB49)/(EXP(AA49)+EXP(AB49)+EXP(AC49))</f>
        <v>0.45211693667394</v>
      </c>
      <c r="AK49" s="28" t="s">
        <v>4</v>
      </c>
      <c r="AL49" s="7" t="str">
        <f aca="false">IF(AK49=R49,"Yes","No")</f>
        <v>No</v>
      </c>
      <c r="AM49" s="27" t="n">
        <f aca="false">IF(AK49="TVK",AD49,IF(AK49="DMK+",AJ49,AI49))</f>
        <v>0.368072846739296</v>
      </c>
      <c r="AN49" s="7" t="str">
        <f aca="false">IF(AK49=P49,"No","Yes")</f>
        <v>Yes</v>
      </c>
    </row>
    <row r="50" customFormat="false" ht="15" hidden="false" customHeight="false" outlineLevel="0" collapsed="false">
      <c r="A50" s="0" t="n">
        <v>46</v>
      </c>
      <c r="B50" s="4" t="s">
        <v>236</v>
      </c>
      <c r="C50" s="5" t="s">
        <v>162</v>
      </c>
      <c r="D50" s="35" t="n">
        <v>7</v>
      </c>
      <c r="E50" s="35" t="n">
        <v>9</v>
      </c>
      <c r="F50" s="35"/>
      <c r="G50" s="35" t="n">
        <v>1</v>
      </c>
      <c r="H50" s="35" t="n">
        <v>16</v>
      </c>
      <c r="I50" s="5" t="n">
        <f aca="false">SUM(D50:H50)</f>
        <v>33</v>
      </c>
      <c r="J50" s="10" t="n">
        <f aca="false">IF($I50=0,0,D50/$I50)</f>
        <v>0.212121212121212</v>
      </c>
      <c r="K50" s="10" t="n">
        <f aca="false">IF($I50=0,0,E50/$I50)</f>
        <v>0.272727272727273</v>
      </c>
      <c r="L50" s="10" t="n">
        <f aca="false">IF($I50=0,0,F50/$I50)</f>
        <v>0</v>
      </c>
      <c r="M50" s="10" t="n">
        <f aca="false">IF($I50=0,0,G50/$I50)</f>
        <v>0.0303030303030303</v>
      </c>
      <c r="N50" s="10" t="n">
        <f aca="false">IF($I50=0,0,H50/$I50)</f>
        <v>0.484848484848485</v>
      </c>
      <c r="O50" s="35" t="s">
        <v>3</v>
      </c>
      <c r="P50" s="0" t="str">
        <f aca="false">IF(O50="TVK","TVK",IF(O50="DMK","DMK+",IF(O50="ADMK","AIADMK+","")))</f>
        <v>TVK</v>
      </c>
      <c r="Q50" s="35" t="s">
        <v>3</v>
      </c>
      <c r="R50" s="36" t="s">
        <v>3</v>
      </c>
      <c r="S50" s="0" t="str">
        <f aca="false">IF(P50=R50,"Yes","No")</f>
        <v>Yes</v>
      </c>
      <c r="T50" s="2"/>
      <c r="U50" s="27" t="n">
        <f aca="false">IFERROR(SUMIFS($D$5:$D$238,$C$5:$C$238,$C50)/SUMIFS($I$5:$I$238,$C$5:$C$238,$C50),0)</f>
        <v>0.285714285714286</v>
      </c>
      <c r="V50" s="27" t="n">
        <f aca="false">IFERROR(SUMIFS($E$5:$E$238,$C$5:$C$238,$C50)/SUMIFS($I$5:$I$238,$C$5:$C$238,$C50),0)</f>
        <v>0.28042328042328</v>
      </c>
      <c r="W50" s="27" t="n">
        <f aca="false">IFERROR(SUMIFS($F$5:$F$238,$C$5:$C$238,$C50)/SUMIFS($I$5:$I$238,$C$5:$C$238,$C50),0)</f>
        <v>0</v>
      </c>
      <c r="X50" s="27" t="n">
        <f aca="false">IFERROR(SUMIFS($G$5:$G$238,$C$5:$C$238,$C50)/SUMIFS($I$5:$I$238,$C$5:$C$238,$C50),0)</f>
        <v>0.0476190476190476</v>
      </c>
      <c r="Y50" s="27" t="n">
        <f aca="false">IFERROR(SUMIFS($H$5:$H$238,$C$5:$C$238,$C50)/SUMIFS($I$5:$I$238,$C$5:$C$238,$C50),0)</f>
        <v>0.386243386243386</v>
      </c>
      <c r="Z50" s="24" t="n">
        <f aca="false">LN(MAX(I50,1))</f>
        <v>3.49650756146648</v>
      </c>
      <c r="AA50" s="24" t="n">
        <f aca="false">Calibration!$M$35+Calibration!$N$35+SUMPRODUCT(Calibration!$B$35:$F$35,J50:N50)+SUMPRODUCT(Calibration!$G$35:$K$35,U50:Y50)+Calibration!$L$35*Z50</f>
        <v>0.227659164161708</v>
      </c>
      <c r="AB50" s="24" t="n">
        <f aca="false">Calibration!$M$36+Calibration!$N$36+SUMPRODUCT(Calibration!$B$36:$F$36,J50:N50)+SUMPRODUCT(Calibration!$G$36:$K$36,U50:Y50)+Calibration!$L$36*Z50</f>
        <v>0.42107832399333</v>
      </c>
      <c r="AC50" s="24" t="n">
        <f aca="false">Calibration!$M$37+Calibration!$N$37+SUMPRODUCT(Calibration!$B$37:$F$37,J50:N50)+SUMPRODUCT(Calibration!$G$37:$K$37,U50:Y50)+Calibration!$L$37*Z50</f>
        <v>0.176263277116727</v>
      </c>
      <c r="AD50" s="27" t="n">
        <f aca="false">EXP(AC50)/(EXP(AA50)+EXP(AB50)+EXP(AC50))</f>
        <v>0.300289063198461</v>
      </c>
      <c r="AE50" s="7" t="str">
        <f aca="false">IF(AC50=MAX(AA50:AC50),"TVK",IF(AB50=MAX(AA50:AC50),"DMK+","AIADMK+"))</f>
        <v>DMK+</v>
      </c>
      <c r="AF50" s="7" t="str">
        <f aca="false">IF(AE50=R50,"Yes","No")</f>
        <v>No</v>
      </c>
      <c r="AG50" s="7" t="str">
        <f aca="false">IF(AE50=P50,"No","Yes")</f>
        <v>Yes</v>
      </c>
      <c r="AH50" s="7" t="str">
        <f aca="false">IF(H50=MAX(D50,E50,H50),"TVK",IF(E50=MAX(D50,E50,H50),"DMK+","AIADMK+"))</f>
        <v>TVK</v>
      </c>
      <c r="AI50" s="27" t="n">
        <f aca="false">EXP(AA50)/(EXP(AA50)+EXP(AB50)+EXP(AC50))</f>
        <v>0.316126181296647</v>
      </c>
      <c r="AJ50" s="27" t="n">
        <f aca="false">EXP(AB50)/(EXP(AA50)+EXP(AB50)+EXP(AC50))</f>
        <v>0.383584755504892</v>
      </c>
      <c r="AK50" s="28" t="s">
        <v>3</v>
      </c>
      <c r="AL50" s="7" t="str">
        <f aca="false">IF(AK50=R50,"Yes","No")</f>
        <v>Yes</v>
      </c>
      <c r="AM50" s="27" t="n">
        <f aca="false">IF(AK50="TVK",AD50,IF(AK50="DMK+",AJ50,AI50))</f>
        <v>0.300289063198461</v>
      </c>
      <c r="AN50" s="7" t="str">
        <f aca="false">IF(AK50=P50,"No","Yes")</f>
        <v>No</v>
      </c>
    </row>
    <row r="51" customFormat="false" ht="15" hidden="false" customHeight="false" outlineLevel="0" collapsed="false">
      <c r="A51" s="0" t="n">
        <v>47</v>
      </c>
      <c r="B51" s="4" t="s">
        <v>237</v>
      </c>
      <c r="C51" s="5" t="s">
        <v>154</v>
      </c>
      <c r="D51" s="35" t="n">
        <v>4</v>
      </c>
      <c r="E51" s="35" t="n">
        <v>3</v>
      </c>
      <c r="F51" s="35"/>
      <c r="G51" s="35"/>
      <c r="H51" s="35" t="n">
        <v>12</v>
      </c>
      <c r="I51" s="5" t="n">
        <f aca="false">SUM(D51:H51)</f>
        <v>19</v>
      </c>
      <c r="J51" s="10" t="n">
        <f aca="false">IF($I51=0,0,D51/$I51)</f>
        <v>0.210526315789474</v>
      </c>
      <c r="K51" s="10" t="n">
        <f aca="false">IF($I51=0,0,E51/$I51)</f>
        <v>0.157894736842105</v>
      </c>
      <c r="L51" s="10" t="n">
        <f aca="false">IF($I51=0,0,F51/$I51)</f>
        <v>0</v>
      </c>
      <c r="M51" s="10" t="n">
        <f aca="false">IF($I51=0,0,G51/$I51)</f>
        <v>0</v>
      </c>
      <c r="N51" s="10" t="n">
        <f aca="false">IF($I51=0,0,H51/$I51)</f>
        <v>0.631578947368421</v>
      </c>
      <c r="O51" s="35" t="s">
        <v>3</v>
      </c>
      <c r="P51" s="0" t="str">
        <f aca="false">IF(O51="TVK","TVK",IF(O51="DMK","DMK+",IF(O51="ADMK","AIADMK+","")))</f>
        <v>TVK</v>
      </c>
      <c r="Q51" s="35" t="s">
        <v>238</v>
      </c>
      <c r="R51" s="36" t="s">
        <v>5</v>
      </c>
      <c r="S51" s="0" t="str">
        <f aca="false">IF(P51=R51,"Yes","No")</f>
        <v>No</v>
      </c>
      <c r="T51" s="2"/>
      <c r="U51" s="27" t="n">
        <f aca="false">IFERROR(SUMIFS($D$5:$D$238,$C$5:$C$238,$C51)/SUMIFS($I$5:$I$238,$C$5:$C$238,$C51),0)</f>
        <v>0.190839694656489</v>
      </c>
      <c r="V51" s="27" t="n">
        <f aca="false">IFERROR(SUMIFS($E$5:$E$238,$C$5:$C$238,$C51)/SUMIFS($I$5:$I$238,$C$5:$C$238,$C51),0)</f>
        <v>0.381679389312977</v>
      </c>
      <c r="W51" s="27" t="n">
        <f aca="false">IFERROR(SUMIFS($F$5:$F$238,$C$5:$C$238,$C51)/SUMIFS($I$5:$I$238,$C$5:$C$238,$C51),0)</f>
        <v>0</v>
      </c>
      <c r="X51" s="27" t="n">
        <f aca="false">IFERROR(SUMIFS($G$5:$G$238,$C$5:$C$238,$C51)/SUMIFS($I$5:$I$238,$C$5:$C$238,$C51),0)</f>
        <v>0.0229007633587786</v>
      </c>
      <c r="Y51" s="27" t="n">
        <f aca="false">IFERROR(SUMIFS($H$5:$H$238,$C$5:$C$238,$C51)/SUMIFS($I$5:$I$238,$C$5:$C$238,$C51),0)</f>
        <v>0.404580152671756</v>
      </c>
      <c r="Z51" s="24" t="n">
        <f aca="false">LN(MAX(I51,1))</f>
        <v>2.94443897916644</v>
      </c>
      <c r="AA51" s="24" t="n">
        <f aca="false">Calibration!$M$35+Calibration!$N$35+SUMPRODUCT(Calibration!$B$35:$F$35,J51:N51)+SUMPRODUCT(Calibration!$G$35:$K$35,U51:Y51)+Calibration!$L$35*Z51</f>
        <v>0.466130843785916</v>
      </c>
      <c r="AB51" s="24" t="n">
        <f aca="false">Calibration!$M$36+Calibration!$N$36+SUMPRODUCT(Calibration!$B$36:$F$36,J51:N51)+SUMPRODUCT(Calibration!$G$36:$K$36,U51:Y51)+Calibration!$L$36*Z51</f>
        <v>0.675228285814656</v>
      </c>
      <c r="AC51" s="24" t="n">
        <f aca="false">Calibration!$M$37+Calibration!$N$37+SUMPRODUCT(Calibration!$B$37:$F$37,J51:N51)+SUMPRODUCT(Calibration!$G$37:$K$37,U51:Y51)+Calibration!$L$37*Z51</f>
        <v>-0.316358116342236</v>
      </c>
      <c r="AD51" s="27" t="n">
        <f aca="false">EXP(AC51)/(EXP(AA51)+EXP(AB51)+EXP(AC51))</f>
        <v>0.169998181480136</v>
      </c>
      <c r="AE51" s="7" t="str">
        <f aca="false">IF(AC51=MAX(AA51:AC51),"TVK",IF(AB51=MAX(AA51:AC51),"DMK+","AIADMK+"))</f>
        <v>DMK+</v>
      </c>
      <c r="AF51" s="7" t="str">
        <f aca="false">IF(AE51=R51,"Yes","No")</f>
        <v>Yes</v>
      </c>
      <c r="AG51" s="7" t="str">
        <f aca="false">IF(AE51=P51,"No","Yes")</f>
        <v>Yes</v>
      </c>
      <c r="AH51" s="7" t="str">
        <f aca="false">IF(H51=MAX(D51,E51,H51),"TVK",IF(E51=MAX(D51,E51,H51),"DMK+","AIADMK+"))</f>
        <v>TVK</v>
      </c>
      <c r="AI51" s="27" t="n">
        <f aca="false">EXP(AA51)/(EXP(AA51)+EXP(AB51)+EXP(AC51))</f>
        <v>0.371770489419136</v>
      </c>
      <c r="AJ51" s="27" t="n">
        <f aca="false">EXP(AB51)/(EXP(AA51)+EXP(AB51)+EXP(AC51))</f>
        <v>0.458231329100728</v>
      </c>
      <c r="AK51" s="28" t="s">
        <v>4</v>
      </c>
      <c r="AL51" s="7" t="str">
        <f aca="false">IF(AK51=R51,"Yes","No")</f>
        <v>No</v>
      </c>
      <c r="AM51" s="27" t="n">
        <f aca="false">IF(AK51="TVK",AD51,IF(AK51="DMK+",AJ51,AI51))</f>
        <v>0.371770489419136</v>
      </c>
      <c r="AN51" s="7" t="str">
        <f aca="false">IF(AK51=P51,"No","Yes")</f>
        <v>Yes</v>
      </c>
    </row>
    <row r="52" customFormat="false" ht="15" hidden="true" customHeight="false" outlineLevel="0" collapsed="false">
      <c r="A52" s="0" t="n">
        <v>48</v>
      </c>
      <c r="B52" s="4" t="s">
        <v>239</v>
      </c>
      <c r="C52" s="5" t="s">
        <v>154</v>
      </c>
      <c r="D52" s="35" t="n">
        <v>9</v>
      </c>
      <c r="E52" s="35" t="n">
        <v>15</v>
      </c>
      <c r="F52" s="35"/>
      <c r="G52" s="35"/>
      <c r="H52" s="35" t="n">
        <v>13</v>
      </c>
      <c r="I52" s="5" t="n">
        <f aca="false">SUM(D52:H52)</f>
        <v>37</v>
      </c>
      <c r="J52" s="10" t="n">
        <f aca="false">IF($I52=0,0,D52/$I52)</f>
        <v>0.243243243243243</v>
      </c>
      <c r="K52" s="10" t="n">
        <f aca="false">IF($I52=0,0,E52/$I52)</f>
        <v>0.405405405405405</v>
      </c>
      <c r="L52" s="10" t="n">
        <f aca="false">IF($I52=0,0,F52/$I52)</f>
        <v>0</v>
      </c>
      <c r="M52" s="10" t="n">
        <f aca="false">IF($I52=0,0,G52/$I52)</f>
        <v>0</v>
      </c>
      <c r="N52" s="10" t="n">
        <f aca="false">IF($I52=0,0,H52/$I52)</f>
        <v>0.351351351351351</v>
      </c>
      <c r="O52" s="35" t="s">
        <v>197</v>
      </c>
      <c r="P52" s="0" t="str">
        <f aca="false">IF(O52="TVK","TVK",IF(O52="DMK","DMK+",IF(O52="ADMK","AIADMK+","")))</f>
        <v>DMK+</v>
      </c>
      <c r="Q52" s="35" t="s">
        <v>197</v>
      </c>
      <c r="R52" s="36" t="s">
        <v>5</v>
      </c>
      <c r="S52" s="0" t="str">
        <f aca="false">IF(P52=R52,"Yes","No")</f>
        <v>Yes</v>
      </c>
      <c r="T52" s="2"/>
      <c r="U52" s="27" t="n">
        <f aca="false">IFERROR(SUMIFS($D$5:$D$238,$C$5:$C$238,$C52)/SUMIFS($I$5:$I$238,$C$5:$C$238,$C52),0)</f>
        <v>0.190839694656489</v>
      </c>
      <c r="V52" s="27" t="n">
        <f aca="false">IFERROR(SUMIFS($E$5:$E$238,$C$5:$C$238,$C52)/SUMIFS($I$5:$I$238,$C$5:$C$238,$C52),0)</f>
        <v>0.381679389312977</v>
      </c>
      <c r="W52" s="27" t="n">
        <f aca="false">IFERROR(SUMIFS($F$5:$F$238,$C$5:$C$238,$C52)/SUMIFS($I$5:$I$238,$C$5:$C$238,$C52),0)</f>
        <v>0</v>
      </c>
      <c r="X52" s="27" t="n">
        <f aca="false">IFERROR(SUMIFS($G$5:$G$238,$C$5:$C$238,$C52)/SUMIFS($I$5:$I$238,$C$5:$C$238,$C52),0)</f>
        <v>0.0229007633587786</v>
      </c>
      <c r="Y52" s="27" t="n">
        <f aca="false">IFERROR(SUMIFS($H$5:$H$238,$C$5:$C$238,$C52)/SUMIFS($I$5:$I$238,$C$5:$C$238,$C52),0)</f>
        <v>0.404580152671756</v>
      </c>
      <c r="Z52" s="24" t="n">
        <f aca="false">LN(MAX(I52,1))</f>
        <v>3.61091791264422</v>
      </c>
      <c r="AA52" s="24" t="n">
        <f aca="false">Calibration!$M$35+Calibration!$N$35+SUMPRODUCT(Calibration!$B$35:$F$35,J52:N52)+SUMPRODUCT(Calibration!$G$35:$K$35,U52:Y52)+Calibration!$L$35*Z52</f>
        <v>0.0178514976280812</v>
      </c>
      <c r="AB52" s="24" t="n">
        <f aca="false">Calibration!$M$36+Calibration!$N$36+SUMPRODUCT(Calibration!$B$36:$F$36,J52:N52)+SUMPRODUCT(Calibration!$G$36:$K$36,U52:Y52)+Calibration!$L$36*Z52</f>
        <v>0.597252375841191</v>
      </c>
      <c r="AC52" s="24" t="n">
        <f aca="false">Calibration!$M$37+Calibration!$N$37+SUMPRODUCT(Calibration!$B$37:$F$37,J52:N52)+SUMPRODUCT(Calibration!$G$37:$K$37,U52:Y52)+Calibration!$L$37*Z52</f>
        <v>0.209896859561468</v>
      </c>
      <c r="AD52" s="27" t="n">
        <f aca="false">EXP(AC52)/(EXP(AA52)+EXP(AB52)+EXP(AC52))</f>
        <v>0.303181936813992</v>
      </c>
      <c r="AE52" s="7" t="str">
        <f aca="false">IF(AC52=MAX(AA52:AC52),"TVK",IF(AB52=MAX(AA52:AC52),"DMK+","AIADMK+"))</f>
        <v>DMK+</v>
      </c>
      <c r="AF52" s="7" t="str">
        <f aca="false">IF(AE52=R52,"Yes","No")</f>
        <v>Yes</v>
      </c>
      <c r="AG52" s="7" t="str">
        <f aca="false">IF(AE52=P52,"No","Yes")</f>
        <v>No</v>
      </c>
      <c r="AH52" s="7" t="str">
        <f aca="false">IF(H52=MAX(D52,E52,H52),"TVK",IF(E52=MAX(D52,E52,H52),"DMK+","AIADMK+"))</f>
        <v>DMK+</v>
      </c>
      <c r="AI52" s="27" t="n">
        <f aca="false">EXP(AA52)/(EXP(AA52)+EXP(AB52)+EXP(AC52))</f>
        <v>0.250206784734267</v>
      </c>
      <c r="AJ52" s="27" t="n">
        <f aca="false">EXP(AB52)/(EXP(AA52)+EXP(AB52)+EXP(AC52))</f>
        <v>0.44661127845174</v>
      </c>
      <c r="AK52" s="28" t="s">
        <v>5</v>
      </c>
      <c r="AL52" s="7" t="str">
        <f aca="false">IF(AK52=R52,"Yes","No")</f>
        <v>Yes</v>
      </c>
      <c r="AM52" s="27" t="n">
        <f aca="false">IF(AK52="TVK",AD52,IF(AK52="DMK+",AJ52,AI52))</f>
        <v>0.44661127845174</v>
      </c>
      <c r="AN52" s="7" t="str">
        <f aca="false">IF(AK52=P52,"No","Yes")</f>
        <v>No</v>
      </c>
    </row>
    <row r="53" customFormat="false" ht="15" hidden="false" customHeight="false" outlineLevel="0" collapsed="false">
      <c r="A53" s="0" t="n">
        <v>49</v>
      </c>
      <c r="B53" s="4" t="s">
        <v>240</v>
      </c>
      <c r="C53" s="5" t="s">
        <v>154</v>
      </c>
      <c r="D53" s="35" t="n">
        <v>6</v>
      </c>
      <c r="E53" s="35" t="n">
        <v>6</v>
      </c>
      <c r="F53" s="35"/>
      <c r="G53" s="35" t="n">
        <v>3</v>
      </c>
      <c r="H53" s="35" t="n">
        <v>9</v>
      </c>
      <c r="I53" s="5" t="n">
        <f aca="false">SUM(D53:H53)</f>
        <v>24</v>
      </c>
      <c r="J53" s="10" t="n">
        <f aca="false">IF($I53=0,0,D53/$I53)</f>
        <v>0.25</v>
      </c>
      <c r="K53" s="10" t="n">
        <f aca="false">IF($I53=0,0,E53/$I53)</f>
        <v>0.25</v>
      </c>
      <c r="L53" s="10" t="n">
        <f aca="false">IF($I53=0,0,F53/$I53)</f>
        <v>0</v>
      </c>
      <c r="M53" s="10" t="n">
        <f aca="false">IF($I53=0,0,G53/$I53)</f>
        <v>0.125</v>
      </c>
      <c r="N53" s="10" t="n">
        <f aca="false">IF($I53=0,0,H53/$I53)</f>
        <v>0.375</v>
      </c>
      <c r="O53" s="35" t="s">
        <v>3</v>
      </c>
      <c r="P53" s="0" t="str">
        <f aca="false">IF(O53="TVK","TVK",IF(O53="DMK","DMK+",IF(O53="ADMK","AIADMK+","")))</f>
        <v>TVK</v>
      </c>
      <c r="Q53" s="35" t="s">
        <v>196</v>
      </c>
      <c r="R53" s="36" t="s">
        <v>4</v>
      </c>
      <c r="S53" s="0" t="str">
        <f aca="false">IF(P53=R53,"Yes","No")</f>
        <v>No</v>
      </c>
      <c r="T53" s="2"/>
      <c r="U53" s="27" t="n">
        <f aca="false">IFERROR(SUMIFS($D$5:$D$238,$C$5:$C$238,$C53)/SUMIFS($I$5:$I$238,$C$5:$C$238,$C53),0)</f>
        <v>0.190839694656489</v>
      </c>
      <c r="V53" s="27" t="n">
        <f aca="false">IFERROR(SUMIFS($E$5:$E$238,$C$5:$C$238,$C53)/SUMIFS($I$5:$I$238,$C$5:$C$238,$C53),0)</f>
        <v>0.381679389312977</v>
      </c>
      <c r="W53" s="27" t="n">
        <f aca="false">IFERROR(SUMIFS($F$5:$F$238,$C$5:$C$238,$C53)/SUMIFS($I$5:$I$238,$C$5:$C$238,$C53),0)</f>
        <v>0</v>
      </c>
      <c r="X53" s="27" t="n">
        <f aca="false">IFERROR(SUMIFS($G$5:$G$238,$C$5:$C$238,$C53)/SUMIFS($I$5:$I$238,$C$5:$C$238,$C53),0)</f>
        <v>0.0229007633587786</v>
      </c>
      <c r="Y53" s="27" t="n">
        <f aca="false">IFERROR(SUMIFS($H$5:$H$238,$C$5:$C$238,$C53)/SUMIFS($I$5:$I$238,$C$5:$C$238,$C53),0)</f>
        <v>0.404580152671756</v>
      </c>
      <c r="Z53" s="24" t="n">
        <f aca="false">LN(MAX(I53,1))</f>
        <v>3.17805383034795</v>
      </c>
      <c r="AA53" s="24" t="n">
        <f aca="false">Calibration!$M$35+Calibration!$N$35+SUMPRODUCT(Calibration!$B$35:$F$35,J53:N53)+SUMPRODUCT(Calibration!$G$35:$K$35,U53:Y53)+Calibration!$L$35*Z53</f>
        <v>0.36389371496767</v>
      </c>
      <c r="AB53" s="24" t="n">
        <f aca="false">Calibration!$M$36+Calibration!$N$36+SUMPRODUCT(Calibration!$B$36:$F$36,J53:N53)+SUMPRODUCT(Calibration!$G$36:$K$36,U53:Y53)+Calibration!$L$36*Z53</f>
        <v>0.700726281809353</v>
      </c>
      <c r="AC53" s="24" t="n">
        <f aca="false">Calibration!$M$37+Calibration!$N$37+SUMPRODUCT(Calibration!$B$37:$F$37,J53:N53)+SUMPRODUCT(Calibration!$G$37:$K$37,U53:Y53)+Calibration!$L$37*Z53</f>
        <v>-0.239619240097634</v>
      </c>
      <c r="AD53" s="27" t="n">
        <f aca="false">EXP(AC53)/(EXP(AA53)+EXP(AB53)+EXP(AC53))</f>
        <v>0.185549508927728</v>
      </c>
      <c r="AE53" s="7" t="str">
        <f aca="false">IF(AC53=MAX(AA53:AC53),"TVK",IF(AB53=MAX(AA53:AC53),"DMK+","AIADMK+"))</f>
        <v>DMK+</v>
      </c>
      <c r="AF53" s="7" t="str">
        <f aca="false">IF(AE53=R53,"Yes","No")</f>
        <v>No</v>
      </c>
      <c r="AG53" s="7" t="str">
        <f aca="false">IF(AE53=P53,"No","Yes")</f>
        <v>Yes</v>
      </c>
      <c r="AH53" s="7" t="str">
        <f aca="false">IF(H53=MAX(D53,E53,H53),"TVK",IF(E53=MAX(D53,E53,H53),"DMK+","AIADMK+"))</f>
        <v>TVK</v>
      </c>
      <c r="AI53" s="27" t="n">
        <f aca="false">EXP(AA53)/(EXP(AA53)+EXP(AB53)+EXP(AC53))</f>
        <v>0.339283043635348</v>
      </c>
      <c r="AJ53" s="27" t="n">
        <f aca="false">EXP(AB53)/(EXP(AA53)+EXP(AB53)+EXP(AC53))</f>
        <v>0.475167447436923</v>
      </c>
      <c r="AK53" s="28" t="s">
        <v>5</v>
      </c>
      <c r="AL53" s="7" t="str">
        <f aca="false">IF(AK53=R53,"Yes","No")</f>
        <v>No</v>
      </c>
      <c r="AM53" s="27" t="n">
        <f aca="false">IF(AK53="TVK",AD53,IF(AK53="DMK+",AJ53,AI53))</f>
        <v>0.475167447436923</v>
      </c>
      <c r="AN53" s="7" t="str">
        <f aca="false">IF(AK53=P53,"No","Yes")</f>
        <v>Yes</v>
      </c>
    </row>
    <row r="54" customFormat="false" ht="15" hidden="true" customHeight="false" outlineLevel="0" collapsed="false">
      <c r="A54" s="0" t="n">
        <v>50</v>
      </c>
      <c r="B54" s="4" t="s">
        <v>241</v>
      </c>
      <c r="C54" s="5" t="s">
        <v>154</v>
      </c>
      <c r="D54" s="35" t="n">
        <v>6</v>
      </c>
      <c r="E54" s="35" t="n">
        <v>26</v>
      </c>
      <c r="F54" s="35"/>
      <c r="G54" s="35"/>
      <c r="H54" s="35" t="n">
        <v>19</v>
      </c>
      <c r="I54" s="5" t="n">
        <f aca="false">SUM(D54:H54)</f>
        <v>51</v>
      </c>
      <c r="J54" s="10" t="n">
        <f aca="false">IF($I54=0,0,D54/$I54)</f>
        <v>0.117647058823529</v>
      </c>
      <c r="K54" s="10" t="n">
        <f aca="false">IF($I54=0,0,E54/$I54)</f>
        <v>0.509803921568627</v>
      </c>
      <c r="L54" s="10" t="n">
        <f aca="false">IF($I54=0,0,F54/$I54)</f>
        <v>0</v>
      </c>
      <c r="M54" s="10" t="n">
        <f aca="false">IF($I54=0,0,G54/$I54)</f>
        <v>0</v>
      </c>
      <c r="N54" s="10" t="n">
        <f aca="false">IF($I54=0,0,H54/$I54)</f>
        <v>0.372549019607843</v>
      </c>
      <c r="O54" s="35" t="s">
        <v>197</v>
      </c>
      <c r="P54" s="0" t="str">
        <f aca="false">IF(O54="TVK","TVK",IF(O54="DMK","DMK+",IF(O54="ADMK","AIADMK+","")))</f>
        <v>DMK+</v>
      </c>
      <c r="Q54" s="35" t="s">
        <v>3</v>
      </c>
      <c r="R54" s="36" t="s">
        <v>3</v>
      </c>
      <c r="S54" s="0" t="str">
        <f aca="false">IF(P54=R54,"Yes","No")</f>
        <v>No</v>
      </c>
      <c r="T54" s="2" t="s">
        <v>242</v>
      </c>
      <c r="U54" s="27" t="n">
        <f aca="false">IFERROR(SUMIFS($D$5:$D$238,$C$5:$C$238,$C54)/SUMIFS($I$5:$I$238,$C$5:$C$238,$C54),0)</f>
        <v>0.190839694656489</v>
      </c>
      <c r="V54" s="27" t="n">
        <f aca="false">IFERROR(SUMIFS($E$5:$E$238,$C$5:$C$238,$C54)/SUMIFS($I$5:$I$238,$C$5:$C$238,$C54),0)</f>
        <v>0.381679389312977</v>
      </c>
      <c r="W54" s="27" t="n">
        <f aca="false">IFERROR(SUMIFS($F$5:$F$238,$C$5:$C$238,$C54)/SUMIFS($I$5:$I$238,$C$5:$C$238,$C54),0)</f>
        <v>0</v>
      </c>
      <c r="X54" s="27" t="n">
        <f aca="false">IFERROR(SUMIFS($G$5:$G$238,$C$5:$C$238,$C54)/SUMIFS($I$5:$I$238,$C$5:$C$238,$C54),0)</f>
        <v>0.0229007633587786</v>
      </c>
      <c r="Y54" s="27" t="n">
        <f aca="false">IFERROR(SUMIFS($H$5:$H$238,$C$5:$C$238,$C54)/SUMIFS($I$5:$I$238,$C$5:$C$238,$C54),0)</f>
        <v>0.404580152671756</v>
      </c>
      <c r="Z54" s="24" t="n">
        <f aca="false">LN(MAX(I54,1))</f>
        <v>3.93182563272433</v>
      </c>
      <c r="AA54" s="24" t="n">
        <f aca="false">Calibration!$M$35+Calibration!$N$35+SUMPRODUCT(Calibration!$B$35:$F$35,J54:N54)+SUMPRODUCT(Calibration!$G$35:$K$35,U54:Y54)+Calibration!$L$35*Z54</f>
        <v>-0.341980396467057</v>
      </c>
      <c r="AB54" s="24" t="n">
        <f aca="false">Calibration!$M$36+Calibration!$N$36+SUMPRODUCT(Calibration!$B$36:$F$36,J54:N54)+SUMPRODUCT(Calibration!$G$36:$K$36,U54:Y54)+Calibration!$L$36*Z54</f>
        <v>0.608073798106323</v>
      </c>
      <c r="AC54" s="24" t="n">
        <f aca="false">Calibration!$M$37+Calibration!$N$37+SUMPRODUCT(Calibration!$B$37:$F$37,J54:N54)+SUMPRODUCT(Calibration!$G$37:$K$37,U54:Y54)+Calibration!$L$37*Z54</f>
        <v>0.558907352589143</v>
      </c>
      <c r="AD54" s="27" t="n">
        <f aca="false">EXP(AC54)/(EXP(AA54)+EXP(AB54)+EXP(AC54))</f>
        <v>0.407066005127494</v>
      </c>
      <c r="AE54" s="7" t="str">
        <f aca="false">IF(AC54=MAX(AA54:AC54),"TVK",IF(AB54=MAX(AA54:AC54),"DMK+","AIADMK+"))</f>
        <v>DMK+</v>
      </c>
      <c r="AF54" s="7" t="str">
        <f aca="false">IF(AE54=R54,"Yes","No")</f>
        <v>No</v>
      </c>
      <c r="AG54" s="7" t="str">
        <f aca="false">IF(AE54=P54,"No","Yes")</f>
        <v>No</v>
      </c>
      <c r="AH54" s="7" t="str">
        <f aca="false">IF(H54=MAX(D54,E54,H54),"TVK",IF(E54=MAX(D54,E54,H54),"DMK+","AIADMK+"))</f>
        <v>DMK+</v>
      </c>
      <c r="AI54" s="27" t="n">
        <f aca="false">EXP(AA54)/(EXP(AA54)+EXP(AB54)+EXP(AC54))</f>
        <v>0.165353829313909</v>
      </c>
      <c r="AJ54" s="27" t="n">
        <f aca="false">EXP(AB54)/(EXP(AA54)+EXP(AB54)+EXP(AC54))</f>
        <v>0.427580165558596</v>
      </c>
      <c r="AK54" s="28" t="s">
        <v>3</v>
      </c>
      <c r="AL54" s="7" t="str">
        <f aca="false">IF(AK54=R54,"Yes","No")</f>
        <v>Yes</v>
      </c>
      <c r="AM54" s="27" t="n">
        <f aca="false">IF(AK54="TVK",AD54,IF(AK54="DMK+",AJ54,AI54))</f>
        <v>0.407066005127494</v>
      </c>
      <c r="AN54" s="7" t="str">
        <f aca="false">IF(AK54=P54,"No","Yes")</f>
        <v>Yes</v>
      </c>
    </row>
    <row r="55" customFormat="false" ht="15" hidden="false" customHeight="false" outlineLevel="0" collapsed="false">
      <c r="A55" s="0" t="n">
        <v>51</v>
      </c>
      <c r="B55" s="4" t="s">
        <v>243</v>
      </c>
      <c r="C55" s="5" t="s">
        <v>116</v>
      </c>
      <c r="D55" s="35" t="n">
        <v>12</v>
      </c>
      <c r="E55" s="35" t="n">
        <v>5</v>
      </c>
      <c r="F55" s="35"/>
      <c r="G55" s="35" t="n">
        <v>1</v>
      </c>
      <c r="H55" s="35" t="n">
        <v>15</v>
      </c>
      <c r="I55" s="5" t="n">
        <f aca="false">SUM(D55:H55)</f>
        <v>33</v>
      </c>
      <c r="J55" s="10" t="n">
        <f aca="false">IF($I55=0,0,D55/$I55)</f>
        <v>0.363636363636364</v>
      </c>
      <c r="K55" s="10" t="n">
        <f aca="false">IF($I55=0,0,E55/$I55)</f>
        <v>0.151515151515152</v>
      </c>
      <c r="L55" s="10" t="n">
        <f aca="false">IF($I55=0,0,F55/$I55)</f>
        <v>0</v>
      </c>
      <c r="M55" s="10" t="n">
        <f aca="false">IF($I55=0,0,G55/$I55)</f>
        <v>0.0303030303030303</v>
      </c>
      <c r="N55" s="10" t="n">
        <f aca="false">IF($I55=0,0,H55/$I55)</f>
        <v>0.454545454545455</v>
      </c>
      <c r="O55" s="35" t="s">
        <v>3</v>
      </c>
      <c r="P55" s="0" t="str">
        <f aca="false">IF(O55="TVK","TVK",IF(O55="DMK","DMK+",IF(O55="ADMK","AIADMK+","")))</f>
        <v>TVK</v>
      </c>
      <c r="Q55" s="35" t="s">
        <v>3</v>
      </c>
      <c r="R55" s="36" t="s">
        <v>3</v>
      </c>
      <c r="S55" s="0" t="str">
        <f aca="false">IF(P55=R55,"Yes","No")</f>
        <v>Yes</v>
      </c>
      <c r="T55" s="2"/>
      <c r="U55" s="27" t="n">
        <f aca="false">IFERROR(SUMIFS($D$5:$D$238,$C$5:$C$238,$C55)/SUMIFS($I$5:$I$238,$C$5:$C$238,$C55),0)</f>
        <v>0.305810397553517</v>
      </c>
      <c r="V55" s="27" t="n">
        <f aca="false">IFERROR(SUMIFS($E$5:$E$238,$C$5:$C$238,$C55)/SUMIFS($I$5:$I$238,$C$5:$C$238,$C55),0)</f>
        <v>0.18348623853211</v>
      </c>
      <c r="W55" s="27" t="n">
        <f aca="false">IFERROR(SUMIFS($F$5:$F$238,$C$5:$C$238,$C55)/SUMIFS($I$5:$I$238,$C$5:$C$238,$C55),0)</f>
        <v>0.00917431192660551</v>
      </c>
      <c r="X55" s="27" t="n">
        <f aca="false">IFERROR(SUMIFS($G$5:$G$238,$C$5:$C$238,$C55)/SUMIFS($I$5:$I$238,$C$5:$C$238,$C55),0)</f>
        <v>0.0795107033639144</v>
      </c>
      <c r="Y55" s="27" t="n">
        <f aca="false">IFERROR(SUMIFS($H$5:$H$238,$C$5:$C$238,$C55)/SUMIFS($I$5:$I$238,$C$5:$C$238,$C55),0)</f>
        <v>0.422018348623853</v>
      </c>
      <c r="Z55" s="24" t="n">
        <f aca="false">LN(MAX(I55,1))</f>
        <v>3.49650756146648</v>
      </c>
      <c r="AA55" s="24" t="n">
        <f aca="false">Calibration!$M$35+Calibration!$N$35+SUMPRODUCT(Calibration!$B$35:$F$35,J55:N55)+SUMPRODUCT(Calibration!$G$35:$K$35,U55:Y55)+Calibration!$L$35*Z55</f>
        <v>0.512288521911332</v>
      </c>
      <c r="AB55" s="24" t="n">
        <f aca="false">Calibration!$M$36+Calibration!$N$36+SUMPRODUCT(Calibration!$B$36:$F$36,J55:N55)+SUMPRODUCT(Calibration!$G$36:$K$36,U55:Y55)+Calibration!$L$36*Z55</f>
        <v>0.0836521899089298</v>
      </c>
      <c r="AC55" s="24" t="n">
        <f aca="false">Calibration!$M$37+Calibration!$N$37+SUMPRODUCT(Calibration!$B$37:$F$37,J55:N55)+SUMPRODUCT(Calibration!$G$37:$K$37,U55:Y55)+Calibration!$L$37*Z55</f>
        <v>0.229059926211431</v>
      </c>
      <c r="AD55" s="27" t="n">
        <f aca="false">EXP(AC55)/(EXP(AA55)+EXP(AB55)+EXP(AC55))</f>
        <v>0.313275530115573</v>
      </c>
      <c r="AE55" s="7" t="str">
        <f aca="false">IF(AC55=MAX(AA55:AC55),"TVK",IF(AB55=MAX(AA55:AC55),"DMK+","AIADMK+"))</f>
        <v>AIADMK+</v>
      </c>
      <c r="AF55" s="7" t="str">
        <f aca="false">IF(AE55=R55,"Yes","No")</f>
        <v>No</v>
      </c>
      <c r="AG55" s="7" t="str">
        <f aca="false">IF(AE55=P55,"No","Yes")</f>
        <v>Yes</v>
      </c>
      <c r="AH55" s="7" t="str">
        <f aca="false">IF(H55=MAX(D55,E55,H55),"TVK",IF(E55=MAX(D55,E55,H55),"DMK+","AIADMK+"))</f>
        <v>TVK</v>
      </c>
      <c r="AI55" s="27" t="n">
        <f aca="false">EXP(AA55)/(EXP(AA55)+EXP(AB55)+EXP(AC55))</f>
        <v>0.415844622515558</v>
      </c>
      <c r="AJ55" s="27" t="n">
        <f aca="false">EXP(AB55)/(EXP(AA55)+EXP(AB55)+EXP(AC55))</f>
        <v>0.27087984736887</v>
      </c>
      <c r="AK55" s="28" t="s">
        <v>4</v>
      </c>
      <c r="AL55" s="7" t="str">
        <f aca="false">IF(AK55=R55,"Yes","No")</f>
        <v>No</v>
      </c>
      <c r="AM55" s="27" t="n">
        <f aca="false">IF(AK55="TVK",AD55,IF(AK55="DMK+",AJ55,AI55))</f>
        <v>0.415844622515558</v>
      </c>
      <c r="AN55" s="7" t="str">
        <f aca="false">IF(AK55=P55,"No","Yes")</f>
        <v>Yes</v>
      </c>
    </row>
    <row r="56" customFormat="false" ht="15" hidden="false" customHeight="false" outlineLevel="0" collapsed="false">
      <c r="A56" s="0" t="n">
        <v>52</v>
      </c>
      <c r="B56" s="4" t="s">
        <v>244</v>
      </c>
      <c r="C56" s="5" t="s">
        <v>116</v>
      </c>
      <c r="D56" s="35" t="n">
        <v>12</v>
      </c>
      <c r="E56" s="35" t="n">
        <v>10</v>
      </c>
      <c r="F56" s="35"/>
      <c r="G56" s="35" t="n">
        <v>3</v>
      </c>
      <c r="H56" s="35" t="n">
        <v>16</v>
      </c>
      <c r="I56" s="5" t="n">
        <f aca="false">SUM(D56:H56)</f>
        <v>41</v>
      </c>
      <c r="J56" s="10" t="n">
        <f aca="false">IF($I56=0,0,D56/$I56)</f>
        <v>0.292682926829268</v>
      </c>
      <c r="K56" s="10" t="n">
        <f aca="false">IF($I56=0,0,E56/$I56)</f>
        <v>0.24390243902439</v>
      </c>
      <c r="L56" s="10" t="n">
        <f aca="false">IF($I56=0,0,F56/$I56)</f>
        <v>0</v>
      </c>
      <c r="M56" s="10" t="n">
        <f aca="false">IF($I56=0,0,G56/$I56)</f>
        <v>0.0731707317073171</v>
      </c>
      <c r="N56" s="10" t="n">
        <f aca="false">IF($I56=0,0,H56/$I56)</f>
        <v>0.390243902439024</v>
      </c>
      <c r="O56" s="35" t="s">
        <v>3</v>
      </c>
      <c r="P56" s="0" t="str">
        <f aca="false">IF(O56="TVK","TVK",IF(O56="DMK","DMK+",IF(O56="ADMK","AIADMK+","")))</f>
        <v>TVK</v>
      </c>
      <c r="Q56" s="35" t="s">
        <v>196</v>
      </c>
      <c r="R56" s="36" t="s">
        <v>4</v>
      </c>
      <c r="S56" s="0" t="str">
        <f aca="false">IF(P56=R56,"Yes","No")</f>
        <v>No</v>
      </c>
      <c r="T56" s="2"/>
      <c r="U56" s="27" t="n">
        <f aca="false">IFERROR(SUMIFS($D$5:$D$238,$C$5:$C$238,$C56)/SUMIFS($I$5:$I$238,$C$5:$C$238,$C56),0)</f>
        <v>0.305810397553517</v>
      </c>
      <c r="V56" s="27" t="n">
        <f aca="false">IFERROR(SUMIFS($E$5:$E$238,$C$5:$C$238,$C56)/SUMIFS($I$5:$I$238,$C$5:$C$238,$C56),0)</f>
        <v>0.18348623853211</v>
      </c>
      <c r="W56" s="27" t="n">
        <f aca="false">IFERROR(SUMIFS($F$5:$F$238,$C$5:$C$238,$C56)/SUMIFS($I$5:$I$238,$C$5:$C$238,$C56),0)</f>
        <v>0.00917431192660551</v>
      </c>
      <c r="X56" s="27" t="n">
        <f aca="false">IFERROR(SUMIFS($G$5:$G$238,$C$5:$C$238,$C56)/SUMIFS($I$5:$I$238,$C$5:$C$238,$C56),0)</f>
        <v>0.0795107033639144</v>
      </c>
      <c r="Y56" s="27" t="n">
        <f aca="false">IFERROR(SUMIFS($H$5:$H$238,$C$5:$C$238,$C56)/SUMIFS($I$5:$I$238,$C$5:$C$238,$C56),0)</f>
        <v>0.422018348623853</v>
      </c>
      <c r="Z56" s="24" t="n">
        <f aca="false">LN(MAX(I56,1))</f>
        <v>3.71357206670431</v>
      </c>
      <c r="AA56" s="24" t="n">
        <f aca="false">Calibration!$M$35+Calibration!$N$35+SUMPRODUCT(Calibration!$B$35:$F$35,J56:N56)+SUMPRODUCT(Calibration!$G$35:$K$35,U56:Y56)+Calibration!$L$35*Z56</f>
        <v>0.281568524282896</v>
      </c>
      <c r="AB56" s="24" t="n">
        <f aca="false">Calibration!$M$36+Calibration!$N$36+SUMPRODUCT(Calibration!$B$36:$F$36,J56:N56)+SUMPRODUCT(Calibration!$G$36:$K$36,U56:Y56)+Calibration!$L$36*Z56</f>
        <v>0.135134466259705</v>
      </c>
      <c r="AC56" s="24" t="n">
        <f aca="false">Calibration!$M$37+Calibration!$N$37+SUMPRODUCT(Calibration!$B$37:$F$37,J56:N56)+SUMPRODUCT(Calibration!$G$37:$K$37,U56:Y56)+Calibration!$L$37*Z56</f>
        <v>0.408297583187539</v>
      </c>
      <c r="AD56" s="27" t="n">
        <f aca="false">EXP(AC56)/(EXP(AA56)+EXP(AB56)+EXP(AC56))</f>
        <v>0.37850959072152</v>
      </c>
      <c r="AE56" s="7" t="str">
        <f aca="false">IF(AC56=MAX(AA56:AC56),"TVK",IF(AB56=MAX(AA56:AC56),"DMK+","AIADMK+"))</f>
        <v>TVK</v>
      </c>
      <c r="AF56" s="7" t="str">
        <f aca="false">IF(AE56=R56,"Yes","No")</f>
        <v>No</v>
      </c>
      <c r="AG56" s="7" t="str">
        <f aca="false">IF(AE56=P56,"No","Yes")</f>
        <v>No</v>
      </c>
      <c r="AH56" s="7" t="str">
        <f aca="false">IF(H56=MAX(D56,E56,H56),"TVK",IF(E56=MAX(D56,E56,H56),"DMK+","AIADMK+"))</f>
        <v>TVK</v>
      </c>
      <c r="AI56" s="27" t="n">
        <f aca="false">EXP(AA56)/(EXP(AA56)+EXP(AB56)+EXP(AC56))</f>
        <v>0.333456476774221</v>
      </c>
      <c r="AJ56" s="27" t="n">
        <f aca="false">EXP(AB56)/(EXP(AA56)+EXP(AB56)+EXP(AC56))</f>
        <v>0.28803393250426</v>
      </c>
      <c r="AK56" s="28" t="s">
        <v>5</v>
      </c>
      <c r="AL56" s="7" t="str">
        <f aca="false">IF(AK56=R56,"Yes","No")</f>
        <v>No</v>
      </c>
      <c r="AM56" s="27" t="n">
        <f aca="false">IF(AK56="TVK",AD56,IF(AK56="DMK+",AJ56,AI56))</f>
        <v>0.28803393250426</v>
      </c>
      <c r="AN56" s="7" t="str">
        <f aca="false">IF(AK56=P56,"No","Yes")</f>
        <v>Yes</v>
      </c>
    </row>
    <row r="57" customFormat="false" ht="15" hidden="false" customHeight="false" outlineLevel="0" collapsed="false">
      <c r="A57" s="0" t="n">
        <v>53</v>
      </c>
      <c r="B57" s="4" t="s">
        <v>116</v>
      </c>
      <c r="C57" s="5" t="s">
        <v>116</v>
      </c>
      <c r="D57" s="35" t="n">
        <v>17</v>
      </c>
      <c r="E57" s="35" t="n">
        <v>15</v>
      </c>
      <c r="F57" s="35"/>
      <c r="G57" s="35" t="n">
        <v>8</v>
      </c>
      <c r="H57" s="35" t="n">
        <v>40</v>
      </c>
      <c r="I57" s="5" t="n">
        <f aca="false">SUM(D57:H57)</f>
        <v>80</v>
      </c>
      <c r="J57" s="10" t="n">
        <f aca="false">IF($I57=0,0,D57/$I57)</f>
        <v>0.2125</v>
      </c>
      <c r="K57" s="10" t="n">
        <f aca="false">IF($I57=0,0,E57/$I57)</f>
        <v>0.1875</v>
      </c>
      <c r="L57" s="10" t="n">
        <f aca="false">IF($I57=0,0,F57/$I57)</f>
        <v>0</v>
      </c>
      <c r="M57" s="10" t="n">
        <f aca="false">IF($I57=0,0,G57/$I57)</f>
        <v>0.1</v>
      </c>
      <c r="N57" s="10" t="n">
        <f aca="false">IF($I57=0,0,H57/$I57)</f>
        <v>0.5</v>
      </c>
      <c r="O57" s="35" t="s">
        <v>3</v>
      </c>
      <c r="P57" s="0" t="str">
        <f aca="false">IF(O57="TVK","TVK",IF(O57="DMK","DMK+",IF(O57="ADMK","AIADMK+","")))</f>
        <v>TVK</v>
      </c>
      <c r="Q57" s="35" t="s">
        <v>3</v>
      </c>
      <c r="R57" s="36" t="s">
        <v>3</v>
      </c>
      <c r="S57" s="0" t="str">
        <f aca="false">IF(P57=R57,"Yes","No")</f>
        <v>Yes</v>
      </c>
      <c r="T57" s="2"/>
      <c r="U57" s="27" t="n">
        <f aca="false">IFERROR(SUMIFS($D$5:$D$238,$C$5:$C$238,$C57)/SUMIFS($I$5:$I$238,$C$5:$C$238,$C57),0)</f>
        <v>0.305810397553517</v>
      </c>
      <c r="V57" s="27" t="n">
        <f aca="false">IFERROR(SUMIFS($E$5:$E$238,$C$5:$C$238,$C57)/SUMIFS($I$5:$I$238,$C$5:$C$238,$C57),0)</f>
        <v>0.18348623853211</v>
      </c>
      <c r="W57" s="27" t="n">
        <f aca="false">IFERROR(SUMIFS($F$5:$F$238,$C$5:$C$238,$C57)/SUMIFS($I$5:$I$238,$C$5:$C$238,$C57),0)</f>
        <v>0.00917431192660551</v>
      </c>
      <c r="X57" s="27" t="n">
        <f aca="false">IFERROR(SUMIFS($G$5:$G$238,$C$5:$C$238,$C57)/SUMIFS($I$5:$I$238,$C$5:$C$238,$C57),0)</f>
        <v>0.0795107033639144</v>
      </c>
      <c r="Y57" s="27" t="n">
        <f aca="false">IFERROR(SUMIFS($H$5:$H$238,$C$5:$C$238,$C57)/SUMIFS($I$5:$I$238,$C$5:$C$238,$C57),0)</f>
        <v>0.422018348623853</v>
      </c>
      <c r="Z57" s="24" t="n">
        <f aca="false">LN(MAX(I57,1))</f>
        <v>4.38202663467388</v>
      </c>
      <c r="AA57" s="24" t="n">
        <f aca="false">Calibration!$M$35+Calibration!$N$35+SUMPRODUCT(Calibration!$B$35:$F$35,J57:N57)+SUMPRODUCT(Calibration!$G$35:$K$35,U57:Y57)+Calibration!$L$35*Z57</f>
        <v>-0.117374881346514</v>
      </c>
      <c r="AB57" s="24" t="n">
        <f aca="false">Calibration!$M$36+Calibration!$N$36+SUMPRODUCT(Calibration!$B$36:$F$36,J57:N57)+SUMPRODUCT(Calibration!$G$36:$K$36,U57:Y57)+Calibration!$L$36*Z57</f>
        <v>-0.305928977898688</v>
      </c>
      <c r="AC57" s="24" t="n">
        <f aca="false">Calibration!$M$37+Calibration!$N$37+SUMPRODUCT(Calibration!$B$37:$F$37,J57:N57)+SUMPRODUCT(Calibration!$G$37:$K$37,U57:Y57)+Calibration!$L$37*Z57</f>
        <v>1.24830454273144</v>
      </c>
      <c r="AD57" s="27" t="n">
        <f aca="false">EXP(AC57)/(EXP(AA57)+EXP(AB57)+EXP(AC57))</f>
        <v>0.681868450956751</v>
      </c>
      <c r="AE57" s="7" t="str">
        <f aca="false">IF(AC57=MAX(AA57:AC57),"TVK",IF(AB57=MAX(AA57:AC57),"DMK+","AIADMK+"))</f>
        <v>TVK</v>
      </c>
      <c r="AF57" s="7" t="str">
        <f aca="false">IF(AE57=R57,"Yes","No")</f>
        <v>Yes</v>
      </c>
      <c r="AG57" s="7" t="str">
        <f aca="false">IF(AE57=P57,"No","Yes")</f>
        <v>No</v>
      </c>
      <c r="AH57" s="7" t="str">
        <f aca="false">IF(H57=MAX(D57,E57,H57),"TVK",IF(E57=MAX(D57,E57,H57),"DMK+","AIADMK+"))</f>
        <v>TVK</v>
      </c>
      <c r="AI57" s="27" t="n">
        <f aca="false">EXP(AA57)/(EXP(AA57)+EXP(AB57)+EXP(AC57))</f>
        <v>0.174017753914396</v>
      </c>
      <c r="AJ57" s="27" t="n">
        <f aca="false">EXP(AB57)/(EXP(AA57)+EXP(AB57)+EXP(AC57))</f>
        <v>0.144113795128854</v>
      </c>
      <c r="AK57" s="28" t="s">
        <v>3</v>
      </c>
      <c r="AL57" s="7" t="str">
        <f aca="false">IF(AK57=R57,"Yes","No")</f>
        <v>Yes</v>
      </c>
      <c r="AM57" s="27" t="n">
        <f aca="false">IF(AK57="TVK",AD57,IF(AK57="DMK+",AJ57,AI57))</f>
        <v>0.681868450956751</v>
      </c>
      <c r="AN57" s="7" t="str">
        <f aca="false">IF(AK57=P57,"No","Yes")</f>
        <v>No</v>
      </c>
    </row>
    <row r="58" customFormat="false" ht="15" hidden="false" customHeight="false" outlineLevel="0" collapsed="false">
      <c r="A58" s="0" t="n">
        <v>54</v>
      </c>
      <c r="B58" s="4" t="s">
        <v>245</v>
      </c>
      <c r="C58" s="5" t="s">
        <v>116</v>
      </c>
      <c r="D58" s="35" t="n">
        <v>7</v>
      </c>
      <c r="E58" s="35" t="n">
        <v>9</v>
      </c>
      <c r="F58" s="35"/>
      <c r="G58" s="35" t="n">
        <v>3</v>
      </c>
      <c r="H58" s="35" t="n">
        <v>16</v>
      </c>
      <c r="I58" s="5" t="n">
        <f aca="false">SUM(D58:H58)</f>
        <v>35</v>
      </c>
      <c r="J58" s="10" t="n">
        <f aca="false">IF($I58=0,0,D58/$I58)</f>
        <v>0.2</v>
      </c>
      <c r="K58" s="10" t="n">
        <f aca="false">IF($I58=0,0,E58/$I58)</f>
        <v>0.257142857142857</v>
      </c>
      <c r="L58" s="10" t="n">
        <f aca="false">IF($I58=0,0,F58/$I58)</f>
        <v>0</v>
      </c>
      <c r="M58" s="10" t="n">
        <f aca="false">IF($I58=0,0,G58/$I58)</f>
        <v>0.0857142857142857</v>
      </c>
      <c r="N58" s="10" t="n">
        <f aca="false">IF($I58=0,0,H58/$I58)</f>
        <v>0.457142857142857</v>
      </c>
      <c r="O58" s="35" t="s">
        <v>3</v>
      </c>
      <c r="P58" s="0" t="str">
        <f aca="false">IF(O58="TVK","TVK",IF(O58="DMK","DMK+",IF(O58="ADMK","AIADMK+","")))</f>
        <v>TVK</v>
      </c>
      <c r="Q58" s="35" t="s">
        <v>197</v>
      </c>
      <c r="R58" s="36" t="s">
        <v>5</v>
      </c>
      <c r="S58" s="0" t="str">
        <f aca="false">IF(P58=R58,"Yes","No")</f>
        <v>No</v>
      </c>
      <c r="T58" s="2"/>
      <c r="U58" s="27" t="n">
        <f aca="false">IFERROR(SUMIFS($D$5:$D$238,$C$5:$C$238,$C58)/SUMIFS($I$5:$I$238,$C$5:$C$238,$C58),0)</f>
        <v>0.305810397553517</v>
      </c>
      <c r="V58" s="27" t="n">
        <f aca="false">IFERROR(SUMIFS($E$5:$E$238,$C$5:$C$238,$C58)/SUMIFS($I$5:$I$238,$C$5:$C$238,$C58),0)</f>
        <v>0.18348623853211</v>
      </c>
      <c r="W58" s="27" t="n">
        <f aca="false">IFERROR(SUMIFS($F$5:$F$238,$C$5:$C$238,$C58)/SUMIFS($I$5:$I$238,$C$5:$C$238,$C58),0)</f>
        <v>0.00917431192660551</v>
      </c>
      <c r="X58" s="27" t="n">
        <f aca="false">IFERROR(SUMIFS($G$5:$G$238,$C$5:$C$238,$C58)/SUMIFS($I$5:$I$238,$C$5:$C$238,$C58),0)</f>
        <v>0.0795107033639144</v>
      </c>
      <c r="Y58" s="27" t="n">
        <f aca="false">IFERROR(SUMIFS($H$5:$H$238,$C$5:$C$238,$C58)/SUMIFS($I$5:$I$238,$C$5:$C$238,$C58),0)</f>
        <v>0.422018348623853</v>
      </c>
      <c r="Z58" s="24" t="n">
        <f aca="false">LN(MAX(I58,1))</f>
        <v>3.55534806148941</v>
      </c>
      <c r="AA58" s="24" t="n">
        <f aca="false">Calibration!$M$35+Calibration!$N$35+SUMPRODUCT(Calibration!$B$35:$F$35,J58:N58)+SUMPRODUCT(Calibration!$G$35:$K$35,U58:Y58)+Calibration!$L$35*Z58</f>
        <v>0.260126742214188</v>
      </c>
      <c r="AB58" s="24" t="n">
        <f aca="false">Calibration!$M$36+Calibration!$N$36+SUMPRODUCT(Calibration!$B$36:$F$36,J58:N58)+SUMPRODUCT(Calibration!$G$36:$K$36,U58:Y58)+Calibration!$L$36*Z58</f>
        <v>0.303015018972532</v>
      </c>
      <c r="AC58" s="24" t="n">
        <f aca="false">Calibration!$M$37+Calibration!$N$37+SUMPRODUCT(Calibration!$B$37:$F$37,J58:N58)+SUMPRODUCT(Calibration!$G$37:$K$37,U58:Y58)+Calibration!$L$37*Z58</f>
        <v>0.261858879442375</v>
      </c>
      <c r="AD58" s="27" t="n">
        <f aca="false">EXP(AC58)/(EXP(AA58)+EXP(AB58)+EXP(AC58))</f>
        <v>0.328916623956667</v>
      </c>
      <c r="AE58" s="7" t="str">
        <f aca="false">IF(AC58=MAX(AA58:AC58),"TVK",IF(AB58=MAX(AA58:AC58),"DMK+","AIADMK+"))</f>
        <v>DMK+</v>
      </c>
      <c r="AF58" s="7" t="str">
        <f aca="false">IF(AE58=R58,"Yes","No")</f>
        <v>Yes</v>
      </c>
      <c r="AG58" s="7" t="str">
        <f aca="false">IF(AE58=P58,"No","Yes")</f>
        <v>Yes</v>
      </c>
      <c r="AH58" s="7" t="str">
        <f aca="false">IF(H58=MAX(D58,E58,H58),"TVK",IF(E58=MAX(D58,E58,H58),"DMK+","AIADMK+"))</f>
        <v>TVK</v>
      </c>
      <c r="AI58" s="27" t="n">
        <f aca="false">EXP(AA58)/(EXP(AA58)+EXP(AB58)+EXP(AC58))</f>
        <v>0.328347388366743</v>
      </c>
      <c r="AJ58" s="27" t="n">
        <f aca="false">EXP(AB58)/(EXP(AA58)+EXP(AB58)+EXP(AC58))</f>
        <v>0.34273598767659</v>
      </c>
      <c r="AK58" s="28" t="s">
        <v>5</v>
      </c>
      <c r="AL58" s="7" t="str">
        <f aca="false">IF(AK58=R58,"Yes","No")</f>
        <v>Yes</v>
      </c>
      <c r="AM58" s="27" t="n">
        <f aca="false">IF(AK58="TVK",AD58,IF(AK58="DMK+",AJ58,AI58))</f>
        <v>0.34273598767659</v>
      </c>
      <c r="AN58" s="7" t="str">
        <f aca="false">IF(AK58=P58,"No","Yes")</f>
        <v>Yes</v>
      </c>
    </row>
    <row r="59" customFormat="false" ht="15" hidden="true" customHeight="false" outlineLevel="0" collapsed="false">
      <c r="A59" s="0" t="n">
        <v>55</v>
      </c>
      <c r="B59" s="4" t="s">
        <v>246</v>
      </c>
      <c r="C59" s="5" t="s">
        <v>116</v>
      </c>
      <c r="D59" s="35" t="n">
        <v>41</v>
      </c>
      <c r="E59" s="35" t="n">
        <v>15</v>
      </c>
      <c r="F59" s="35" t="n">
        <v>1</v>
      </c>
      <c r="G59" s="35" t="n">
        <v>6</v>
      </c>
      <c r="H59" s="35" t="n">
        <v>42</v>
      </c>
      <c r="I59" s="5" t="n">
        <f aca="false">SUM(D59:H59)</f>
        <v>105</v>
      </c>
      <c r="J59" s="10" t="n">
        <f aca="false">IF($I59=0,0,D59/$I59)</f>
        <v>0.390476190476191</v>
      </c>
      <c r="K59" s="10" t="n">
        <f aca="false">IF($I59=0,0,E59/$I59)</f>
        <v>0.142857142857143</v>
      </c>
      <c r="L59" s="10" t="n">
        <f aca="false">IF($I59=0,0,F59/$I59)</f>
        <v>0.00952380952380953</v>
      </c>
      <c r="M59" s="10" t="n">
        <f aca="false">IF($I59=0,0,G59/$I59)</f>
        <v>0.0571428571428571</v>
      </c>
      <c r="N59" s="10" t="n">
        <f aca="false">IF($I59=0,0,H59/$I59)</f>
        <v>0.4</v>
      </c>
      <c r="O59" s="35" t="s">
        <v>218</v>
      </c>
      <c r="P59" s="0" t="str">
        <f aca="false">IF(O59="TVK","TVK",IF(O59="DMK","DMK+",IF(O59="ADMK","AIADMK+","")))</f>
        <v>AIADMK+</v>
      </c>
      <c r="Q59" s="35" t="s">
        <v>196</v>
      </c>
      <c r="R59" s="36" t="s">
        <v>4</v>
      </c>
      <c r="S59" s="0" t="str">
        <f aca="false">IF(P59=R59,"Yes","No")</f>
        <v>Yes</v>
      </c>
      <c r="T59" s="2"/>
      <c r="U59" s="27" t="n">
        <f aca="false">IFERROR(SUMIFS($D$5:$D$238,$C$5:$C$238,$C59)/SUMIFS($I$5:$I$238,$C$5:$C$238,$C59),0)</f>
        <v>0.305810397553517</v>
      </c>
      <c r="V59" s="27" t="n">
        <f aca="false">IFERROR(SUMIFS($E$5:$E$238,$C$5:$C$238,$C59)/SUMIFS($I$5:$I$238,$C$5:$C$238,$C59),0)</f>
        <v>0.18348623853211</v>
      </c>
      <c r="W59" s="27" t="n">
        <f aca="false">IFERROR(SUMIFS($F$5:$F$238,$C$5:$C$238,$C59)/SUMIFS($I$5:$I$238,$C$5:$C$238,$C59),0)</f>
        <v>0.00917431192660551</v>
      </c>
      <c r="X59" s="27" t="n">
        <f aca="false">IFERROR(SUMIFS($G$5:$G$238,$C$5:$C$238,$C59)/SUMIFS($I$5:$I$238,$C$5:$C$238,$C59),0)</f>
        <v>0.0795107033639144</v>
      </c>
      <c r="Y59" s="27" t="n">
        <f aca="false">IFERROR(SUMIFS($H$5:$H$238,$C$5:$C$238,$C59)/SUMIFS($I$5:$I$238,$C$5:$C$238,$C59),0)</f>
        <v>0.422018348623853</v>
      </c>
      <c r="Z59" s="24" t="n">
        <f aca="false">LN(MAX(I59,1))</f>
        <v>4.65396035015752</v>
      </c>
      <c r="AA59" s="24" t="n">
        <f aca="false">Calibration!$M$35+Calibration!$N$35+SUMPRODUCT(Calibration!$B$35:$F$35,J59:N59)+SUMPRODUCT(Calibration!$G$35:$K$35,U59:Y59)+Calibration!$L$35*Z59</f>
        <v>-0.0506269753048878</v>
      </c>
      <c r="AB59" s="24" t="n">
        <f aca="false">Calibration!$M$36+Calibration!$N$36+SUMPRODUCT(Calibration!$B$36:$F$36,J59:N59)+SUMPRODUCT(Calibration!$G$36:$K$36,U59:Y59)+Calibration!$L$36*Z59</f>
        <v>-0.641956832412968</v>
      </c>
      <c r="AC59" s="24" t="n">
        <f aca="false">Calibration!$M$37+Calibration!$N$37+SUMPRODUCT(Calibration!$B$37:$F$37,J59:N59)+SUMPRODUCT(Calibration!$G$37:$K$37,U59:Y59)+Calibration!$L$37*Z59</f>
        <v>1.51758439120409</v>
      </c>
      <c r="AD59" s="27" t="n">
        <f aca="false">EXP(AC59)/(EXP(AA59)+EXP(AB59)+EXP(AC59))</f>
        <v>0.755403586810526</v>
      </c>
      <c r="AE59" s="7" t="str">
        <f aca="false">IF(AC59=MAX(AA59:AC59),"TVK",IF(AB59=MAX(AA59:AC59),"DMK+","AIADMK+"))</f>
        <v>TVK</v>
      </c>
      <c r="AF59" s="7" t="str">
        <f aca="false">IF(AE59=R59,"Yes","No")</f>
        <v>No</v>
      </c>
      <c r="AG59" s="7" t="str">
        <f aca="false">IF(AE59=P59,"No","Yes")</f>
        <v>Yes</v>
      </c>
      <c r="AH59" s="7" t="str">
        <f aca="false">IF(H59=MAX(D59,E59,H59),"TVK",IF(E59=MAX(D59,E59,H59),"DMK+","AIADMK+"))</f>
        <v>TVK</v>
      </c>
      <c r="AI59" s="27" t="n">
        <f aca="false">EXP(AA59)/(EXP(AA59)+EXP(AB59)+EXP(AC59))</f>
        <v>0.157439426711774</v>
      </c>
      <c r="AJ59" s="27" t="n">
        <f aca="false">EXP(AB59)/(EXP(AA59)+EXP(AB59)+EXP(AC59))</f>
        <v>0.0871569864777001</v>
      </c>
      <c r="AK59" s="28" t="s">
        <v>3</v>
      </c>
      <c r="AL59" s="7" t="str">
        <f aca="false">IF(AK59=R59,"Yes","No")</f>
        <v>No</v>
      </c>
      <c r="AM59" s="27" t="n">
        <f aca="false">IF(AK59="TVK",AD59,IF(AK59="DMK+",AJ59,AI59))</f>
        <v>0.755403586810526</v>
      </c>
      <c r="AN59" s="7" t="str">
        <f aca="false">IF(AK59=P59,"No","Yes")</f>
        <v>Yes</v>
      </c>
    </row>
    <row r="60" customFormat="false" ht="15" hidden="true" customHeight="false" outlineLevel="0" collapsed="false">
      <c r="A60" s="0" t="n">
        <v>56</v>
      </c>
      <c r="B60" s="4" t="s">
        <v>247</v>
      </c>
      <c r="C60" s="5" t="s">
        <v>116</v>
      </c>
      <c r="D60" s="35" t="n">
        <v>11</v>
      </c>
      <c r="E60" s="35" t="n">
        <v>6</v>
      </c>
      <c r="F60" s="35" t="n">
        <v>2</v>
      </c>
      <c r="G60" s="35" t="n">
        <v>5</v>
      </c>
      <c r="H60" s="35" t="n">
        <v>9</v>
      </c>
      <c r="I60" s="5" t="n">
        <f aca="false">SUM(D60:H60)</f>
        <v>33</v>
      </c>
      <c r="J60" s="10" t="n">
        <f aca="false">IF($I60=0,0,D60/$I60)</f>
        <v>0.333333333333333</v>
      </c>
      <c r="K60" s="10" t="n">
        <f aca="false">IF($I60=0,0,E60/$I60)</f>
        <v>0.181818181818182</v>
      </c>
      <c r="L60" s="10" t="n">
        <f aca="false">IF($I60=0,0,F60/$I60)</f>
        <v>0.0606060606060606</v>
      </c>
      <c r="M60" s="10" t="n">
        <f aca="false">IF($I60=0,0,G60/$I60)</f>
        <v>0.151515151515152</v>
      </c>
      <c r="N60" s="10" t="n">
        <f aca="false">IF($I60=0,0,H60/$I60)</f>
        <v>0.272727272727273</v>
      </c>
      <c r="O60" s="35" t="s">
        <v>218</v>
      </c>
      <c r="P60" s="0" t="str">
        <f aca="false">IF(O60="TVK","TVK",IF(O60="DMK","DMK+",IF(O60="ADMK","AIADMK+","")))</f>
        <v>AIADMK+</v>
      </c>
      <c r="Q60" s="35" t="s">
        <v>248</v>
      </c>
      <c r="R60" s="36" t="s">
        <v>5</v>
      </c>
      <c r="S60" s="0" t="str">
        <f aca="false">IF(P60=R60,"Yes","No")</f>
        <v>No</v>
      </c>
      <c r="T60" s="2"/>
      <c r="U60" s="27" t="n">
        <f aca="false">IFERROR(SUMIFS($D$5:$D$238,$C$5:$C$238,$C60)/SUMIFS($I$5:$I$238,$C$5:$C$238,$C60),0)</f>
        <v>0.305810397553517</v>
      </c>
      <c r="V60" s="27" t="n">
        <f aca="false">IFERROR(SUMIFS($E$5:$E$238,$C$5:$C$238,$C60)/SUMIFS($I$5:$I$238,$C$5:$C$238,$C60),0)</f>
        <v>0.18348623853211</v>
      </c>
      <c r="W60" s="27" t="n">
        <f aca="false">IFERROR(SUMIFS($F$5:$F$238,$C$5:$C$238,$C60)/SUMIFS($I$5:$I$238,$C$5:$C$238,$C60),0)</f>
        <v>0.00917431192660551</v>
      </c>
      <c r="X60" s="27" t="n">
        <f aca="false">IFERROR(SUMIFS($G$5:$G$238,$C$5:$C$238,$C60)/SUMIFS($I$5:$I$238,$C$5:$C$238,$C60),0)</f>
        <v>0.0795107033639144</v>
      </c>
      <c r="Y60" s="27" t="n">
        <f aca="false">IFERROR(SUMIFS($H$5:$H$238,$C$5:$C$238,$C60)/SUMIFS($I$5:$I$238,$C$5:$C$238,$C60),0)</f>
        <v>0.422018348623853</v>
      </c>
      <c r="Z60" s="24" t="n">
        <f aca="false">LN(MAX(I60,1))</f>
        <v>3.49650756146648</v>
      </c>
      <c r="AA60" s="24" t="n">
        <f aca="false">Calibration!$M$35+Calibration!$N$35+SUMPRODUCT(Calibration!$B$35:$F$35,J60:N60)+SUMPRODUCT(Calibration!$G$35:$K$35,U60:Y60)+Calibration!$L$35*Z60</f>
        <v>0.506341915850726</v>
      </c>
      <c r="AB60" s="24" t="n">
        <f aca="false">Calibration!$M$36+Calibration!$N$36+SUMPRODUCT(Calibration!$B$36:$F$36,J60:N60)+SUMPRODUCT(Calibration!$G$36:$K$36,U60:Y60)+Calibration!$L$36*Z60</f>
        <v>0.215539886878627</v>
      </c>
      <c r="AC60" s="24" t="n">
        <f aca="false">Calibration!$M$37+Calibration!$N$37+SUMPRODUCT(Calibration!$B$37:$F$37,J60:N60)+SUMPRODUCT(Calibration!$G$37:$K$37,U60:Y60)+Calibration!$L$37*Z60</f>
        <v>0.103118653484158</v>
      </c>
      <c r="AD60" s="27" t="n">
        <f aca="false">EXP(AC60)/(EXP(AA60)+EXP(AB60)+EXP(AC60))</f>
        <v>0.276577346597513</v>
      </c>
      <c r="AE60" s="7" t="str">
        <f aca="false">IF(AC60=MAX(AA60:AC60),"TVK",IF(AB60=MAX(AA60:AC60),"DMK+","AIADMK+"))</f>
        <v>AIADMK+</v>
      </c>
      <c r="AF60" s="7" t="str">
        <f aca="false">IF(AE60=R60,"Yes","No")</f>
        <v>No</v>
      </c>
      <c r="AG60" s="7" t="str">
        <f aca="false">IF(AE60=P60,"No","Yes")</f>
        <v>No</v>
      </c>
      <c r="AH60" s="7" t="str">
        <f aca="false">IF(H60=MAX(D60,E60,H60),"TVK",IF(E60=MAX(D60,E60,H60),"DMK+","AIADMK+"))</f>
        <v>AIADMK+</v>
      </c>
      <c r="AI60" s="27" t="n">
        <f aca="false">EXP(AA60)/(EXP(AA60)+EXP(AB60)+EXP(AC60))</f>
        <v>0.413936996029428</v>
      </c>
      <c r="AJ60" s="27" t="n">
        <f aca="false">EXP(AB60)/(EXP(AA60)+EXP(AB60)+EXP(AC60))</f>
        <v>0.309485657373058</v>
      </c>
      <c r="AK60" s="28" t="s">
        <v>4</v>
      </c>
      <c r="AL60" s="7" t="str">
        <f aca="false">IF(AK60=R60,"Yes","No")</f>
        <v>No</v>
      </c>
      <c r="AM60" s="27" t="n">
        <f aca="false">IF(AK60="TVK",AD60,IF(AK60="DMK+",AJ60,AI60))</f>
        <v>0.413936996029428</v>
      </c>
      <c r="AN60" s="7" t="str">
        <f aca="false">IF(AK60=P60,"No","Yes")</f>
        <v>No</v>
      </c>
    </row>
    <row r="61" customFormat="false" ht="15" hidden="true" customHeight="false" outlineLevel="0" collapsed="false">
      <c r="A61" s="0" t="n">
        <v>57</v>
      </c>
      <c r="B61" s="4" t="s">
        <v>249</v>
      </c>
      <c r="C61" s="5" t="s">
        <v>102</v>
      </c>
      <c r="D61" s="35" t="n">
        <v>12</v>
      </c>
      <c r="E61" s="35" t="n">
        <v>7</v>
      </c>
      <c r="F61" s="35" t="n">
        <v>1</v>
      </c>
      <c r="G61" s="35" t="n">
        <v>4</v>
      </c>
      <c r="H61" s="35" t="n">
        <v>12</v>
      </c>
      <c r="I61" s="5" t="n">
        <f aca="false">SUM(D61:H61)</f>
        <v>36</v>
      </c>
      <c r="J61" s="10" t="n">
        <f aca="false">IF($I61=0,0,D61/$I61)</f>
        <v>0.333333333333333</v>
      </c>
      <c r="K61" s="10" t="n">
        <f aca="false">IF($I61=0,0,E61/$I61)</f>
        <v>0.194444444444444</v>
      </c>
      <c r="L61" s="10" t="n">
        <f aca="false">IF($I61=0,0,F61/$I61)</f>
        <v>0.0277777777777778</v>
      </c>
      <c r="M61" s="10" t="n">
        <f aca="false">IF($I61=0,0,G61/$I61)</f>
        <v>0.111111111111111</v>
      </c>
      <c r="N61" s="10" t="n">
        <f aca="false">IF($I61=0,0,H61/$I61)</f>
        <v>0.333333333333333</v>
      </c>
      <c r="O61" s="35" t="s">
        <v>218</v>
      </c>
      <c r="P61" s="0" t="str">
        <f aca="false">IF(O61="TVK","TVK",IF(O61="DMK","DMK+",IF(O61="ADMK","AIADMK+","")))</f>
        <v>AIADMK+</v>
      </c>
      <c r="Q61" s="35" t="s">
        <v>196</v>
      </c>
      <c r="R61" s="36" t="s">
        <v>4</v>
      </c>
      <c r="S61" s="0" t="str">
        <f aca="false">IF(P61=R61,"Yes","No")</f>
        <v>Yes</v>
      </c>
      <c r="T61" s="2"/>
      <c r="U61" s="27" t="n">
        <f aca="false">IFERROR(SUMIFS($D$5:$D$238,$C$5:$C$238,$C61)/SUMIFS($I$5:$I$238,$C$5:$C$238,$C61),0)</f>
        <v>0.40084388185654</v>
      </c>
      <c r="V61" s="27" t="n">
        <f aca="false">IFERROR(SUMIFS($E$5:$E$238,$C$5:$C$238,$C61)/SUMIFS($I$5:$I$238,$C$5:$C$238,$C61),0)</f>
        <v>0.189873417721519</v>
      </c>
      <c r="W61" s="27" t="n">
        <f aca="false">IFERROR(SUMIFS($F$5:$F$238,$C$5:$C$238,$C61)/SUMIFS($I$5:$I$238,$C$5:$C$238,$C61),0)</f>
        <v>0.00843881856540084</v>
      </c>
      <c r="X61" s="27" t="n">
        <f aca="false">IFERROR(SUMIFS($G$5:$G$238,$C$5:$C$238,$C61)/SUMIFS($I$5:$I$238,$C$5:$C$238,$C61),0)</f>
        <v>0.0675105485232068</v>
      </c>
      <c r="Y61" s="27" t="n">
        <f aca="false">IFERROR(SUMIFS($H$5:$H$238,$C$5:$C$238,$C61)/SUMIFS($I$5:$I$238,$C$5:$C$238,$C61),0)</f>
        <v>0.333333333333333</v>
      </c>
      <c r="Z61" s="24" t="n">
        <f aca="false">LN(MAX(I61,1))</f>
        <v>3.58351893845611</v>
      </c>
      <c r="AA61" s="24" t="n">
        <f aca="false">Calibration!$M$35+Calibration!$N$35+SUMPRODUCT(Calibration!$B$35:$F$35,J61:N61)+SUMPRODUCT(Calibration!$G$35:$K$35,U61:Y61)+Calibration!$L$35*Z61</f>
        <v>0.492679691089476</v>
      </c>
      <c r="AB61" s="24" t="n">
        <f aca="false">Calibration!$M$36+Calibration!$N$36+SUMPRODUCT(Calibration!$B$36:$F$36,J61:N61)+SUMPRODUCT(Calibration!$G$36:$K$36,U61:Y61)+Calibration!$L$36*Z61</f>
        <v>0.178372031709454</v>
      </c>
      <c r="AC61" s="24" t="n">
        <f aca="false">Calibration!$M$37+Calibration!$N$37+SUMPRODUCT(Calibration!$B$37:$F$37,J61:N61)+SUMPRODUCT(Calibration!$G$37:$K$37,U61:Y61)+Calibration!$L$37*Z61</f>
        <v>0.15394880040782</v>
      </c>
      <c r="AD61" s="27" t="n">
        <f aca="false">EXP(AC61)/(EXP(AA61)+EXP(AB61)+EXP(AC61))</f>
        <v>0.291724680062155</v>
      </c>
      <c r="AE61" s="7" t="str">
        <f aca="false">IF(AC61=MAX(AA61:AC61),"TVK",IF(AB61=MAX(AA61:AC61),"DMK+","AIADMK+"))</f>
        <v>AIADMK+</v>
      </c>
      <c r="AF61" s="7" t="str">
        <f aca="false">IF(AE61=R61,"Yes","No")</f>
        <v>Yes</v>
      </c>
      <c r="AG61" s="7" t="str">
        <f aca="false">IF(AE61=P61,"No","Yes")</f>
        <v>No</v>
      </c>
      <c r="AH61" s="7" t="str">
        <f aca="false">IF(H61=MAX(D61,E61,H61),"TVK",IF(E61=MAX(D61,E61,H61),"DMK+","AIADMK+"))</f>
        <v>TVK</v>
      </c>
      <c r="AI61" s="27" t="n">
        <f aca="false">EXP(AA61)/(EXP(AA61)+EXP(AB61)+EXP(AC61))</f>
        <v>0.409338061825334</v>
      </c>
      <c r="AJ61" s="27" t="n">
        <f aca="false">EXP(AB61)/(EXP(AA61)+EXP(AB61)+EXP(AC61))</f>
        <v>0.298937258112511</v>
      </c>
      <c r="AK61" s="28" t="s">
        <v>4</v>
      </c>
      <c r="AL61" s="7" t="str">
        <f aca="false">IF(AK61=R61,"Yes","No")</f>
        <v>Yes</v>
      </c>
      <c r="AM61" s="27" t="n">
        <f aca="false">IF(AK61="TVK",AD61,IF(AK61="DMK+",AJ61,AI61))</f>
        <v>0.409338061825334</v>
      </c>
      <c r="AN61" s="7" t="str">
        <f aca="false">IF(AK61=P61,"No","Yes")</f>
        <v>No</v>
      </c>
    </row>
    <row r="62" customFormat="false" ht="15" hidden="false" customHeight="false" outlineLevel="0" collapsed="false">
      <c r="A62" s="0" t="n">
        <v>58</v>
      </c>
      <c r="B62" s="4" t="s">
        <v>250</v>
      </c>
      <c r="C62" s="5" t="s">
        <v>102</v>
      </c>
      <c r="D62" s="35" t="n">
        <v>12</v>
      </c>
      <c r="E62" s="35" t="n">
        <v>10</v>
      </c>
      <c r="F62" s="35"/>
      <c r="G62" s="35" t="n">
        <v>4</v>
      </c>
      <c r="H62" s="35" t="n">
        <v>16</v>
      </c>
      <c r="I62" s="5" t="n">
        <f aca="false">SUM(D62:H62)</f>
        <v>42</v>
      </c>
      <c r="J62" s="10" t="n">
        <f aca="false">IF($I62=0,0,D62/$I62)</f>
        <v>0.285714285714286</v>
      </c>
      <c r="K62" s="10" t="n">
        <f aca="false">IF($I62=0,0,E62/$I62)</f>
        <v>0.238095238095238</v>
      </c>
      <c r="L62" s="10" t="n">
        <f aca="false">IF($I62=0,0,F62/$I62)</f>
        <v>0</v>
      </c>
      <c r="M62" s="10" t="n">
        <f aca="false">IF($I62=0,0,G62/$I62)</f>
        <v>0.0952380952380952</v>
      </c>
      <c r="N62" s="10" t="n">
        <f aca="false">IF($I62=0,0,H62/$I62)</f>
        <v>0.380952380952381</v>
      </c>
      <c r="O62" s="35" t="s">
        <v>3</v>
      </c>
      <c r="P62" s="0" t="str">
        <f aca="false">IF(O62="TVK","TVK",IF(O62="DMK","DMK+",IF(O62="ADMK","AIADMK+","")))</f>
        <v>TVK</v>
      </c>
      <c r="Q62" s="35" t="s">
        <v>3</v>
      </c>
      <c r="R62" s="36" t="s">
        <v>3</v>
      </c>
      <c r="S62" s="0" t="str">
        <f aca="false">IF(P62=R62,"Yes","No")</f>
        <v>Yes</v>
      </c>
      <c r="T62" s="2"/>
      <c r="U62" s="27" t="n">
        <f aca="false">IFERROR(SUMIFS($D$5:$D$238,$C$5:$C$238,$C62)/SUMIFS($I$5:$I$238,$C$5:$C$238,$C62),0)</f>
        <v>0.40084388185654</v>
      </c>
      <c r="V62" s="27" t="n">
        <f aca="false">IFERROR(SUMIFS($E$5:$E$238,$C$5:$C$238,$C62)/SUMIFS($I$5:$I$238,$C$5:$C$238,$C62),0)</f>
        <v>0.189873417721519</v>
      </c>
      <c r="W62" s="27" t="n">
        <f aca="false">IFERROR(SUMIFS($F$5:$F$238,$C$5:$C$238,$C62)/SUMIFS($I$5:$I$238,$C$5:$C$238,$C62),0)</f>
        <v>0.00843881856540084</v>
      </c>
      <c r="X62" s="27" t="n">
        <f aca="false">IFERROR(SUMIFS($G$5:$G$238,$C$5:$C$238,$C62)/SUMIFS($I$5:$I$238,$C$5:$C$238,$C62),0)</f>
        <v>0.0675105485232068</v>
      </c>
      <c r="Y62" s="27" t="n">
        <f aca="false">IFERROR(SUMIFS($H$5:$H$238,$C$5:$C$238,$C62)/SUMIFS($I$5:$I$238,$C$5:$C$238,$C62),0)</f>
        <v>0.333333333333333</v>
      </c>
      <c r="Z62" s="24" t="n">
        <f aca="false">LN(MAX(I62,1))</f>
        <v>3.73766961828337</v>
      </c>
      <c r="AA62" s="24" t="n">
        <f aca="false">Calibration!$M$35+Calibration!$N$35+SUMPRODUCT(Calibration!$B$35:$F$35,J62:N62)+SUMPRODUCT(Calibration!$G$35:$K$35,U62:Y62)+Calibration!$L$35*Z62</f>
        <v>0.326046548952621</v>
      </c>
      <c r="AB62" s="24" t="n">
        <f aca="false">Calibration!$M$36+Calibration!$N$36+SUMPRODUCT(Calibration!$B$36:$F$36,J62:N62)+SUMPRODUCT(Calibration!$G$36:$K$36,U62:Y62)+Calibration!$L$36*Z62</f>
        <v>0.152879303361561</v>
      </c>
      <c r="AC62" s="24" t="n">
        <f aca="false">Calibration!$M$37+Calibration!$N$37+SUMPRODUCT(Calibration!$B$37:$F$37,J62:N62)+SUMPRODUCT(Calibration!$G$37:$K$37,U62:Y62)+Calibration!$L$37*Z62</f>
        <v>0.346074718511616</v>
      </c>
      <c r="AD62" s="27" t="n">
        <f aca="false">EXP(AC62)/(EXP(AA62)+EXP(AB62)+EXP(AC62))</f>
        <v>0.356570823872379</v>
      </c>
      <c r="AE62" s="7" t="str">
        <f aca="false">IF(AC62=MAX(AA62:AC62),"TVK",IF(AB62=MAX(AA62:AC62),"DMK+","AIADMK+"))</f>
        <v>TVK</v>
      </c>
      <c r="AF62" s="7" t="str">
        <f aca="false">IF(AE62=R62,"Yes","No")</f>
        <v>Yes</v>
      </c>
      <c r="AG62" s="7" t="str">
        <f aca="false">IF(AE62=P62,"No","Yes")</f>
        <v>No</v>
      </c>
      <c r="AH62" s="7" t="str">
        <f aca="false">IF(H62=MAX(D62,E62,H62),"TVK",IF(E62=MAX(D62,E62,H62),"DMK+","AIADMK+"))</f>
        <v>TVK</v>
      </c>
      <c r="AI62" s="27" t="n">
        <f aca="false">EXP(AA62)/(EXP(AA62)+EXP(AB62)+EXP(AC62))</f>
        <v>0.349500403088709</v>
      </c>
      <c r="AJ62" s="27" t="n">
        <f aca="false">EXP(AB62)/(EXP(AA62)+EXP(AB62)+EXP(AC62))</f>
        <v>0.293928773038912</v>
      </c>
      <c r="AK62" s="28" t="s">
        <v>4</v>
      </c>
      <c r="AL62" s="7" t="str">
        <f aca="false">IF(AK62=R62,"Yes","No")</f>
        <v>No</v>
      </c>
      <c r="AM62" s="27" t="n">
        <f aca="false">IF(AK62="TVK",AD62,IF(AK62="DMK+",AJ62,AI62))</f>
        <v>0.349500403088709</v>
      </c>
      <c r="AN62" s="7" t="str">
        <f aca="false">IF(AK62=P62,"No","Yes")</f>
        <v>Yes</v>
      </c>
    </row>
    <row r="63" customFormat="false" ht="15" hidden="true" customHeight="false" outlineLevel="0" collapsed="false">
      <c r="A63" s="0" t="n">
        <v>59</v>
      </c>
      <c r="B63" s="4" t="s">
        <v>102</v>
      </c>
      <c r="C63" s="5" t="s">
        <v>102</v>
      </c>
      <c r="D63" s="35" t="n">
        <v>31</v>
      </c>
      <c r="E63" s="35" t="n">
        <v>14</v>
      </c>
      <c r="F63" s="35"/>
      <c r="G63" s="35" t="n">
        <v>3</v>
      </c>
      <c r="H63" s="35" t="n">
        <v>25</v>
      </c>
      <c r="I63" s="5" t="n">
        <f aca="false">SUM(D63:H63)</f>
        <v>73</v>
      </c>
      <c r="J63" s="10" t="n">
        <f aca="false">IF($I63=0,0,D63/$I63)</f>
        <v>0.424657534246575</v>
      </c>
      <c r="K63" s="10" t="n">
        <f aca="false">IF($I63=0,0,E63/$I63)</f>
        <v>0.191780821917808</v>
      </c>
      <c r="L63" s="10" t="n">
        <f aca="false">IF($I63=0,0,F63/$I63)</f>
        <v>0</v>
      </c>
      <c r="M63" s="10" t="n">
        <f aca="false">IF($I63=0,0,G63/$I63)</f>
        <v>0.0410958904109589</v>
      </c>
      <c r="N63" s="10" t="n">
        <f aca="false">IF($I63=0,0,H63/$I63)</f>
        <v>0.342465753424658</v>
      </c>
      <c r="O63" s="35" t="s">
        <v>218</v>
      </c>
      <c r="P63" s="0" t="str">
        <f aca="false">IF(O63="TVK","TVK",IF(O63="DMK","DMK+",IF(O63="ADMK","AIADMK+","")))</f>
        <v>AIADMK+</v>
      </c>
      <c r="Q63" s="35" t="s">
        <v>251</v>
      </c>
      <c r="R63" s="36" t="s">
        <v>4</v>
      </c>
      <c r="S63" s="0" t="str">
        <f aca="false">IF(P63=R63,"Yes","No")</f>
        <v>Yes</v>
      </c>
      <c r="T63" s="2"/>
      <c r="U63" s="27" t="n">
        <f aca="false">IFERROR(SUMIFS($D$5:$D$238,$C$5:$C$238,$C63)/SUMIFS($I$5:$I$238,$C$5:$C$238,$C63),0)</f>
        <v>0.40084388185654</v>
      </c>
      <c r="V63" s="27" t="n">
        <f aca="false">IFERROR(SUMIFS($E$5:$E$238,$C$5:$C$238,$C63)/SUMIFS($I$5:$I$238,$C$5:$C$238,$C63),0)</f>
        <v>0.189873417721519</v>
      </c>
      <c r="W63" s="27" t="n">
        <f aca="false">IFERROR(SUMIFS($F$5:$F$238,$C$5:$C$238,$C63)/SUMIFS($I$5:$I$238,$C$5:$C$238,$C63),0)</f>
        <v>0.00843881856540084</v>
      </c>
      <c r="X63" s="27" t="n">
        <f aca="false">IFERROR(SUMIFS($G$5:$G$238,$C$5:$C$238,$C63)/SUMIFS($I$5:$I$238,$C$5:$C$238,$C63),0)</f>
        <v>0.0675105485232068</v>
      </c>
      <c r="Y63" s="27" t="n">
        <f aca="false">IFERROR(SUMIFS($H$5:$H$238,$C$5:$C$238,$C63)/SUMIFS($I$5:$I$238,$C$5:$C$238,$C63),0)</f>
        <v>0.333333333333333</v>
      </c>
      <c r="Z63" s="24" t="n">
        <f aca="false">LN(MAX(I63,1))</f>
        <v>4.29045944114839</v>
      </c>
      <c r="AA63" s="24" t="n">
        <f aca="false">Calibration!$M$35+Calibration!$N$35+SUMPRODUCT(Calibration!$B$35:$F$35,J63:N63)+SUMPRODUCT(Calibration!$G$35:$K$35,U63:Y63)+Calibration!$L$35*Z63</f>
        <v>0.199841004307828</v>
      </c>
      <c r="AB63" s="24" t="n">
        <f aca="false">Calibration!$M$36+Calibration!$N$36+SUMPRODUCT(Calibration!$B$36:$F$36,J63:N63)+SUMPRODUCT(Calibration!$G$36:$K$36,U63:Y63)+Calibration!$L$36*Z63</f>
        <v>-0.348004972153029</v>
      </c>
      <c r="AC63" s="24" t="n">
        <f aca="false">Calibration!$M$37+Calibration!$N$37+SUMPRODUCT(Calibration!$B$37:$F$37,J63:N63)+SUMPRODUCT(Calibration!$G$37:$K$37,U63:Y63)+Calibration!$L$37*Z63</f>
        <v>0.973164500184371</v>
      </c>
      <c r="AD63" s="27" t="n">
        <f aca="false">EXP(AC63)/(EXP(AA63)+EXP(AB63)+EXP(AC63))</f>
        <v>0.578603292655163</v>
      </c>
      <c r="AE63" s="7" t="str">
        <f aca="false">IF(AC63=MAX(AA63:AC63),"TVK",IF(AB63=MAX(AA63:AC63),"DMK+","AIADMK+"))</f>
        <v>TVK</v>
      </c>
      <c r="AF63" s="7" t="str">
        <f aca="false">IF(AE63=R63,"Yes","No")</f>
        <v>No</v>
      </c>
      <c r="AG63" s="7" t="str">
        <f aca="false">IF(AE63=P63,"No","Yes")</f>
        <v>Yes</v>
      </c>
      <c r="AH63" s="7" t="str">
        <f aca="false">IF(H63=MAX(D63,E63,H63),"TVK",IF(E63=MAX(D63,E63,H63),"DMK+","AIADMK+"))</f>
        <v>AIADMK+</v>
      </c>
      <c r="AI63" s="27" t="n">
        <f aca="false">EXP(AA63)/(EXP(AA63)+EXP(AB63)+EXP(AC63))</f>
        <v>0.267011996306334</v>
      </c>
      <c r="AJ63" s="27" t="n">
        <f aca="false">EXP(AB63)/(EXP(AA63)+EXP(AB63)+EXP(AC63))</f>
        <v>0.154384711038503</v>
      </c>
      <c r="AK63" s="28" t="s">
        <v>3</v>
      </c>
      <c r="AL63" s="7" t="str">
        <f aca="false">IF(AK63=R63,"Yes","No")</f>
        <v>No</v>
      </c>
      <c r="AM63" s="27" t="n">
        <f aca="false">IF(AK63="TVK",AD63,IF(AK63="DMK+",AJ63,AI63))</f>
        <v>0.578603292655163</v>
      </c>
      <c r="AN63" s="7" t="str">
        <f aca="false">IF(AK63=P63,"No","Yes")</f>
        <v>Yes</v>
      </c>
    </row>
    <row r="64" customFormat="false" ht="15" hidden="true" customHeight="false" outlineLevel="0" collapsed="false">
      <c r="A64" s="0" t="n">
        <v>60</v>
      </c>
      <c r="B64" s="4" t="s">
        <v>252</v>
      </c>
      <c r="C64" s="5" t="s">
        <v>102</v>
      </c>
      <c r="D64" s="35" t="n">
        <v>24</v>
      </c>
      <c r="E64" s="35" t="n">
        <v>7</v>
      </c>
      <c r="F64" s="35" t="n">
        <v>1</v>
      </c>
      <c r="G64" s="35" t="n">
        <v>2</v>
      </c>
      <c r="H64" s="35" t="n">
        <v>10</v>
      </c>
      <c r="I64" s="5" t="n">
        <f aca="false">SUM(D64:H64)</f>
        <v>44</v>
      </c>
      <c r="J64" s="10" t="n">
        <f aca="false">IF($I64=0,0,D64/$I64)</f>
        <v>0.545454545454545</v>
      </c>
      <c r="K64" s="10" t="n">
        <f aca="false">IF($I64=0,0,E64/$I64)</f>
        <v>0.159090909090909</v>
      </c>
      <c r="L64" s="10" t="n">
        <f aca="false">IF($I64=0,0,F64/$I64)</f>
        <v>0.0227272727272727</v>
      </c>
      <c r="M64" s="10" t="n">
        <f aca="false">IF($I64=0,0,G64/$I64)</f>
        <v>0.0454545454545455</v>
      </c>
      <c r="N64" s="10" t="n">
        <f aca="false">IF($I64=0,0,H64/$I64)</f>
        <v>0.227272727272727</v>
      </c>
      <c r="O64" s="35" t="s">
        <v>218</v>
      </c>
      <c r="P64" s="0" t="str">
        <f aca="false">IF(O64="TVK","TVK",IF(O64="DMK","DMK+",IF(O64="ADMK","AIADMK+","")))</f>
        <v>AIADMK+</v>
      </c>
      <c r="Q64" s="35" t="s">
        <v>196</v>
      </c>
      <c r="R64" s="36" t="s">
        <v>4</v>
      </c>
      <c r="S64" s="0" t="str">
        <f aca="false">IF(P64=R64,"Yes","No")</f>
        <v>Yes</v>
      </c>
      <c r="T64" s="2"/>
      <c r="U64" s="27" t="n">
        <f aca="false">IFERROR(SUMIFS($D$5:$D$238,$C$5:$C$238,$C64)/SUMIFS($I$5:$I$238,$C$5:$C$238,$C64),0)</f>
        <v>0.40084388185654</v>
      </c>
      <c r="V64" s="27" t="n">
        <f aca="false">IFERROR(SUMIFS($E$5:$E$238,$C$5:$C$238,$C64)/SUMIFS($I$5:$I$238,$C$5:$C$238,$C64),0)</f>
        <v>0.189873417721519</v>
      </c>
      <c r="W64" s="27" t="n">
        <f aca="false">IFERROR(SUMIFS($F$5:$F$238,$C$5:$C$238,$C64)/SUMIFS($I$5:$I$238,$C$5:$C$238,$C64),0)</f>
        <v>0.00843881856540084</v>
      </c>
      <c r="X64" s="27" t="n">
        <f aca="false">IFERROR(SUMIFS($G$5:$G$238,$C$5:$C$238,$C64)/SUMIFS($I$5:$I$238,$C$5:$C$238,$C64),0)</f>
        <v>0.0675105485232068</v>
      </c>
      <c r="Y64" s="27" t="n">
        <f aca="false">IFERROR(SUMIFS($H$5:$H$238,$C$5:$C$238,$C64)/SUMIFS($I$5:$I$238,$C$5:$C$238,$C64),0)</f>
        <v>0.333333333333333</v>
      </c>
      <c r="Z64" s="24" t="n">
        <f aca="false">LN(MAX(I64,1))</f>
        <v>3.78418963391826</v>
      </c>
      <c r="AA64" s="24" t="n">
        <f aca="false">Calibration!$M$35+Calibration!$N$35+SUMPRODUCT(Calibration!$B$35:$F$35,J64:N64)+SUMPRODUCT(Calibration!$G$35:$K$35,U64:Y64)+Calibration!$L$35*Z64</f>
        <v>0.619358779573685</v>
      </c>
      <c r="AB64" s="24" t="n">
        <f aca="false">Calibration!$M$36+Calibration!$N$36+SUMPRODUCT(Calibration!$B$36:$F$36,J64:N64)+SUMPRODUCT(Calibration!$G$36:$K$36,U64:Y64)+Calibration!$L$36*Z64</f>
        <v>-0.132035927562552</v>
      </c>
      <c r="AC64" s="24" t="n">
        <f aca="false">Calibration!$M$37+Calibration!$N$37+SUMPRODUCT(Calibration!$B$37:$F$37,J64:N64)+SUMPRODUCT(Calibration!$G$37:$K$37,U64:Y64)+Calibration!$L$37*Z64</f>
        <v>0.337677565135011</v>
      </c>
      <c r="AD64" s="27" t="n">
        <f aca="false">EXP(AC64)/(EXP(AA64)+EXP(AB64)+EXP(AC64))</f>
        <v>0.338921297102799</v>
      </c>
      <c r="AE64" s="7" t="str">
        <f aca="false">IF(AC64=MAX(AA64:AC64),"TVK",IF(AB64=MAX(AA64:AC64),"DMK+","AIADMK+"))</f>
        <v>AIADMK+</v>
      </c>
      <c r="AF64" s="7" t="str">
        <f aca="false">IF(AE64=R64,"Yes","No")</f>
        <v>Yes</v>
      </c>
      <c r="AG64" s="7" t="str">
        <f aca="false">IF(AE64=P64,"No","Yes")</f>
        <v>No</v>
      </c>
      <c r="AH64" s="7" t="str">
        <f aca="false">IF(H64=MAX(D64,E64,H64),"TVK",IF(E64=MAX(D64,E64,H64),"DMK+","AIADMK+"))</f>
        <v>AIADMK+</v>
      </c>
      <c r="AI64" s="27" t="n">
        <f aca="false">EXP(AA64)/(EXP(AA64)+EXP(AB64)+EXP(AC64))</f>
        <v>0.449191424881896</v>
      </c>
      <c r="AJ64" s="27" t="n">
        <f aca="false">EXP(AB64)/(EXP(AA64)+EXP(AB64)+EXP(AC64))</f>
        <v>0.211887278015305</v>
      </c>
      <c r="AK64" s="28" t="s">
        <v>4</v>
      </c>
      <c r="AL64" s="7" t="str">
        <f aca="false">IF(AK64=R64,"Yes","No")</f>
        <v>Yes</v>
      </c>
      <c r="AM64" s="27" t="n">
        <f aca="false">IF(AK64="TVK",AD64,IF(AK64="DMK+",AJ64,AI64))</f>
        <v>0.449191424881896</v>
      </c>
      <c r="AN64" s="7" t="str">
        <f aca="false">IF(AK64=P64,"No","Yes")</f>
        <v>No</v>
      </c>
    </row>
    <row r="65" customFormat="false" ht="15" hidden="true" customHeight="false" outlineLevel="0" collapsed="false">
      <c r="A65" s="0" t="n">
        <v>61</v>
      </c>
      <c r="B65" s="4" t="s">
        <v>253</v>
      </c>
      <c r="C65" s="5" t="s">
        <v>102</v>
      </c>
      <c r="D65" s="35" t="n">
        <v>16</v>
      </c>
      <c r="E65" s="35" t="n">
        <v>7</v>
      </c>
      <c r="F65" s="35"/>
      <c r="G65" s="35" t="n">
        <v>3</v>
      </c>
      <c r="H65" s="35" t="n">
        <v>16</v>
      </c>
      <c r="I65" s="5" t="n">
        <f aca="false">SUM(D65:H65)</f>
        <v>42</v>
      </c>
      <c r="J65" s="10" t="n">
        <f aca="false">IF($I65=0,0,D65/$I65)</f>
        <v>0.380952380952381</v>
      </c>
      <c r="K65" s="10" t="n">
        <f aca="false">IF($I65=0,0,E65/$I65)</f>
        <v>0.166666666666667</v>
      </c>
      <c r="L65" s="10" t="n">
        <f aca="false">IF($I65=0,0,F65/$I65)</f>
        <v>0</v>
      </c>
      <c r="M65" s="10" t="n">
        <f aca="false">IF($I65=0,0,G65/$I65)</f>
        <v>0.0714285714285714</v>
      </c>
      <c r="N65" s="10" t="n">
        <f aca="false">IF($I65=0,0,H65/$I65)</f>
        <v>0.380952380952381</v>
      </c>
      <c r="O65" s="35" t="s">
        <v>218</v>
      </c>
      <c r="P65" s="0" t="str">
        <f aca="false">IF(O65="TVK","TVK",IF(O65="DMK","DMK+",IF(O65="ADMK","AIADMK+","")))</f>
        <v>AIADMK+</v>
      </c>
      <c r="Q65" s="35" t="s">
        <v>196</v>
      </c>
      <c r="R65" s="36" t="s">
        <v>4</v>
      </c>
      <c r="S65" s="0" t="str">
        <f aca="false">IF(P65=R65,"Yes","No")</f>
        <v>Yes</v>
      </c>
      <c r="T65" s="2"/>
      <c r="U65" s="27" t="n">
        <f aca="false">IFERROR(SUMIFS($D$5:$D$238,$C$5:$C$238,$C65)/SUMIFS($I$5:$I$238,$C$5:$C$238,$C65),0)</f>
        <v>0.40084388185654</v>
      </c>
      <c r="V65" s="27" t="n">
        <f aca="false">IFERROR(SUMIFS($E$5:$E$238,$C$5:$C$238,$C65)/SUMIFS($I$5:$I$238,$C$5:$C$238,$C65),0)</f>
        <v>0.189873417721519</v>
      </c>
      <c r="W65" s="27" t="n">
        <f aca="false">IFERROR(SUMIFS($F$5:$F$238,$C$5:$C$238,$C65)/SUMIFS($I$5:$I$238,$C$5:$C$238,$C65),0)</f>
        <v>0.00843881856540084</v>
      </c>
      <c r="X65" s="27" t="n">
        <f aca="false">IFERROR(SUMIFS($G$5:$G$238,$C$5:$C$238,$C65)/SUMIFS($I$5:$I$238,$C$5:$C$238,$C65),0)</f>
        <v>0.0675105485232068</v>
      </c>
      <c r="Y65" s="27" t="n">
        <f aca="false">IFERROR(SUMIFS($H$5:$H$238,$C$5:$C$238,$C65)/SUMIFS($I$5:$I$238,$C$5:$C$238,$C65),0)</f>
        <v>0.333333333333333</v>
      </c>
      <c r="Z65" s="24" t="n">
        <f aca="false">LN(MAX(I65,1))</f>
        <v>3.73766961828337</v>
      </c>
      <c r="AA65" s="24" t="n">
        <f aca="false">Calibration!$M$35+Calibration!$N$35+SUMPRODUCT(Calibration!$B$35:$F$35,J65:N65)+SUMPRODUCT(Calibration!$G$35:$K$35,U65:Y65)+Calibration!$L$35*Z65</f>
        <v>0.462207668000241</v>
      </c>
      <c r="AB65" s="24" t="n">
        <f aca="false">Calibration!$M$36+Calibration!$N$36+SUMPRODUCT(Calibration!$B$36:$F$36,J65:N65)+SUMPRODUCT(Calibration!$G$36:$K$36,U65:Y65)+Calibration!$L$36*Z65</f>
        <v>-0.00605614901939156</v>
      </c>
      <c r="AC65" s="24" t="n">
        <f aca="false">Calibration!$M$37+Calibration!$N$37+SUMPRODUCT(Calibration!$B$37:$F$37,J65:N65)+SUMPRODUCT(Calibration!$G$37:$K$37,U65:Y65)+Calibration!$L$37*Z65</f>
        <v>0.368849051844949</v>
      </c>
      <c r="AD65" s="27" t="n">
        <f aca="false">EXP(AC65)/(EXP(AA65)+EXP(AB65)+EXP(AC65))</f>
        <v>0.35903937883978</v>
      </c>
      <c r="AE65" s="7" t="str">
        <f aca="false">IF(AC65=MAX(AA65:AC65),"TVK",IF(AB65=MAX(AA65:AC65),"DMK+","AIADMK+"))</f>
        <v>AIADMK+</v>
      </c>
      <c r="AF65" s="7" t="str">
        <f aca="false">IF(AE65=R65,"Yes","No")</f>
        <v>Yes</v>
      </c>
      <c r="AG65" s="7" t="str">
        <f aca="false">IF(AE65=P65,"No","Yes")</f>
        <v>No</v>
      </c>
      <c r="AH65" s="7" t="str">
        <f aca="false">IF(H65=MAX(D65,E65,H65),"TVK",IF(E65=MAX(D65,E65,H65),"DMK+","AIADMK+"))</f>
        <v>TVK</v>
      </c>
      <c r="AI65" s="27" t="n">
        <f aca="false">EXP(AA65)/(EXP(AA65)+EXP(AB65)+EXP(AC65))</f>
        <v>0.394173311305091</v>
      </c>
      <c r="AJ65" s="27" t="n">
        <f aca="false">EXP(AB65)/(EXP(AA65)+EXP(AB65)+EXP(AC65))</f>
        <v>0.246787309855129</v>
      </c>
      <c r="AK65" s="28" t="s">
        <v>4</v>
      </c>
      <c r="AL65" s="7" t="str">
        <f aca="false">IF(AK65=R65,"Yes","No")</f>
        <v>Yes</v>
      </c>
      <c r="AM65" s="27" t="n">
        <f aca="false">IF(AK65="TVK",AD65,IF(AK65="DMK+",AJ65,AI65))</f>
        <v>0.394173311305091</v>
      </c>
      <c r="AN65" s="7" t="str">
        <f aca="false">IF(AK65=P65,"No","Yes")</f>
        <v>No</v>
      </c>
    </row>
    <row r="66" customFormat="false" ht="15" hidden="false" customHeight="false" outlineLevel="0" collapsed="false">
      <c r="A66" s="0" t="n">
        <v>62</v>
      </c>
      <c r="B66" s="4" t="s">
        <v>254</v>
      </c>
      <c r="C66" s="5" t="s">
        <v>158</v>
      </c>
      <c r="D66" s="35" t="n">
        <v>6</v>
      </c>
      <c r="E66" s="35" t="n">
        <v>5</v>
      </c>
      <c r="F66" s="35"/>
      <c r="G66" s="35"/>
      <c r="H66" s="35" t="n">
        <v>11</v>
      </c>
      <c r="I66" s="5" t="n">
        <f aca="false">SUM(D66:H66)</f>
        <v>22</v>
      </c>
      <c r="J66" s="10" t="n">
        <f aca="false">IF($I66=0,0,D66/$I66)</f>
        <v>0.272727272727273</v>
      </c>
      <c r="K66" s="10" t="n">
        <f aca="false">IF($I66=0,0,E66/$I66)</f>
        <v>0.227272727272727</v>
      </c>
      <c r="L66" s="10" t="n">
        <f aca="false">IF($I66=0,0,F66/$I66)</f>
        <v>0</v>
      </c>
      <c r="M66" s="10" t="n">
        <f aca="false">IF($I66=0,0,G66/$I66)</f>
        <v>0</v>
      </c>
      <c r="N66" s="10" t="n">
        <f aca="false">IF($I66=0,0,H66/$I66)</f>
        <v>0.5</v>
      </c>
      <c r="O66" s="35" t="s">
        <v>3</v>
      </c>
      <c r="P66" s="0" t="str">
        <f aca="false">IF(O66="TVK","TVK",IF(O66="DMK","DMK+",IF(O66="ADMK","AIADMK+","")))</f>
        <v>TVK</v>
      </c>
      <c r="Q66" s="35" t="s">
        <v>196</v>
      </c>
      <c r="R66" s="36" t="s">
        <v>4</v>
      </c>
      <c r="S66" s="0" t="str">
        <f aca="false">IF(P66=R66,"Yes","No")</f>
        <v>No</v>
      </c>
      <c r="T66" s="2"/>
      <c r="U66" s="27" t="n">
        <f aca="false">IFERROR(SUMIFS($D$5:$D$238,$C$5:$C$238,$C66)/SUMIFS($I$5:$I$238,$C$5:$C$238,$C66),0)</f>
        <v>0.298245614035088</v>
      </c>
      <c r="V66" s="27" t="n">
        <f aca="false">IFERROR(SUMIFS($E$5:$E$238,$C$5:$C$238,$C66)/SUMIFS($I$5:$I$238,$C$5:$C$238,$C66),0)</f>
        <v>0.175438596491228</v>
      </c>
      <c r="W66" s="27" t="n">
        <f aca="false">IFERROR(SUMIFS($F$5:$F$238,$C$5:$C$238,$C66)/SUMIFS($I$5:$I$238,$C$5:$C$238,$C66),0)</f>
        <v>0.00584795321637427</v>
      </c>
      <c r="X66" s="27" t="n">
        <f aca="false">IFERROR(SUMIFS($G$5:$G$238,$C$5:$C$238,$C66)/SUMIFS($I$5:$I$238,$C$5:$C$238,$C66),0)</f>
        <v>0.0292397660818713</v>
      </c>
      <c r="Y66" s="27" t="n">
        <f aca="false">IFERROR(SUMIFS($H$5:$H$238,$C$5:$C$238,$C66)/SUMIFS($I$5:$I$238,$C$5:$C$238,$C66),0)</f>
        <v>0.491228070175439</v>
      </c>
      <c r="Z66" s="24" t="n">
        <f aca="false">LN(MAX(I66,1))</f>
        <v>3.09104245335832</v>
      </c>
      <c r="AA66" s="24" t="n">
        <f aca="false">Calibration!$M$35+Calibration!$N$35+SUMPRODUCT(Calibration!$B$35:$F$35,J66:N66)+SUMPRODUCT(Calibration!$G$35:$K$35,U66:Y66)+Calibration!$L$35*Z66</f>
        <v>0.58479627947607</v>
      </c>
      <c r="AB66" s="24" t="n">
        <f aca="false">Calibration!$M$36+Calibration!$N$36+SUMPRODUCT(Calibration!$B$36:$F$36,J66:N66)+SUMPRODUCT(Calibration!$G$36:$K$36,U66:Y66)+Calibration!$L$36*Z66</f>
        <v>0.388348275958488</v>
      </c>
      <c r="AC66" s="24" t="n">
        <f aca="false">Calibration!$M$37+Calibration!$N$37+SUMPRODUCT(Calibration!$B$37:$F$37,J66:N66)+SUMPRODUCT(Calibration!$G$37:$K$37,U66:Y66)+Calibration!$L$37*Z66</f>
        <v>-0.148143879995962</v>
      </c>
      <c r="AD66" s="27" t="n">
        <f aca="false">EXP(AC66)/(EXP(AA66)+EXP(AB66)+EXP(AC66))</f>
        <v>0.208716476929683</v>
      </c>
      <c r="AE66" s="7" t="str">
        <f aca="false">IF(AC66=MAX(AA66:AC66),"TVK",IF(AB66=MAX(AA66:AC66),"DMK+","AIADMK+"))</f>
        <v>AIADMK+</v>
      </c>
      <c r="AF66" s="7" t="str">
        <f aca="false">IF(AE66=R66,"Yes","No")</f>
        <v>Yes</v>
      </c>
      <c r="AG66" s="7" t="str">
        <f aca="false">IF(AE66=P66,"No","Yes")</f>
        <v>Yes</v>
      </c>
      <c r="AH66" s="7" t="str">
        <f aca="false">IF(H66=MAX(D66,E66,H66),"TVK",IF(E66=MAX(D66,E66,H66),"DMK+","AIADMK+"))</f>
        <v>TVK</v>
      </c>
      <c r="AI66" s="27" t="n">
        <f aca="false">EXP(AA66)/(EXP(AA66)+EXP(AB66)+EXP(AC66))</f>
        <v>0.434378781003087</v>
      </c>
      <c r="AJ66" s="27" t="n">
        <f aca="false">EXP(AB66)/(EXP(AA66)+EXP(AB66)+EXP(AC66))</f>
        <v>0.35690474206723</v>
      </c>
      <c r="AK66" s="28" t="s">
        <v>4</v>
      </c>
      <c r="AL66" s="7" t="str">
        <f aca="false">IF(AK66=R66,"Yes","No")</f>
        <v>Yes</v>
      </c>
      <c r="AM66" s="27" t="n">
        <f aca="false">IF(AK66="TVK",AD66,IF(AK66="DMK+",AJ66,AI66))</f>
        <v>0.434378781003087</v>
      </c>
      <c r="AN66" s="7" t="str">
        <f aca="false">IF(AK66=P66,"No","Yes")</f>
        <v>Yes</v>
      </c>
    </row>
    <row r="67" customFormat="false" ht="15" hidden="true" customHeight="false" outlineLevel="0" collapsed="false">
      <c r="A67" s="0" t="n">
        <v>63</v>
      </c>
      <c r="B67" s="4" t="s">
        <v>158</v>
      </c>
      <c r="C67" s="5" t="s">
        <v>158</v>
      </c>
      <c r="D67" s="35" t="n">
        <v>7</v>
      </c>
      <c r="E67" s="35" t="n">
        <v>13</v>
      </c>
      <c r="F67" s="35"/>
      <c r="G67" s="35" t="n">
        <v>1</v>
      </c>
      <c r="H67" s="35" t="n">
        <v>12</v>
      </c>
      <c r="I67" s="5" t="n">
        <f aca="false">SUM(D67:H67)</f>
        <v>33</v>
      </c>
      <c r="J67" s="10" t="n">
        <f aca="false">IF($I67=0,0,D67/$I67)</f>
        <v>0.212121212121212</v>
      </c>
      <c r="K67" s="10" t="n">
        <f aca="false">IF($I67=0,0,E67/$I67)</f>
        <v>0.393939393939394</v>
      </c>
      <c r="L67" s="10" t="n">
        <f aca="false">IF($I67=0,0,F67/$I67)</f>
        <v>0</v>
      </c>
      <c r="M67" s="10" t="n">
        <f aca="false">IF($I67=0,0,G67/$I67)</f>
        <v>0.0303030303030303</v>
      </c>
      <c r="N67" s="10" t="n">
        <f aca="false">IF($I67=0,0,H67/$I67)</f>
        <v>0.363636363636364</v>
      </c>
      <c r="O67" s="35" t="s">
        <v>197</v>
      </c>
      <c r="P67" s="0" t="str">
        <f aca="false">IF(O67="TVK","TVK",IF(O67="DMK","DMK+",IF(O67="ADMK","AIADMK+","")))</f>
        <v>DMK+</v>
      </c>
      <c r="Q67" s="35" t="s">
        <v>197</v>
      </c>
      <c r="R67" s="36" t="s">
        <v>5</v>
      </c>
      <c r="S67" s="0" t="str">
        <f aca="false">IF(P67=R67,"Yes","No")</f>
        <v>Yes</v>
      </c>
      <c r="T67" s="2"/>
      <c r="U67" s="27" t="n">
        <f aca="false">IFERROR(SUMIFS($D$5:$D$238,$C$5:$C$238,$C67)/SUMIFS($I$5:$I$238,$C$5:$C$238,$C67),0)</f>
        <v>0.298245614035088</v>
      </c>
      <c r="V67" s="27" t="n">
        <f aca="false">IFERROR(SUMIFS($E$5:$E$238,$C$5:$C$238,$C67)/SUMIFS($I$5:$I$238,$C$5:$C$238,$C67),0)</f>
        <v>0.175438596491228</v>
      </c>
      <c r="W67" s="27" t="n">
        <f aca="false">IFERROR(SUMIFS($F$5:$F$238,$C$5:$C$238,$C67)/SUMIFS($I$5:$I$238,$C$5:$C$238,$C67),0)</f>
        <v>0.00584795321637427</v>
      </c>
      <c r="X67" s="27" t="n">
        <f aca="false">IFERROR(SUMIFS($G$5:$G$238,$C$5:$C$238,$C67)/SUMIFS($I$5:$I$238,$C$5:$C$238,$C67),0)</f>
        <v>0.0292397660818713</v>
      </c>
      <c r="Y67" s="27" t="n">
        <f aca="false">IFERROR(SUMIFS($H$5:$H$238,$C$5:$C$238,$C67)/SUMIFS($I$5:$I$238,$C$5:$C$238,$C67),0)</f>
        <v>0.491228070175439</v>
      </c>
      <c r="Z67" s="24" t="n">
        <f aca="false">LN(MAX(I67,1))</f>
        <v>3.49650756146648</v>
      </c>
      <c r="AA67" s="24" t="n">
        <f aca="false">Calibration!$M$35+Calibration!$N$35+SUMPRODUCT(Calibration!$B$35:$F$35,J67:N67)+SUMPRODUCT(Calibration!$G$35:$K$35,U67:Y67)+Calibration!$L$35*Z67</f>
        <v>0.223401626023433</v>
      </c>
      <c r="AB67" s="24" t="n">
        <f aca="false">Calibration!$M$36+Calibration!$N$36+SUMPRODUCT(Calibration!$B$36:$F$36,J67:N67)+SUMPRODUCT(Calibration!$G$36:$K$36,U67:Y67)+Calibration!$L$36*Z67</f>
        <v>0.417420373941433</v>
      </c>
      <c r="AC67" s="24" t="n">
        <f aca="false">Calibration!$M$37+Calibration!$N$37+SUMPRODUCT(Calibration!$B$37:$F$37,J67:N67)+SUMPRODUCT(Calibration!$G$37:$K$37,U67:Y67)+Calibration!$L$37*Z67</f>
        <v>0.184178539110094</v>
      </c>
      <c r="AD67" s="27" t="n">
        <f aca="false">EXP(AC67)/(EXP(AA67)+EXP(AB67)+EXP(AC67))</f>
        <v>0.302783555281655</v>
      </c>
      <c r="AE67" s="7" t="str">
        <f aca="false">IF(AC67=MAX(AA67:AC67),"TVK",IF(AB67=MAX(AA67:AC67),"DMK+","AIADMK+"))</f>
        <v>DMK+</v>
      </c>
      <c r="AF67" s="7" t="str">
        <f aca="false">IF(AE67=R67,"Yes","No")</f>
        <v>Yes</v>
      </c>
      <c r="AG67" s="7" t="str">
        <f aca="false">IF(AE67=P67,"No","Yes")</f>
        <v>No</v>
      </c>
      <c r="AH67" s="7" t="str">
        <f aca="false">IF(H67=MAX(D67,E67,H67),"TVK",IF(E67=MAX(D67,E67,H67),"DMK+","AIADMK+"))</f>
        <v>DMK+</v>
      </c>
      <c r="AI67" s="27" t="n">
        <f aca="false">EXP(AA67)/(EXP(AA67)+EXP(AB67)+EXP(AC67))</f>
        <v>0.314895644978739</v>
      </c>
      <c r="AJ67" s="27" t="n">
        <f aca="false">EXP(AB67)/(EXP(AA67)+EXP(AB67)+EXP(AC67))</f>
        <v>0.382320799739606</v>
      </c>
      <c r="AK67" s="28" t="s">
        <v>5</v>
      </c>
      <c r="AL67" s="7" t="str">
        <f aca="false">IF(AK67=R67,"Yes","No")</f>
        <v>Yes</v>
      </c>
      <c r="AM67" s="27" t="n">
        <f aca="false">IF(AK67="TVK",AD67,IF(AK67="DMK+",AJ67,AI67))</f>
        <v>0.382320799739606</v>
      </c>
      <c r="AN67" s="7" t="str">
        <f aca="false">IF(AK67=P67,"No","Yes")</f>
        <v>No</v>
      </c>
    </row>
    <row r="68" customFormat="false" ht="15" hidden="false" customHeight="false" outlineLevel="0" collapsed="false">
      <c r="A68" s="0" t="n">
        <v>64</v>
      </c>
      <c r="B68" s="4" t="s">
        <v>255</v>
      </c>
      <c r="C68" s="5" t="s">
        <v>158</v>
      </c>
      <c r="D68" s="35" t="n">
        <v>4</v>
      </c>
      <c r="E68" s="35"/>
      <c r="F68" s="35"/>
      <c r="G68" s="35" t="n">
        <v>1</v>
      </c>
      <c r="H68" s="35" t="n">
        <v>14</v>
      </c>
      <c r="I68" s="5" t="n">
        <f aca="false">SUM(D68:H68)</f>
        <v>19</v>
      </c>
      <c r="J68" s="10" t="n">
        <f aca="false">IF($I68=0,0,D68/$I68)</f>
        <v>0.210526315789474</v>
      </c>
      <c r="K68" s="10" t="n">
        <f aca="false">IF($I68=0,0,E68/$I68)</f>
        <v>0</v>
      </c>
      <c r="L68" s="10" t="n">
        <f aca="false">IF($I68=0,0,F68/$I68)</f>
        <v>0</v>
      </c>
      <c r="M68" s="10" t="n">
        <f aca="false">IF($I68=0,0,G68/$I68)</f>
        <v>0.0526315789473684</v>
      </c>
      <c r="N68" s="10" t="n">
        <f aca="false">IF($I68=0,0,H68/$I68)</f>
        <v>0.736842105263158</v>
      </c>
      <c r="O68" s="35" t="s">
        <v>3</v>
      </c>
      <c r="P68" s="0" t="str">
        <f aca="false">IF(O68="TVK","TVK",IF(O68="DMK","DMK+",IF(O68="ADMK","AIADMK+","")))</f>
        <v>TVK</v>
      </c>
      <c r="Q68" s="35" t="s">
        <v>196</v>
      </c>
      <c r="R68" s="36" t="s">
        <v>4</v>
      </c>
      <c r="S68" s="0" t="str">
        <f aca="false">IF(P68=R68,"Yes","No")</f>
        <v>No</v>
      </c>
      <c r="T68" s="2"/>
      <c r="U68" s="27" t="n">
        <f aca="false">IFERROR(SUMIFS($D$5:$D$238,$C$5:$C$238,$C68)/SUMIFS($I$5:$I$238,$C$5:$C$238,$C68),0)</f>
        <v>0.298245614035088</v>
      </c>
      <c r="V68" s="27" t="n">
        <f aca="false">IFERROR(SUMIFS($E$5:$E$238,$C$5:$C$238,$C68)/SUMIFS($I$5:$I$238,$C$5:$C$238,$C68),0)</f>
        <v>0.175438596491228</v>
      </c>
      <c r="W68" s="27" t="n">
        <f aca="false">IFERROR(SUMIFS($F$5:$F$238,$C$5:$C$238,$C68)/SUMIFS($I$5:$I$238,$C$5:$C$238,$C68),0)</f>
        <v>0.00584795321637427</v>
      </c>
      <c r="X68" s="27" t="n">
        <f aca="false">IFERROR(SUMIFS($G$5:$G$238,$C$5:$C$238,$C68)/SUMIFS($I$5:$I$238,$C$5:$C$238,$C68),0)</f>
        <v>0.0292397660818713</v>
      </c>
      <c r="Y68" s="27" t="n">
        <f aca="false">IFERROR(SUMIFS($H$5:$H$238,$C$5:$C$238,$C68)/SUMIFS($I$5:$I$238,$C$5:$C$238,$C68),0)</f>
        <v>0.491228070175439</v>
      </c>
      <c r="Z68" s="24" t="n">
        <f aca="false">LN(MAX(I68,1))</f>
        <v>2.94443897916644</v>
      </c>
      <c r="AA68" s="24" t="n">
        <f aca="false">Calibration!$M$35+Calibration!$N$35+SUMPRODUCT(Calibration!$B$35:$F$35,J68:N68)+SUMPRODUCT(Calibration!$G$35:$K$35,U68:Y68)+Calibration!$L$35*Z68</f>
        <v>0.730220523487716</v>
      </c>
      <c r="AB68" s="24" t="n">
        <f aca="false">Calibration!$M$36+Calibration!$N$36+SUMPRODUCT(Calibration!$B$36:$F$36,J68:N68)+SUMPRODUCT(Calibration!$G$36:$K$36,U68:Y68)+Calibration!$L$36*Z68</f>
        <v>0.212845150597478</v>
      </c>
      <c r="AC68" s="24" t="n">
        <f aca="false">Calibration!$M$37+Calibration!$N$37+SUMPRODUCT(Calibration!$B$37:$F$37,J68:N68)+SUMPRODUCT(Calibration!$G$37:$K$37,U68:Y68)+Calibration!$L$37*Z68</f>
        <v>-0.118064761804493</v>
      </c>
      <c r="AD68" s="27" t="n">
        <f aca="false">EXP(AC68)/(EXP(AA68)+EXP(AB68)+EXP(AC68))</f>
        <v>0.211511611404478</v>
      </c>
      <c r="AE68" s="7" t="str">
        <f aca="false">IF(AC68=MAX(AA68:AC68),"TVK",IF(AB68=MAX(AA68:AC68),"DMK+","AIADMK+"))</f>
        <v>AIADMK+</v>
      </c>
      <c r="AF68" s="7" t="str">
        <f aca="false">IF(AE68=R68,"Yes","No")</f>
        <v>Yes</v>
      </c>
      <c r="AG68" s="7" t="str">
        <f aca="false">IF(AE68=P68,"No","Yes")</f>
        <v>Yes</v>
      </c>
      <c r="AH68" s="7" t="str">
        <f aca="false">IF(H68=MAX(D68,E68,H68),"TVK",IF(E68=MAX(D68,E68,H68),"DMK+","AIADMK+"))</f>
        <v>TVK</v>
      </c>
      <c r="AI68" s="27" t="n">
        <f aca="false">EXP(AA68)/(EXP(AA68)+EXP(AB68)+EXP(AC68))</f>
        <v>0.49401465489594</v>
      </c>
      <c r="AJ68" s="27" t="n">
        <f aca="false">EXP(AB68)/(EXP(AA68)+EXP(AB68)+EXP(AC68))</f>
        <v>0.294473733699582</v>
      </c>
      <c r="AK68" s="28" t="s">
        <v>4</v>
      </c>
      <c r="AL68" s="7" t="str">
        <f aca="false">IF(AK68=R68,"Yes","No")</f>
        <v>Yes</v>
      </c>
      <c r="AM68" s="27" t="n">
        <f aca="false">IF(AK68="TVK",AD68,IF(AK68="DMK+",AJ68,AI68))</f>
        <v>0.49401465489594</v>
      </c>
      <c r="AN68" s="7" t="str">
        <f aca="false">IF(AK68=P68,"No","Yes")</f>
        <v>Yes</v>
      </c>
    </row>
    <row r="69" customFormat="false" ht="15" hidden="false" customHeight="false" outlineLevel="0" collapsed="false">
      <c r="A69" s="0" t="n">
        <v>65</v>
      </c>
      <c r="B69" s="4" t="s">
        <v>256</v>
      </c>
      <c r="C69" s="5" t="s">
        <v>158</v>
      </c>
      <c r="D69" s="35" t="n">
        <v>4</v>
      </c>
      <c r="E69" s="35" t="n">
        <v>2</v>
      </c>
      <c r="F69" s="35"/>
      <c r="G69" s="35"/>
      <c r="H69" s="35" t="n">
        <v>8</v>
      </c>
      <c r="I69" s="5" t="n">
        <f aca="false">SUM(D69:H69)</f>
        <v>14</v>
      </c>
      <c r="J69" s="10" t="n">
        <f aca="false">IF($I69=0,0,D69/$I69)</f>
        <v>0.285714285714286</v>
      </c>
      <c r="K69" s="10" t="n">
        <f aca="false">IF($I69=0,0,E69/$I69)</f>
        <v>0.142857142857143</v>
      </c>
      <c r="L69" s="10" t="n">
        <f aca="false">IF($I69=0,0,F69/$I69)</f>
        <v>0</v>
      </c>
      <c r="M69" s="10" t="n">
        <f aca="false">IF($I69=0,0,G69/$I69)</f>
        <v>0</v>
      </c>
      <c r="N69" s="10" t="n">
        <f aca="false">IF($I69=0,0,H69/$I69)</f>
        <v>0.571428571428571</v>
      </c>
      <c r="O69" s="35" t="s">
        <v>3</v>
      </c>
      <c r="P69" s="0" t="str">
        <f aca="false">IF(O69="TVK","TVK",IF(O69="DMK","DMK+",IF(O69="ADMK","AIADMK+","")))</f>
        <v>TVK</v>
      </c>
      <c r="Q69" s="35" t="s">
        <v>196</v>
      </c>
      <c r="R69" s="36" t="s">
        <v>4</v>
      </c>
      <c r="S69" s="0" t="str">
        <f aca="false">IF(P69=R69,"Yes","No")</f>
        <v>No</v>
      </c>
      <c r="T69" s="2"/>
      <c r="U69" s="27" t="n">
        <f aca="false">IFERROR(SUMIFS($D$5:$D$238,$C$5:$C$238,$C69)/SUMIFS($I$5:$I$238,$C$5:$C$238,$C69),0)</f>
        <v>0.298245614035088</v>
      </c>
      <c r="V69" s="27" t="n">
        <f aca="false">IFERROR(SUMIFS($E$5:$E$238,$C$5:$C$238,$C69)/SUMIFS($I$5:$I$238,$C$5:$C$238,$C69),0)</f>
        <v>0.175438596491228</v>
      </c>
      <c r="W69" s="27" t="n">
        <f aca="false">IFERROR(SUMIFS($F$5:$F$238,$C$5:$C$238,$C69)/SUMIFS($I$5:$I$238,$C$5:$C$238,$C69),0)</f>
        <v>0.00584795321637427</v>
      </c>
      <c r="X69" s="27" t="n">
        <f aca="false">IFERROR(SUMIFS($G$5:$G$238,$C$5:$C$238,$C69)/SUMIFS($I$5:$I$238,$C$5:$C$238,$C69),0)</f>
        <v>0.0292397660818713</v>
      </c>
      <c r="Y69" s="27" t="n">
        <f aca="false">IFERROR(SUMIFS($H$5:$H$238,$C$5:$C$238,$C69)/SUMIFS($I$5:$I$238,$C$5:$C$238,$C69),0)</f>
        <v>0.491228070175439</v>
      </c>
      <c r="Z69" s="24" t="n">
        <f aca="false">LN(MAX(I69,1))</f>
        <v>2.63905732961526</v>
      </c>
      <c r="AA69" s="24" t="n">
        <f aca="false">Calibration!$M$35+Calibration!$N$35+SUMPRODUCT(Calibration!$B$35:$F$35,J69:N69)+SUMPRODUCT(Calibration!$G$35:$K$35,U69:Y69)+Calibration!$L$35*Z69</f>
        <v>0.881102899277341</v>
      </c>
      <c r="AB69" s="24" t="n">
        <f aca="false">Calibration!$M$36+Calibration!$N$36+SUMPRODUCT(Calibration!$B$36:$F$36,J69:N69)+SUMPRODUCT(Calibration!$G$36:$K$36,U69:Y69)+Calibration!$L$36*Z69</f>
        <v>0.542006918639916</v>
      </c>
      <c r="AC69" s="24" t="n">
        <f aca="false">Calibration!$M$37+Calibration!$N$37+SUMPRODUCT(Calibration!$B$37:$F$37,J69:N69)+SUMPRODUCT(Calibration!$G$37:$K$37,U69:Y69)+Calibration!$L$37*Z69</f>
        <v>-0.598109071050089</v>
      </c>
      <c r="AD69" s="27" t="n">
        <f aca="false">EXP(AC69)/(EXP(AA69)+EXP(AB69)+EXP(AC69))</f>
        <v>0.117417523697635</v>
      </c>
      <c r="AE69" s="7" t="str">
        <f aca="false">IF(AC69=MAX(AA69:AC69),"TVK",IF(AB69=MAX(AA69:AC69),"DMK+","AIADMK+"))</f>
        <v>AIADMK+</v>
      </c>
      <c r="AF69" s="7" t="str">
        <f aca="false">IF(AE69=R69,"Yes","No")</f>
        <v>Yes</v>
      </c>
      <c r="AG69" s="7" t="str">
        <f aca="false">IF(AE69=P69,"No","Yes")</f>
        <v>Yes</v>
      </c>
      <c r="AH69" s="7" t="str">
        <f aca="false">IF(H69=MAX(D69,E69,H69),"TVK",IF(E69=MAX(D69,E69,H69),"DMK+","AIADMK+"))</f>
        <v>TVK</v>
      </c>
      <c r="AI69" s="27" t="n">
        <f aca="false">EXP(AA69)/(EXP(AA69)+EXP(AB69)+EXP(AC69))</f>
        <v>0.515402491063291</v>
      </c>
      <c r="AJ69" s="27" t="n">
        <f aca="false">EXP(AB69)/(EXP(AA69)+EXP(AB69)+EXP(AC69))</f>
        <v>0.367179985239074</v>
      </c>
      <c r="AK69" s="28" t="s">
        <v>4</v>
      </c>
      <c r="AL69" s="7" t="str">
        <f aca="false">IF(AK69=R69,"Yes","No")</f>
        <v>Yes</v>
      </c>
      <c r="AM69" s="27" t="n">
        <f aca="false">IF(AK69="TVK",AD69,IF(AK69="DMK+",AJ69,AI69))</f>
        <v>0.515402491063291</v>
      </c>
      <c r="AN69" s="7" t="str">
        <f aca="false">IF(AK69=P69,"No","Yes")</f>
        <v>Yes</v>
      </c>
    </row>
    <row r="70" customFormat="false" ht="15" hidden="false" customHeight="false" outlineLevel="0" collapsed="false">
      <c r="A70" s="0" t="n">
        <v>66</v>
      </c>
      <c r="B70" s="4" t="s">
        <v>257</v>
      </c>
      <c r="C70" s="5" t="s">
        <v>158</v>
      </c>
      <c r="D70" s="35" t="n">
        <v>10</v>
      </c>
      <c r="E70" s="35" t="n">
        <v>1</v>
      </c>
      <c r="F70" s="35"/>
      <c r="G70" s="35" t="n">
        <v>1</v>
      </c>
      <c r="H70" s="35" t="n">
        <v>13</v>
      </c>
      <c r="I70" s="5" t="n">
        <f aca="false">SUM(D70:H70)</f>
        <v>25</v>
      </c>
      <c r="J70" s="10" t="n">
        <f aca="false">IF($I70=0,0,D70/$I70)</f>
        <v>0.4</v>
      </c>
      <c r="K70" s="10" t="n">
        <f aca="false">IF($I70=0,0,E70/$I70)</f>
        <v>0.04</v>
      </c>
      <c r="L70" s="10" t="n">
        <f aca="false">IF($I70=0,0,F70/$I70)</f>
        <v>0</v>
      </c>
      <c r="M70" s="10" t="n">
        <f aca="false">IF($I70=0,0,G70/$I70)</f>
        <v>0.04</v>
      </c>
      <c r="N70" s="10" t="n">
        <f aca="false">IF($I70=0,0,H70/$I70)</f>
        <v>0.52</v>
      </c>
      <c r="O70" s="35" t="s">
        <v>3</v>
      </c>
      <c r="P70" s="0" t="str">
        <f aca="false">IF(O70="TVK","TVK",IF(O70="DMK","DMK+",IF(O70="ADMK","AIADMK+","")))</f>
        <v>TVK</v>
      </c>
      <c r="Q70" s="35" t="s">
        <v>3</v>
      </c>
      <c r="R70" s="36" t="s">
        <v>3</v>
      </c>
      <c r="S70" s="0" t="str">
        <f aca="false">IF(P70=R70,"Yes","No")</f>
        <v>Yes</v>
      </c>
      <c r="T70" s="2"/>
      <c r="U70" s="27" t="n">
        <f aca="false">IFERROR(SUMIFS($D$5:$D$238,$C$5:$C$238,$C70)/SUMIFS($I$5:$I$238,$C$5:$C$238,$C70),0)</f>
        <v>0.298245614035088</v>
      </c>
      <c r="V70" s="27" t="n">
        <f aca="false">IFERROR(SUMIFS($E$5:$E$238,$C$5:$C$238,$C70)/SUMIFS($I$5:$I$238,$C$5:$C$238,$C70),0)</f>
        <v>0.175438596491228</v>
      </c>
      <c r="W70" s="27" t="n">
        <f aca="false">IFERROR(SUMIFS($F$5:$F$238,$C$5:$C$238,$C70)/SUMIFS($I$5:$I$238,$C$5:$C$238,$C70),0)</f>
        <v>0.00584795321637427</v>
      </c>
      <c r="X70" s="27" t="n">
        <f aca="false">IFERROR(SUMIFS($G$5:$G$238,$C$5:$C$238,$C70)/SUMIFS($I$5:$I$238,$C$5:$C$238,$C70),0)</f>
        <v>0.0292397660818713</v>
      </c>
      <c r="Y70" s="27" t="n">
        <f aca="false">IFERROR(SUMIFS($H$5:$H$238,$C$5:$C$238,$C70)/SUMIFS($I$5:$I$238,$C$5:$C$238,$C70),0)</f>
        <v>0.491228070175439</v>
      </c>
      <c r="Z70" s="24" t="n">
        <f aca="false">LN(MAX(I70,1))</f>
        <v>3.2188758248682</v>
      </c>
      <c r="AA70" s="24" t="n">
        <f aca="false">Calibration!$M$35+Calibration!$N$35+SUMPRODUCT(Calibration!$B$35:$F$35,J70:N70)+SUMPRODUCT(Calibration!$G$35:$K$35,U70:Y70)+Calibration!$L$35*Z70</f>
        <v>0.765956952944589</v>
      </c>
      <c r="AB70" s="24" t="n">
        <f aca="false">Calibration!$M$36+Calibration!$N$36+SUMPRODUCT(Calibration!$B$36:$F$36,J70:N70)+SUMPRODUCT(Calibration!$G$36:$K$36,U70:Y70)+Calibration!$L$36*Z70</f>
        <v>0.000950885963575843</v>
      </c>
      <c r="AC70" s="24" t="n">
        <f aca="false">Calibration!$M$37+Calibration!$N$37+SUMPRODUCT(Calibration!$B$37:$F$37,J70:N70)+SUMPRODUCT(Calibration!$G$37:$K$37,U70:Y70)+Calibration!$L$37*Z70</f>
        <v>0.0580928565304308</v>
      </c>
      <c r="AD70" s="27" t="n">
        <f aca="false">EXP(AC70)/(EXP(AA70)+EXP(AB70)+EXP(AC70))</f>
        <v>0.251628574096883</v>
      </c>
      <c r="AE70" s="7" t="str">
        <f aca="false">IF(AC70=MAX(AA70:AC70),"TVK",IF(AB70=MAX(AA70:AC70),"DMK+","AIADMK+"))</f>
        <v>AIADMK+</v>
      </c>
      <c r="AF70" s="7" t="str">
        <f aca="false">IF(AE70=R70,"Yes","No")</f>
        <v>No</v>
      </c>
      <c r="AG70" s="7" t="str">
        <f aca="false">IF(AE70=P70,"No","Yes")</f>
        <v>Yes</v>
      </c>
      <c r="AH70" s="7" t="str">
        <f aca="false">IF(H70=MAX(D70,E70,H70),"TVK",IF(E70=MAX(D70,E70,H70),"DMK+","AIADMK+"))</f>
        <v>TVK</v>
      </c>
      <c r="AI70" s="27" t="n">
        <f aca="false">EXP(AA70)/(EXP(AA70)+EXP(AB70)+EXP(AC70))</f>
        <v>0.510718309270869</v>
      </c>
      <c r="AJ70" s="27" t="n">
        <f aca="false">EXP(AB70)/(EXP(AA70)+EXP(AB70)+EXP(AC70))</f>
        <v>0.237653116632248</v>
      </c>
      <c r="AK70" s="28" t="s">
        <v>4</v>
      </c>
      <c r="AL70" s="7" t="str">
        <f aca="false">IF(AK70=R70,"Yes","No")</f>
        <v>No</v>
      </c>
      <c r="AM70" s="27" t="n">
        <f aca="false">IF(AK70="TVK",AD70,IF(AK70="DMK+",AJ70,AI70))</f>
        <v>0.510718309270869</v>
      </c>
      <c r="AN70" s="7" t="str">
        <f aca="false">IF(AK70=P70,"No","Yes")</f>
        <v>Yes</v>
      </c>
    </row>
    <row r="71" customFormat="false" ht="15" hidden="false" customHeight="false" outlineLevel="0" collapsed="false">
      <c r="A71" s="0" t="n">
        <v>67</v>
      </c>
      <c r="B71" s="4" t="s">
        <v>258</v>
      </c>
      <c r="C71" s="5" t="s">
        <v>158</v>
      </c>
      <c r="D71" s="35" t="n">
        <v>11</v>
      </c>
      <c r="E71" s="35" t="n">
        <v>5</v>
      </c>
      <c r="F71" s="35"/>
      <c r="G71" s="35"/>
      <c r="H71" s="35" t="n">
        <v>14</v>
      </c>
      <c r="I71" s="5" t="n">
        <f aca="false">SUM(D71:H71)</f>
        <v>30</v>
      </c>
      <c r="J71" s="10" t="n">
        <f aca="false">IF($I71=0,0,D71/$I71)</f>
        <v>0.366666666666667</v>
      </c>
      <c r="K71" s="10" t="n">
        <f aca="false">IF($I71=0,0,E71/$I71)</f>
        <v>0.166666666666667</v>
      </c>
      <c r="L71" s="10" t="n">
        <f aca="false">IF($I71=0,0,F71/$I71)</f>
        <v>0</v>
      </c>
      <c r="M71" s="10" t="n">
        <f aca="false">IF($I71=0,0,G71/$I71)</f>
        <v>0</v>
      </c>
      <c r="N71" s="10" t="n">
        <f aca="false">IF($I71=0,0,H71/$I71)</f>
        <v>0.466666666666667</v>
      </c>
      <c r="O71" s="35" t="s">
        <v>3</v>
      </c>
      <c r="P71" s="0" t="str">
        <f aca="false">IF(O71="TVK","TVK",IF(O71="DMK","DMK+",IF(O71="ADMK","AIADMK+","")))</f>
        <v>TVK</v>
      </c>
      <c r="Q71" s="35" t="s">
        <v>196</v>
      </c>
      <c r="R71" s="36" t="s">
        <v>4</v>
      </c>
      <c r="S71" s="0" t="str">
        <f aca="false">IF(P71=R71,"Yes","No")</f>
        <v>No</v>
      </c>
      <c r="T71" s="2"/>
      <c r="U71" s="27" t="n">
        <f aca="false">IFERROR(SUMIFS($D$5:$D$238,$C$5:$C$238,$C71)/SUMIFS($I$5:$I$238,$C$5:$C$238,$C71),0)</f>
        <v>0.298245614035088</v>
      </c>
      <c r="V71" s="27" t="n">
        <f aca="false">IFERROR(SUMIFS($E$5:$E$238,$C$5:$C$238,$C71)/SUMIFS($I$5:$I$238,$C$5:$C$238,$C71),0)</f>
        <v>0.175438596491228</v>
      </c>
      <c r="W71" s="27" t="n">
        <f aca="false">IFERROR(SUMIFS($F$5:$F$238,$C$5:$C$238,$C71)/SUMIFS($I$5:$I$238,$C$5:$C$238,$C71),0)</f>
        <v>0.00584795321637427</v>
      </c>
      <c r="X71" s="27" t="n">
        <f aca="false">IFERROR(SUMIFS($G$5:$G$238,$C$5:$C$238,$C71)/SUMIFS($I$5:$I$238,$C$5:$C$238,$C71),0)</f>
        <v>0.0292397660818713</v>
      </c>
      <c r="Y71" s="27" t="n">
        <f aca="false">IFERROR(SUMIFS($H$5:$H$238,$C$5:$C$238,$C71)/SUMIFS($I$5:$I$238,$C$5:$C$238,$C71),0)</f>
        <v>0.491228070175439</v>
      </c>
      <c r="Z71" s="24" t="n">
        <f aca="false">LN(MAX(I71,1))</f>
        <v>3.40119738166216</v>
      </c>
      <c r="AA71" s="24" t="n">
        <f aca="false">Calibration!$M$35+Calibration!$N$35+SUMPRODUCT(Calibration!$B$35:$F$35,J71:N71)+SUMPRODUCT(Calibration!$G$35:$K$35,U71:Y71)+Calibration!$L$35*Z71</f>
        <v>0.556802317467473</v>
      </c>
      <c r="AB71" s="24" t="n">
        <f aca="false">Calibration!$M$36+Calibration!$N$36+SUMPRODUCT(Calibration!$B$36:$F$36,J71:N71)+SUMPRODUCT(Calibration!$G$36:$K$36,U71:Y71)+Calibration!$L$36*Z71</f>
        <v>0.0648532322908788</v>
      </c>
      <c r="AC71" s="24" t="n">
        <f aca="false">Calibration!$M$37+Calibration!$N$37+SUMPRODUCT(Calibration!$B$37:$F$37,J71:N71)+SUMPRODUCT(Calibration!$G$37:$K$37,U71:Y71)+Calibration!$L$37*Z71</f>
        <v>0.203345092346911</v>
      </c>
      <c r="AD71" s="27" t="n">
        <f aca="false">EXP(AC71)/(EXP(AA71)+EXP(AB71)+EXP(AC71))</f>
        <v>0.303522154847702</v>
      </c>
      <c r="AE71" s="7" t="str">
        <f aca="false">IF(AC71=MAX(AA71:AC71),"TVK",IF(AB71=MAX(AA71:AC71),"DMK+","AIADMK+"))</f>
        <v>AIADMK+</v>
      </c>
      <c r="AF71" s="7" t="str">
        <f aca="false">IF(AE71=R71,"Yes","No")</f>
        <v>Yes</v>
      </c>
      <c r="AG71" s="7" t="str">
        <f aca="false">IF(AE71=P71,"No","Yes")</f>
        <v>Yes</v>
      </c>
      <c r="AH71" s="7" t="str">
        <f aca="false">IF(H71=MAX(D71,E71,H71),"TVK",IF(E71=MAX(D71,E71,H71),"DMK+","AIADMK+"))</f>
        <v>TVK</v>
      </c>
      <c r="AI71" s="27" t="n">
        <f aca="false">EXP(AA71)/(EXP(AA71)+EXP(AB71)+EXP(AC71))</f>
        <v>0.432210107864571</v>
      </c>
      <c r="AJ71" s="27" t="n">
        <f aca="false">EXP(AB71)/(EXP(AA71)+EXP(AB71)+EXP(AC71))</f>
        <v>0.264267737287728</v>
      </c>
      <c r="AK71" s="28" t="s">
        <v>3</v>
      </c>
      <c r="AL71" s="7" t="str">
        <f aca="false">IF(AK71=R71,"Yes","No")</f>
        <v>No</v>
      </c>
      <c r="AM71" s="27" t="n">
        <f aca="false">IF(AK71="TVK",AD71,IF(AK71="DMK+",AJ71,AI71))</f>
        <v>0.303522154847702</v>
      </c>
      <c r="AN71" s="7" t="str">
        <f aca="false">IF(AK71=P71,"No","Yes")</f>
        <v>No</v>
      </c>
    </row>
    <row r="72" customFormat="false" ht="15" hidden="false" customHeight="false" outlineLevel="0" collapsed="false">
      <c r="A72" s="0" t="n">
        <v>68</v>
      </c>
      <c r="B72" s="4" t="s">
        <v>259</v>
      </c>
      <c r="C72" s="5" t="s">
        <v>158</v>
      </c>
      <c r="D72" s="35" t="n">
        <v>6</v>
      </c>
      <c r="E72" s="35" t="n">
        <v>1</v>
      </c>
      <c r="F72" s="35" t="n">
        <v>1</v>
      </c>
      <c r="G72" s="35" t="n">
        <v>2</v>
      </c>
      <c r="H72" s="35" t="n">
        <v>6</v>
      </c>
      <c r="I72" s="5" t="n">
        <f aca="false">SUM(D72:H72)</f>
        <v>16</v>
      </c>
      <c r="J72" s="10" t="n">
        <f aca="false">IF($I72=0,0,D72/$I72)</f>
        <v>0.375</v>
      </c>
      <c r="K72" s="10" t="n">
        <f aca="false">IF($I72=0,0,E72/$I72)</f>
        <v>0.0625</v>
      </c>
      <c r="L72" s="10" t="n">
        <f aca="false">IF($I72=0,0,F72/$I72)</f>
        <v>0.0625</v>
      </c>
      <c r="M72" s="10" t="n">
        <f aca="false">IF($I72=0,0,G72/$I72)</f>
        <v>0.125</v>
      </c>
      <c r="N72" s="10" t="n">
        <f aca="false">IF($I72=0,0,H72/$I72)</f>
        <v>0.375</v>
      </c>
      <c r="O72" s="35" t="s">
        <v>3</v>
      </c>
      <c r="P72" s="0" t="str">
        <f aca="false">IF(O72="TVK","TVK",IF(O72="DMK","DMK+",IF(O72="ADMK","AIADMK+","")))</f>
        <v>TVK</v>
      </c>
      <c r="Q72" s="35" t="s">
        <v>196</v>
      </c>
      <c r="R72" s="36" t="s">
        <v>4</v>
      </c>
      <c r="S72" s="0" t="str">
        <f aca="false">IF(P72=R72,"Yes","No")</f>
        <v>No</v>
      </c>
      <c r="T72" s="2"/>
      <c r="U72" s="27" t="n">
        <f aca="false">IFERROR(SUMIFS($D$5:$D$238,$C$5:$C$238,$C72)/SUMIFS($I$5:$I$238,$C$5:$C$238,$C72),0)</f>
        <v>0.298245614035088</v>
      </c>
      <c r="V72" s="27" t="n">
        <f aca="false">IFERROR(SUMIFS($E$5:$E$238,$C$5:$C$238,$C72)/SUMIFS($I$5:$I$238,$C$5:$C$238,$C72),0)</f>
        <v>0.175438596491228</v>
      </c>
      <c r="W72" s="27" t="n">
        <f aca="false">IFERROR(SUMIFS($F$5:$F$238,$C$5:$C$238,$C72)/SUMIFS($I$5:$I$238,$C$5:$C$238,$C72),0)</f>
        <v>0.00584795321637427</v>
      </c>
      <c r="X72" s="27" t="n">
        <f aca="false">IFERROR(SUMIFS($G$5:$G$238,$C$5:$C$238,$C72)/SUMIFS($I$5:$I$238,$C$5:$C$238,$C72),0)</f>
        <v>0.0292397660818713</v>
      </c>
      <c r="Y72" s="27" t="n">
        <f aca="false">IFERROR(SUMIFS($H$5:$H$238,$C$5:$C$238,$C72)/SUMIFS($I$5:$I$238,$C$5:$C$238,$C72),0)</f>
        <v>0.491228070175439</v>
      </c>
      <c r="Z72" s="24" t="n">
        <f aca="false">LN(MAX(I72,1))</f>
        <v>2.77258872223978</v>
      </c>
      <c r="AA72" s="24" t="n">
        <f aca="false">Calibration!$M$35+Calibration!$N$35+SUMPRODUCT(Calibration!$B$35:$F$35,J72:N72)+SUMPRODUCT(Calibration!$G$35:$K$35,U72:Y72)+Calibration!$L$35*Z72</f>
        <v>0.995747834804722</v>
      </c>
      <c r="AB72" s="24" t="n">
        <f aca="false">Calibration!$M$36+Calibration!$N$36+SUMPRODUCT(Calibration!$B$36:$F$36,J72:N72)+SUMPRODUCT(Calibration!$G$36:$K$36,U72:Y72)+Calibration!$L$36*Z72</f>
        <v>0.378541698031081</v>
      </c>
      <c r="AC72" s="24" t="n">
        <f aca="false">Calibration!$M$37+Calibration!$N$37+SUMPRODUCT(Calibration!$B$37:$F$37,J72:N72)+SUMPRODUCT(Calibration!$G$37:$K$37,U72:Y72)+Calibration!$L$37*Z72</f>
        <v>-0.549288982397207</v>
      </c>
      <c r="AD72" s="27" t="n">
        <f aca="false">EXP(AC72)/(EXP(AA72)+EXP(AB72)+EXP(AC72))</f>
        <v>0.121696529382788</v>
      </c>
      <c r="AE72" s="7" t="str">
        <f aca="false">IF(AC72=MAX(AA72:AC72),"TVK",IF(AB72=MAX(AA72:AC72),"DMK+","AIADMK+"))</f>
        <v>AIADMK+</v>
      </c>
      <c r="AF72" s="7" t="str">
        <f aca="false">IF(AE72=R72,"Yes","No")</f>
        <v>Yes</v>
      </c>
      <c r="AG72" s="7" t="str">
        <f aca="false">IF(AE72=P72,"No","Yes")</f>
        <v>Yes</v>
      </c>
      <c r="AH72" s="7" t="str">
        <f aca="false">IF(H72=MAX(D72,E72,H72),"TVK",IF(E72=MAX(D72,E72,H72),"DMK+","AIADMK+"))</f>
        <v>TVK</v>
      </c>
      <c r="AI72" s="27" t="n">
        <f aca="false">EXP(AA72)/(EXP(AA72)+EXP(AB72)+EXP(AC72))</f>
        <v>0.570530881817567</v>
      </c>
      <c r="AJ72" s="27" t="n">
        <f aca="false">EXP(AB72)/(EXP(AA72)+EXP(AB72)+EXP(AC72))</f>
        <v>0.307772588799645</v>
      </c>
      <c r="AK72" s="28" t="s">
        <v>4</v>
      </c>
      <c r="AL72" s="7" t="str">
        <f aca="false">IF(AK72=R72,"Yes","No")</f>
        <v>Yes</v>
      </c>
      <c r="AM72" s="27" t="n">
        <f aca="false">IF(AK72="TVK",AD72,IF(AK72="DMK+",AJ72,AI72))</f>
        <v>0.570530881817567</v>
      </c>
      <c r="AN72" s="7" t="str">
        <f aca="false">IF(AK72=P72,"No","Yes")</f>
        <v>Yes</v>
      </c>
    </row>
    <row r="73" customFormat="false" ht="15" hidden="false" customHeight="false" outlineLevel="0" collapsed="false">
      <c r="A73" s="0" t="n">
        <v>69</v>
      </c>
      <c r="B73" s="4" t="s">
        <v>260</v>
      </c>
      <c r="C73" s="5" t="s">
        <v>158</v>
      </c>
      <c r="D73" s="35" t="n">
        <v>3</v>
      </c>
      <c r="E73" s="35" t="n">
        <v>3</v>
      </c>
      <c r="F73" s="35"/>
      <c r="G73" s="35"/>
      <c r="H73" s="35" t="n">
        <v>6</v>
      </c>
      <c r="I73" s="5" t="n">
        <f aca="false">SUM(D73:H73)</f>
        <v>12</v>
      </c>
      <c r="J73" s="10" t="n">
        <f aca="false">IF($I73=0,0,D73/$I73)</f>
        <v>0.25</v>
      </c>
      <c r="K73" s="10" t="n">
        <f aca="false">IF($I73=0,0,E73/$I73)</f>
        <v>0.25</v>
      </c>
      <c r="L73" s="10" t="n">
        <f aca="false">IF($I73=0,0,F73/$I73)</f>
        <v>0</v>
      </c>
      <c r="M73" s="10" t="n">
        <f aca="false">IF($I73=0,0,G73/$I73)</f>
        <v>0</v>
      </c>
      <c r="N73" s="10" t="n">
        <f aca="false">IF($I73=0,0,H73/$I73)</f>
        <v>0.5</v>
      </c>
      <c r="O73" s="35" t="s">
        <v>3</v>
      </c>
      <c r="P73" s="0" t="str">
        <f aca="false">IF(O73="TVK","TVK",IF(O73="DMK","DMK+",IF(O73="ADMK","AIADMK+","")))</f>
        <v>TVK</v>
      </c>
      <c r="Q73" s="35" t="s">
        <v>197</v>
      </c>
      <c r="R73" s="36" t="s">
        <v>5</v>
      </c>
      <c r="S73" s="0" t="str">
        <f aca="false">IF(P73=R73,"Yes","No")</f>
        <v>No</v>
      </c>
      <c r="T73" s="2"/>
      <c r="U73" s="27" t="n">
        <f aca="false">IFERROR(SUMIFS($D$5:$D$238,$C$5:$C$238,$C73)/SUMIFS($I$5:$I$238,$C$5:$C$238,$C73),0)</f>
        <v>0.298245614035088</v>
      </c>
      <c r="V73" s="27" t="n">
        <f aca="false">IFERROR(SUMIFS($E$5:$E$238,$C$5:$C$238,$C73)/SUMIFS($I$5:$I$238,$C$5:$C$238,$C73),0)</f>
        <v>0.175438596491228</v>
      </c>
      <c r="W73" s="27" t="n">
        <f aca="false">IFERROR(SUMIFS($F$5:$F$238,$C$5:$C$238,$C73)/SUMIFS($I$5:$I$238,$C$5:$C$238,$C73),0)</f>
        <v>0.00584795321637427</v>
      </c>
      <c r="X73" s="27" t="n">
        <f aca="false">IFERROR(SUMIFS($G$5:$G$238,$C$5:$C$238,$C73)/SUMIFS($I$5:$I$238,$C$5:$C$238,$C73),0)</f>
        <v>0.0292397660818713</v>
      </c>
      <c r="Y73" s="27" t="n">
        <f aca="false">IFERROR(SUMIFS($H$5:$H$238,$C$5:$C$238,$C73)/SUMIFS($I$5:$I$238,$C$5:$C$238,$C73),0)</f>
        <v>0.491228070175439</v>
      </c>
      <c r="Z73" s="24" t="n">
        <f aca="false">LN(MAX(I73,1))</f>
        <v>2.484906649788</v>
      </c>
      <c r="AA73" s="24" t="n">
        <f aca="false">Calibration!$M$35+Calibration!$N$35+SUMPRODUCT(Calibration!$B$35:$F$35,J73:N73)+SUMPRODUCT(Calibration!$G$35:$K$35,U73:Y73)+Calibration!$L$35*Z73</f>
        <v>0.864784208080861</v>
      </c>
      <c r="AB73" s="24" t="n">
        <f aca="false">Calibration!$M$36+Calibration!$N$36+SUMPRODUCT(Calibration!$B$36:$F$36,J73:N73)+SUMPRODUCT(Calibration!$G$36:$K$36,U73:Y73)+Calibration!$L$36*Z73</f>
        <v>0.806347793813206</v>
      </c>
      <c r="AC73" s="24" t="n">
        <f aca="false">Calibration!$M$37+Calibration!$N$37+SUMPRODUCT(Calibration!$B$37:$F$37,J73:N73)+SUMPRODUCT(Calibration!$G$37:$K$37,U73:Y73)+Calibration!$L$37*Z73</f>
        <v>-0.846131326455472</v>
      </c>
      <c r="AD73" s="27" t="n">
        <f aca="false">EXP(AC73)/(EXP(AA73)+EXP(AB73)+EXP(AC73))</f>
        <v>0.0850779248002769</v>
      </c>
      <c r="AE73" s="7" t="str">
        <f aca="false">IF(AC73=MAX(AA73:AC73),"TVK",IF(AB73=MAX(AA73:AC73),"DMK+","AIADMK+"))</f>
        <v>AIADMK+</v>
      </c>
      <c r="AF73" s="7" t="str">
        <f aca="false">IF(AE73=R73,"Yes","No")</f>
        <v>No</v>
      </c>
      <c r="AG73" s="7" t="str">
        <f aca="false">IF(AE73=P73,"No","Yes")</f>
        <v>Yes</v>
      </c>
      <c r="AH73" s="7" t="str">
        <f aca="false">IF(H73=MAX(D73,E73,H73),"TVK",IF(E73=MAX(D73,E73,H73),"DMK+","AIADMK+"))</f>
        <v>TVK</v>
      </c>
      <c r="AI73" s="27" t="n">
        <f aca="false">EXP(AA73)/(EXP(AA73)+EXP(AB73)+EXP(AC73))</f>
        <v>0.470823426661832</v>
      </c>
      <c r="AJ73" s="27" t="n">
        <f aca="false">EXP(AB73)/(EXP(AA73)+EXP(AB73)+EXP(AC73))</f>
        <v>0.44409864853789</v>
      </c>
      <c r="AK73" s="28" t="s">
        <v>5</v>
      </c>
      <c r="AL73" s="7" t="str">
        <f aca="false">IF(AK73=R73,"Yes","No")</f>
        <v>Yes</v>
      </c>
      <c r="AM73" s="27" t="n">
        <f aca="false">IF(AK73="TVK",AD73,IF(AK73="DMK+",AJ73,AI73))</f>
        <v>0.44409864853789</v>
      </c>
      <c r="AN73" s="7" t="str">
        <f aca="false">IF(AK73=P73,"No","Yes")</f>
        <v>Yes</v>
      </c>
    </row>
    <row r="74" customFormat="false" ht="15" hidden="true" customHeight="false" outlineLevel="0" collapsed="false">
      <c r="A74" s="0" t="n">
        <v>70</v>
      </c>
      <c r="B74" s="4" t="s">
        <v>261</v>
      </c>
      <c r="C74" s="5" t="s">
        <v>164</v>
      </c>
      <c r="D74" s="35" t="n">
        <v>11</v>
      </c>
      <c r="E74" s="35" t="n">
        <v>6</v>
      </c>
      <c r="F74" s="35"/>
      <c r="G74" s="35" t="n">
        <v>4</v>
      </c>
      <c r="H74" s="35" t="n">
        <v>6</v>
      </c>
      <c r="I74" s="5" t="n">
        <f aca="false">SUM(D74:H74)</f>
        <v>27</v>
      </c>
      <c r="J74" s="10" t="n">
        <f aca="false">IF($I74=0,0,D74/$I74)</f>
        <v>0.407407407407407</v>
      </c>
      <c r="K74" s="10" t="n">
        <f aca="false">IF($I74=0,0,E74/$I74)</f>
        <v>0.222222222222222</v>
      </c>
      <c r="L74" s="10" t="n">
        <f aca="false">IF($I74=0,0,F74/$I74)</f>
        <v>0</v>
      </c>
      <c r="M74" s="10" t="n">
        <f aca="false">IF($I74=0,0,G74/$I74)</f>
        <v>0.148148148148148</v>
      </c>
      <c r="N74" s="10" t="n">
        <f aca="false">IF($I74=0,0,H74/$I74)</f>
        <v>0.222222222222222</v>
      </c>
      <c r="O74" s="35" t="s">
        <v>218</v>
      </c>
      <c r="P74" s="0" t="str">
        <f aca="false">IF(O74="TVK","TVK",IF(O74="DMK","DMK+",IF(O74="ADMK","AIADMK+","")))</f>
        <v>AIADMK+</v>
      </c>
      <c r="Q74" s="35" t="s">
        <v>251</v>
      </c>
      <c r="R74" s="36" t="s">
        <v>4</v>
      </c>
      <c r="S74" s="0" t="str">
        <f aca="false">IF(P74=R74,"Yes","No")</f>
        <v>Yes</v>
      </c>
      <c r="T74" s="2"/>
      <c r="U74" s="27" t="n">
        <f aca="false">IFERROR(SUMIFS($D$5:$D$238,$C$5:$C$238,$C74)/SUMIFS($I$5:$I$238,$C$5:$C$238,$C74),0)</f>
        <v>0.36</v>
      </c>
      <c r="V74" s="27" t="n">
        <f aca="false">IFERROR(SUMIFS($E$5:$E$238,$C$5:$C$238,$C74)/SUMIFS($I$5:$I$238,$C$5:$C$238,$C74),0)</f>
        <v>0.245714285714286</v>
      </c>
      <c r="W74" s="27" t="n">
        <f aca="false">IFERROR(SUMIFS($F$5:$F$238,$C$5:$C$238,$C74)/SUMIFS($I$5:$I$238,$C$5:$C$238,$C74),0)</f>
        <v>0.00571428571428571</v>
      </c>
      <c r="X74" s="27" t="n">
        <f aca="false">IFERROR(SUMIFS($G$5:$G$238,$C$5:$C$238,$C74)/SUMIFS($I$5:$I$238,$C$5:$C$238,$C74),0)</f>
        <v>0.0685714285714286</v>
      </c>
      <c r="Y74" s="27" t="n">
        <f aca="false">IFERROR(SUMIFS($H$5:$H$238,$C$5:$C$238,$C74)/SUMIFS($I$5:$I$238,$C$5:$C$238,$C74),0)</f>
        <v>0.32</v>
      </c>
      <c r="Z74" s="24" t="n">
        <f aca="false">LN(MAX(I74,1))</f>
        <v>3.29583686600433</v>
      </c>
      <c r="AA74" s="24" t="n">
        <f aca="false">Calibration!$M$35+Calibration!$N$35+SUMPRODUCT(Calibration!$B$35:$F$35,J74:N74)+SUMPRODUCT(Calibration!$G$35:$K$35,U74:Y74)+Calibration!$L$35*Z74</f>
        <v>0.65572870670203</v>
      </c>
      <c r="AB74" s="24" t="n">
        <f aca="false">Calibration!$M$36+Calibration!$N$36+SUMPRODUCT(Calibration!$B$36:$F$36,J74:N74)+SUMPRODUCT(Calibration!$G$36:$K$36,U74:Y74)+Calibration!$L$36*Z74</f>
        <v>0.43890084732498</v>
      </c>
      <c r="AC74" s="24" t="n">
        <f aca="false">Calibration!$M$37+Calibration!$N$37+SUMPRODUCT(Calibration!$B$37:$F$37,J74:N74)+SUMPRODUCT(Calibration!$G$37:$K$37,U74:Y74)+Calibration!$L$37*Z74</f>
        <v>-0.269629086090502</v>
      </c>
      <c r="AD74" s="27" t="n">
        <f aca="false">EXP(AC74)/(EXP(AA74)+EXP(AB74)+EXP(AC74))</f>
        <v>0.180057738293626</v>
      </c>
      <c r="AE74" s="7" t="str">
        <f aca="false">IF(AC74=MAX(AA74:AC74),"TVK",IF(AB74=MAX(AA74:AC74),"DMK+","AIADMK+"))</f>
        <v>AIADMK+</v>
      </c>
      <c r="AF74" s="7" t="str">
        <f aca="false">IF(AE74=R74,"Yes","No")</f>
        <v>Yes</v>
      </c>
      <c r="AG74" s="7" t="str">
        <f aca="false">IF(AE74=P74,"No","Yes")</f>
        <v>No</v>
      </c>
      <c r="AH74" s="7" t="str">
        <f aca="false">IF(H74=MAX(D74,E74,H74),"TVK",IF(E74=MAX(D74,E74,H74),"DMK+","AIADMK+"))</f>
        <v>AIADMK+</v>
      </c>
      <c r="AI74" s="27" t="n">
        <f aca="false">EXP(AA74)/(EXP(AA74)+EXP(AB74)+EXP(AC74))</f>
        <v>0.454244391532172</v>
      </c>
      <c r="AJ74" s="27" t="n">
        <f aca="false">EXP(AB74)/(EXP(AA74)+EXP(AB74)+EXP(AC74))</f>
        <v>0.365697870174202</v>
      </c>
      <c r="AK74" s="28" t="s">
        <v>4</v>
      </c>
      <c r="AL74" s="7" t="str">
        <f aca="false">IF(AK74=R74,"Yes","No")</f>
        <v>Yes</v>
      </c>
      <c r="AM74" s="27" t="n">
        <f aca="false">IF(AK74="TVK",AD74,IF(AK74="DMK+",AJ74,AI74))</f>
        <v>0.454244391532172</v>
      </c>
      <c r="AN74" s="7" t="str">
        <f aca="false">IF(AK74=P74,"No","Yes")</f>
        <v>No</v>
      </c>
    </row>
    <row r="75" customFormat="false" ht="15" hidden="true" customHeight="false" outlineLevel="0" collapsed="false">
      <c r="A75" s="0" t="n">
        <v>71</v>
      </c>
      <c r="B75" s="4" t="s">
        <v>262</v>
      </c>
      <c r="C75" s="5" t="s">
        <v>164</v>
      </c>
      <c r="D75" s="35" t="n">
        <v>7</v>
      </c>
      <c r="E75" s="35" t="n">
        <v>1</v>
      </c>
      <c r="F75" s="35"/>
      <c r="G75" s="35"/>
      <c r="H75" s="35" t="n">
        <v>5</v>
      </c>
      <c r="I75" s="5" t="n">
        <f aca="false">SUM(D75:H75)</f>
        <v>13</v>
      </c>
      <c r="J75" s="10" t="n">
        <f aca="false">IF($I75=0,0,D75/$I75)</f>
        <v>0.538461538461538</v>
      </c>
      <c r="K75" s="10" t="n">
        <f aca="false">IF($I75=0,0,E75/$I75)</f>
        <v>0.0769230769230769</v>
      </c>
      <c r="L75" s="10" t="n">
        <f aca="false">IF($I75=0,0,F75/$I75)</f>
        <v>0</v>
      </c>
      <c r="M75" s="10" t="n">
        <f aca="false">IF($I75=0,0,G75/$I75)</f>
        <v>0</v>
      </c>
      <c r="N75" s="10" t="n">
        <f aca="false">IF($I75=0,0,H75/$I75)</f>
        <v>0.384615384615385</v>
      </c>
      <c r="O75" s="35" t="s">
        <v>218</v>
      </c>
      <c r="P75" s="0" t="str">
        <f aca="false">IF(O75="TVK","TVK",IF(O75="DMK","DMK+",IF(O75="ADMK","AIADMK+","")))</f>
        <v>AIADMK+</v>
      </c>
      <c r="Q75" s="35" t="s">
        <v>196</v>
      </c>
      <c r="R75" s="36" t="s">
        <v>4</v>
      </c>
      <c r="S75" s="0" t="str">
        <f aca="false">IF(P75=R75,"Yes","No")</f>
        <v>Yes</v>
      </c>
      <c r="T75" s="2"/>
      <c r="U75" s="27" t="n">
        <f aca="false">IFERROR(SUMIFS($D$5:$D$238,$C$5:$C$238,$C75)/SUMIFS($I$5:$I$238,$C$5:$C$238,$C75),0)</f>
        <v>0.36</v>
      </c>
      <c r="V75" s="27" t="n">
        <f aca="false">IFERROR(SUMIFS($E$5:$E$238,$C$5:$C$238,$C75)/SUMIFS($I$5:$I$238,$C$5:$C$238,$C75),0)</f>
        <v>0.245714285714286</v>
      </c>
      <c r="W75" s="27" t="n">
        <f aca="false">IFERROR(SUMIFS($F$5:$F$238,$C$5:$C$238,$C75)/SUMIFS($I$5:$I$238,$C$5:$C$238,$C75),0)</f>
        <v>0.00571428571428571</v>
      </c>
      <c r="X75" s="27" t="n">
        <f aca="false">IFERROR(SUMIFS($G$5:$G$238,$C$5:$C$238,$C75)/SUMIFS($I$5:$I$238,$C$5:$C$238,$C75),0)</f>
        <v>0.0685714285714286</v>
      </c>
      <c r="Y75" s="27" t="n">
        <f aca="false">IFERROR(SUMIFS($H$5:$H$238,$C$5:$C$238,$C75)/SUMIFS($I$5:$I$238,$C$5:$C$238,$C75),0)</f>
        <v>0.32</v>
      </c>
      <c r="Z75" s="24" t="n">
        <f aca="false">LN(MAX(I75,1))</f>
        <v>2.56494935746154</v>
      </c>
      <c r="AA75" s="24" t="n">
        <f aca="false">Calibration!$M$35+Calibration!$N$35+SUMPRODUCT(Calibration!$B$35:$F$35,J75:N75)+SUMPRODUCT(Calibration!$G$35:$K$35,U75:Y75)+Calibration!$L$35*Z75</f>
        <v>1.22524688922174</v>
      </c>
      <c r="AB75" s="24" t="n">
        <f aca="false">Calibration!$M$36+Calibration!$N$36+SUMPRODUCT(Calibration!$B$36:$F$36,J75:N75)+SUMPRODUCT(Calibration!$G$36:$K$36,U75:Y75)+Calibration!$L$36*Z75</f>
        <v>0.551092255103551</v>
      </c>
      <c r="AC75" s="24" t="n">
        <f aca="false">Calibration!$M$37+Calibration!$N$37+SUMPRODUCT(Calibration!$B$37:$F$37,J75:N75)+SUMPRODUCT(Calibration!$G$37:$K$37,U75:Y75)+Calibration!$L$37*Z75</f>
        <v>-0.951338513995618</v>
      </c>
      <c r="AD75" s="27" t="n">
        <f aca="false">EXP(AC75)/(EXP(AA75)+EXP(AB75)+EXP(AC75))</f>
        <v>0.0698873190480436</v>
      </c>
      <c r="AE75" s="7" t="str">
        <f aca="false">IF(AC75=MAX(AA75:AC75),"TVK",IF(AB75=MAX(AA75:AC75),"DMK+","AIADMK+"))</f>
        <v>AIADMK+</v>
      </c>
      <c r="AF75" s="7" t="str">
        <f aca="false">IF(AE75=R75,"Yes","No")</f>
        <v>Yes</v>
      </c>
      <c r="AG75" s="7" t="str">
        <f aca="false">IF(AE75=P75,"No","Yes")</f>
        <v>No</v>
      </c>
      <c r="AH75" s="7" t="str">
        <f aca="false">IF(H75=MAX(D75,E75,H75),"TVK",IF(E75=MAX(D75,E75,H75),"DMK+","AIADMK+"))</f>
        <v>AIADMK+</v>
      </c>
      <c r="AI75" s="27" t="n">
        <f aca="false">EXP(AA75)/(EXP(AA75)+EXP(AB75)+EXP(AC75))</f>
        <v>0.616137171886531</v>
      </c>
      <c r="AJ75" s="27" t="n">
        <f aca="false">EXP(AB75)/(EXP(AA75)+EXP(AB75)+EXP(AC75))</f>
        <v>0.313975509065426</v>
      </c>
      <c r="AK75" s="28" t="s">
        <v>4</v>
      </c>
      <c r="AL75" s="7" t="str">
        <f aca="false">IF(AK75=R75,"Yes","No")</f>
        <v>Yes</v>
      </c>
      <c r="AM75" s="27" t="n">
        <f aca="false">IF(AK75="TVK",AD75,IF(AK75="DMK+",AJ75,AI75))</f>
        <v>0.616137171886531</v>
      </c>
      <c r="AN75" s="7" t="str">
        <f aca="false">IF(AK75=P75,"No","Yes")</f>
        <v>No</v>
      </c>
    </row>
    <row r="76" customFormat="false" ht="15" hidden="true" customHeight="false" outlineLevel="0" collapsed="false">
      <c r="A76" s="0" t="n">
        <v>72</v>
      </c>
      <c r="B76" s="4" t="s">
        <v>263</v>
      </c>
      <c r="C76" s="5" t="s">
        <v>164</v>
      </c>
      <c r="D76" s="35" t="n">
        <v>2</v>
      </c>
      <c r="E76" s="35" t="n">
        <v>6</v>
      </c>
      <c r="F76" s="35"/>
      <c r="G76" s="35" t="n">
        <v>1</v>
      </c>
      <c r="H76" s="35" t="n">
        <v>4</v>
      </c>
      <c r="I76" s="5" t="n">
        <f aca="false">SUM(D76:H76)</f>
        <v>13</v>
      </c>
      <c r="J76" s="10" t="n">
        <f aca="false">IF($I76=0,0,D76/$I76)</f>
        <v>0.153846153846154</v>
      </c>
      <c r="K76" s="10" t="n">
        <f aca="false">IF($I76=0,0,E76/$I76)</f>
        <v>0.461538461538462</v>
      </c>
      <c r="L76" s="10" t="n">
        <f aca="false">IF($I76=0,0,F76/$I76)</f>
        <v>0</v>
      </c>
      <c r="M76" s="10" t="n">
        <f aca="false">IF($I76=0,0,G76/$I76)</f>
        <v>0.0769230769230769</v>
      </c>
      <c r="N76" s="10" t="n">
        <f aca="false">IF($I76=0,0,H76/$I76)</f>
        <v>0.307692307692308</v>
      </c>
      <c r="O76" s="35" t="s">
        <v>197</v>
      </c>
      <c r="P76" s="0" t="str">
        <f aca="false">IF(O76="TVK","TVK",IF(O76="DMK","DMK+",IF(O76="ADMK","AIADMK+","")))</f>
        <v>DMK+</v>
      </c>
      <c r="Q76" s="35" t="s">
        <v>264</v>
      </c>
      <c r="R76" s="36" t="s">
        <v>5</v>
      </c>
      <c r="S76" s="0" t="str">
        <f aca="false">IF(P76=R76,"Yes","No")</f>
        <v>Yes</v>
      </c>
      <c r="T76" s="2"/>
      <c r="U76" s="27" t="n">
        <f aca="false">IFERROR(SUMIFS($D$5:$D$238,$C$5:$C$238,$C76)/SUMIFS($I$5:$I$238,$C$5:$C$238,$C76),0)</f>
        <v>0.36</v>
      </c>
      <c r="V76" s="27" t="n">
        <f aca="false">IFERROR(SUMIFS($E$5:$E$238,$C$5:$C$238,$C76)/SUMIFS($I$5:$I$238,$C$5:$C$238,$C76),0)</f>
        <v>0.245714285714286</v>
      </c>
      <c r="W76" s="27" t="n">
        <f aca="false">IFERROR(SUMIFS($F$5:$F$238,$C$5:$C$238,$C76)/SUMIFS($I$5:$I$238,$C$5:$C$238,$C76),0)</f>
        <v>0.00571428571428571</v>
      </c>
      <c r="X76" s="27" t="n">
        <f aca="false">IFERROR(SUMIFS($G$5:$G$238,$C$5:$C$238,$C76)/SUMIFS($I$5:$I$238,$C$5:$C$238,$C76),0)</f>
        <v>0.0685714285714286</v>
      </c>
      <c r="Y76" s="27" t="n">
        <f aca="false">IFERROR(SUMIFS($H$5:$H$238,$C$5:$C$238,$C76)/SUMIFS($I$5:$I$238,$C$5:$C$238,$C76),0)</f>
        <v>0.32</v>
      </c>
      <c r="Z76" s="24" t="n">
        <f aca="false">LN(MAX(I76,1))</f>
        <v>2.56494935746154</v>
      </c>
      <c r="AA76" s="24" t="n">
        <f aca="false">Calibration!$M$35+Calibration!$N$35+SUMPRODUCT(Calibration!$B$35:$F$35,J76:N76)+SUMPRODUCT(Calibration!$G$35:$K$35,U76:Y76)+Calibration!$L$35*Z76</f>
        <v>0.61862558152943</v>
      </c>
      <c r="AB76" s="24" t="n">
        <f aca="false">Calibration!$M$36+Calibration!$N$36+SUMPRODUCT(Calibration!$B$36:$F$36,J76:N76)+SUMPRODUCT(Calibration!$G$36:$K$36,U76:Y76)+Calibration!$L$36*Z76</f>
        <v>1.3198711012574</v>
      </c>
      <c r="AC76" s="24" t="n">
        <f aca="false">Calibration!$M$37+Calibration!$N$37+SUMPRODUCT(Calibration!$B$37:$F$37,J76:N76)+SUMPRODUCT(Calibration!$G$37:$K$37,U76:Y76)+Calibration!$L$37*Z76</f>
        <v>-1.11349612938023</v>
      </c>
      <c r="AD76" s="27" t="n">
        <f aca="false">EXP(AC76)/(EXP(AA76)+EXP(AB76)+EXP(AC76))</f>
        <v>0.0554021869941492</v>
      </c>
      <c r="AE76" s="7" t="str">
        <f aca="false">IF(AC76=MAX(AA76:AC76),"TVK",IF(AB76=MAX(AA76:AC76),"DMK+","AIADMK+"))</f>
        <v>DMK+</v>
      </c>
      <c r="AF76" s="7" t="str">
        <f aca="false">IF(AE76=R76,"Yes","No")</f>
        <v>Yes</v>
      </c>
      <c r="AG76" s="7" t="str">
        <f aca="false">IF(AE76=P76,"No","Yes")</f>
        <v>No</v>
      </c>
      <c r="AH76" s="7" t="str">
        <f aca="false">IF(H76=MAX(D76,E76,H76),"TVK",IF(E76=MAX(D76,E76,H76),"DMK+","AIADMK+"))</f>
        <v>DMK+</v>
      </c>
      <c r="AI76" s="27" t="n">
        <f aca="false">EXP(AA76)/(EXP(AA76)+EXP(AB76)+EXP(AC76))</f>
        <v>0.313168310835756</v>
      </c>
      <c r="AJ76" s="27" t="n">
        <f aca="false">EXP(AB76)/(EXP(AA76)+EXP(AB76)+EXP(AC76))</f>
        <v>0.631429502170095</v>
      </c>
      <c r="AK76" s="28" t="s">
        <v>5</v>
      </c>
      <c r="AL76" s="7" t="str">
        <f aca="false">IF(AK76=R76,"Yes","No")</f>
        <v>Yes</v>
      </c>
      <c r="AM76" s="27" t="n">
        <f aca="false">IF(AK76="TVK",AD76,IF(AK76="DMK+",AJ76,AI76))</f>
        <v>0.631429502170095</v>
      </c>
      <c r="AN76" s="7" t="str">
        <f aca="false">IF(AK76=P76,"No","Yes")</f>
        <v>No</v>
      </c>
    </row>
    <row r="77" customFormat="false" ht="15" hidden="true" customHeight="false" outlineLevel="0" collapsed="false">
      <c r="A77" s="0" t="n">
        <v>73</v>
      </c>
      <c r="B77" s="4" t="s">
        <v>265</v>
      </c>
      <c r="C77" s="5" t="s">
        <v>164</v>
      </c>
      <c r="D77" s="35" t="n">
        <v>10</v>
      </c>
      <c r="E77" s="35" t="n">
        <v>8</v>
      </c>
      <c r="F77" s="35"/>
      <c r="G77" s="35" t="n">
        <v>1</v>
      </c>
      <c r="H77" s="35" t="n">
        <v>9</v>
      </c>
      <c r="I77" s="5" t="n">
        <f aca="false">SUM(D77:H77)</f>
        <v>28</v>
      </c>
      <c r="J77" s="10" t="n">
        <f aca="false">IF($I77=0,0,D77/$I77)</f>
        <v>0.357142857142857</v>
      </c>
      <c r="K77" s="10" t="n">
        <f aca="false">IF($I77=0,0,E77/$I77)</f>
        <v>0.285714285714286</v>
      </c>
      <c r="L77" s="10" t="n">
        <f aca="false">IF($I77=0,0,F77/$I77)</f>
        <v>0</v>
      </c>
      <c r="M77" s="10" t="n">
        <f aca="false">IF($I77=0,0,G77/$I77)</f>
        <v>0.0357142857142857</v>
      </c>
      <c r="N77" s="10" t="n">
        <f aca="false">IF($I77=0,0,H77/$I77)</f>
        <v>0.321428571428571</v>
      </c>
      <c r="O77" s="35" t="s">
        <v>218</v>
      </c>
      <c r="P77" s="0" t="str">
        <f aca="false">IF(O77="TVK","TVK",IF(O77="DMK","DMK+",IF(O77="ADMK","AIADMK+","")))</f>
        <v>AIADMK+</v>
      </c>
      <c r="Q77" s="35" t="s">
        <v>197</v>
      </c>
      <c r="R77" s="36" t="s">
        <v>5</v>
      </c>
      <c r="S77" s="0" t="str">
        <f aca="false">IF(P77=R77,"Yes","No")</f>
        <v>No</v>
      </c>
      <c r="T77" s="2"/>
      <c r="U77" s="27" t="n">
        <f aca="false">IFERROR(SUMIFS($D$5:$D$238,$C$5:$C$238,$C77)/SUMIFS($I$5:$I$238,$C$5:$C$238,$C77),0)</f>
        <v>0.36</v>
      </c>
      <c r="V77" s="27" t="n">
        <f aca="false">IFERROR(SUMIFS($E$5:$E$238,$C$5:$C$238,$C77)/SUMIFS($I$5:$I$238,$C$5:$C$238,$C77),0)</f>
        <v>0.245714285714286</v>
      </c>
      <c r="W77" s="27" t="n">
        <f aca="false">IFERROR(SUMIFS($F$5:$F$238,$C$5:$C$238,$C77)/SUMIFS($I$5:$I$238,$C$5:$C$238,$C77),0)</f>
        <v>0.00571428571428571</v>
      </c>
      <c r="X77" s="27" t="n">
        <f aca="false">IFERROR(SUMIFS($G$5:$G$238,$C$5:$C$238,$C77)/SUMIFS($I$5:$I$238,$C$5:$C$238,$C77),0)</f>
        <v>0.0685714285714286</v>
      </c>
      <c r="Y77" s="27" t="n">
        <f aca="false">IFERROR(SUMIFS($H$5:$H$238,$C$5:$C$238,$C77)/SUMIFS($I$5:$I$238,$C$5:$C$238,$C77),0)</f>
        <v>0.32</v>
      </c>
      <c r="Z77" s="24" t="n">
        <f aca="false">LN(MAX(I77,1))</f>
        <v>3.3322045101752</v>
      </c>
      <c r="AA77" s="24" t="n">
        <f aca="false">Calibration!$M$35+Calibration!$N$35+SUMPRODUCT(Calibration!$B$35:$F$35,J77:N77)+SUMPRODUCT(Calibration!$G$35:$K$35,U77:Y77)+Calibration!$L$35*Z77</f>
        <v>0.523091029746483</v>
      </c>
      <c r="AB77" s="24" t="n">
        <f aca="false">Calibration!$M$36+Calibration!$N$36+SUMPRODUCT(Calibration!$B$36:$F$36,J77:N77)+SUMPRODUCT(Calibration!$G$36:$K$36,U77:Y77)+Calibration!$L$36*Z77</f>
        <v>0.477792562868342</v>
      </c>
      <c r="AC77" s="24" t="n">
        <f aca="false">Calibration!$M$37+Calibration!$N$37+SUMPRODUCT(Calibration!$B$37:$F$37,J77:N77)+SUMPRODUCT(Calibration!$G$37:$K$37,U77:Y77)+Calibration!$L$37*Z77</f>
        <v>-0.175883025471968</v>
      </c>
      <c r="AD77" s="27" t="n">
        <f aca="false">EXP(AC77)/(EXP(AA77)+EXP(AB77)+EXP(AC77))</f>
        <v>0.202663719035103</v>
      </c>
      <c r="AE77" s="7" t="str">
        <f aca="false">IF(AC77=MAX(AA77:AC77),"TVK",IF(AB77=MAX(AA77:AC77),"DMK+","AIADMK+"))</f>
        <v>AIADMK+</v>
      </c>
      <c r="AF77" s="7" t="str">
        <f aca="false">IF(AE77=R77,"Yes","No")</f>
        <v>No</v>
      </c>
      <c r="AG77" s="7" t="str">
        <f aca="false">IF(AE77=P77,"No","Yes")</f>
        <v>No</v>
      </c>
      <c r="AH77" s="7" t="str">
        <f aca="false">IF(H77=MAX(D77,E77,H77),"TVK",IF(E77=MAX(D77,E77,H77),"DMK+","AIADMK+"))</f>
        <v>AIADMK+</v>
      </c>
      <c r="AI77" s="27" t="n">
        <f aca="false">EXP(AA77)/(EXP(AA77)+EXP(AB77)+EXP(AC77))</f>
        <v>0.407696124565258</v>
      </c>
      <c r="AJ77" s="27" t="n">
        <f aca="false">EXP(AB77)/(EXP(AA77)+EXP(AB77)+EXP(AC77))</f>
        <v>0.389640156399639</v>
      </c>
      <c r="AK77" s="28" t="s">
        <v>5</v>
      </c>
      <c r="AL77" s="7" t="str">
        <f aca="false">IF(AK77=R77,"Yes","No")</f>
        <v>Yes</v>
      </c>
      <c r="AM77" s="27" t="n">
        <f aca="false">IF(AK77="TVK",AD77,IF(AK77="DMK+",AJ77,AI77))</f>
        <v>0.389640156399639</v>
      </c>
      <c r="AN77" s="7" t="str">
        <f aca="false">IF(AK77=P77,"No","Yes")</f>
        <v>Yes</v>
      </c>
    </row>
    <row r="78" customFormat="false" ht="15" hidden="true" customHeight="false" outlineLevel="0" collapsed="false">
      <c r="A78" s="0" t="n">
        <v>74</v>
      </c>
      <c r="B78" s="4" t="s">
        <v>164</v>
      </c>
      <c r="C78" s="5" t="s">
        <v>164</v>
      </c>
      <c r="D78" s="35" t="n">
        <v>17</v>
      </c>
      <c r="E78" s="35" t="n">
        <v>12</v>
      </c>
      <c r="F78" s="35"/>
      <c r="G78" s="35" t="n">
        <v>4</v>
      </c>
      <c r="H78" s="35" t="n">
        <v>15</v>
      </c>
      <c r="I78" s="5" t="n">
        <f aca="false">SUM(D78:H78)</f>
        <v>48</v>
      </c>
      <c r="J78" s="10" t="n">
        <f aca="false">IF($I78=0,0,D78/$I78)</f>
        <v>0.354166666666667</v>
      </c>
      <c r="K78" s="10" t="n">
        <f aca="false">IF($I78=0,0,E78/$I78)</f>
        <v>0.25</v>
      </c>
      <c r="L78" s="10" t="n">
        <f aca="false">IF($I78=0,0,F78/$I78)</f>
        <v>0</v>
      </c>
      <c r="M78" s="10" t="n">
        <f aca="false">IF($I78=0,0,G78/$I78)</f>
        <v>0.0833333333333333</v>
      </c>
      <c r="N78" s="10" t="n">
        <f aca="false">IF($I78=0,0,H78/$I78)</f>
        <v>0.3125</v>
      </c>
      <c r="O78" s="35" t="s">
        <v>218</v>
      </c>
      <c r="P78" s="0" t="str">
        <f aca="false">IF(O78="TVK","TVK",IF(O78="DMK","DMK+",IF(O78="ADMK","AIADMK+","")))</f>
        <v>AIADMK+</v>
      </c>
      <c r="Q78" s="35" t="s">
        <v>197</v>
      </c>
      <c r="R78" s="36" t="s">
        <v>5</v>
      </c>
      <c r="S78" s="0" t="str">
        <f aca="false">IF(P78=R78,"Yes","No")</f>
        <v>No</v>
      </c>
      <c r="T78" s="2"/>
      <c r="U78" s="27" t="n">
        <f aca="false">IFERROR(SUMIFS($D$5:$D$238,$C$5:$C$238,$C78)/SUMIFS($I$5:$I$238,$C$5:$C$238,$C78),0)</f>
        <v>0.36</v>
      </c>
      <c r="V78" s="27" t="n">
        <f aca="false">IFERROR(SUMIFS($E$5:$E$238,$C$5:$C$238,$C78)/SUMIFS($I$5:$I$238,$C$5:$C$238,$C78),0)</f>
        <v>0.245714285714286</v>
      </c>
      <c r="W78" s="27" t="n">
        <f aca="false">IFERROR(SUMIFS($F$5:$F$238,$C$5:$C$238,$C78)/SUMIFS($I$5:$I$238,$C$5:$C$238,$C78),0)</f>
        <v>0.00571428571428571</v>
      </c>
      <c r="X78" s="27" t="n">
        <f aca="false">IFERROR(SUMIFS($G$5:$G$238,$C$5:$C$238,$C78)/SUMIFS($I$5:$I$238,$C$5:$C$238,$C78),0)</f>
        <v>0.0685714285714286</v>
      </c>
      <c r="Y78" s="27" t="n">
        <f aca="false">IFERROR(SUMIFS($H$5:$H$238,$C$5:$C$238,$C78)/SUMIFS($I$5:$I$238,$C$5:$C$238,$C78),0)</f>
        <v>0.32</v>
      </c>
      <c r="Z78" s="24" t="n">
        <f aca="false">LN(MAX(I78,1))</f>
        <v>3.87120101090789</v>
      </c>
      <c r="AA78" s="24" t="n">
        <f aca="false">Calibration!$M$35+Calibration!$N$35+SUMPRODUCT(Calibration!$B$35:$F$35,J78:N78)+SUMPRODUCT(Calibration!$G$35:$K$35,U78:Y78)+Calibration!$L$35*Z78</f>
        <v>0.268184159223825</v>
      </c>
      <c r="AB78" s="24" t="n">
        <f aca="false">Calibration!$M$36+Calibration!$N$36+SUMPRODUCT(Calibration!$B$36:$F$36,J78:N78)+SUMPRODUCT(Calibration!$G$36:$K$36,U78:Y78)+Calibration!$L$36*Z78</f>
        <v>0.117998632612581</v>
      </c>
      <c r="AC78" s="24" t="n">
        <f aca="false">Calibration!$M$37+Calibration!$N$37+SUMPRODUCT(Calibration!$B$37:$F$37,J78:N78)+SUMPRODUCT(Calibration!$G$37:$K$37,U78:Y78)+Calibration!$L$37*Z78</f>
        <v>0.43881776637788</v>
      </c>
      <c r="AD78" s="27" t="n">
        <f aca="false">EXP(AC78)/(EXP(AA78)+EXP(AB78)+EXP(AC78))</f>
        <v>0.38930426986366</v>
      </c>
      <c r="AE78" s="7" t="str">
        <f aca="false">IF(AC78=MAX(AA78:AC78),"TVK",IF(AB78=MAX(AA78:AC78),"DMK+","AIADMK+"))</f>
        <v>TVK</v>
      </c>
      <c r="AF78" s="7" t="str">
        <f aca="false">IF(AE78=R78,"Yes","No")</f>
        <v>No</v>
      </c>
      <c r="AG78" s="7" t="str">
        <f aca="false">IF(AE78=P78,"No","Yes")</f>
        <v>Yes</v>
      </c>
      <c r="AH78" s="7" t="str">
        <f aca="false">IF(H78=MAX(D78,E78,H78),"TVK",IF(E78=MAX(D78,E78,H78),"DMK+","AIADMK+"))</f>
        <v>AIADMK+</v>
      </c>
      <c r="AI78" s="27" t="n">
        <f aca="false">EXP(AA78)/(EXP(AA78)+EXP(AB78)+EXP(AC78))</f>
        <v>0.32823427794794</v>
      </c>
      <c r="AJ78" s="27" t="n">
        <f aca="false">EXP(AB78)/(EXP(AA78)+EXP(AB78)+EXP(AC78))</f>
        <v>0.2824614521884</v>
      </c>
      <c r="AK78" s="28" t="s">
        <v>4</v>
      </c>
      <c r="AL78" s="7" t="str">
        <f aca="false">IF(AK78=R78,"Yes","No")</f>
        <v>No</v>
      </c>
      <c r="AM78" s="27" t="n">
        <f aca="false">IF(AK78="TVK",AD78,IF(AK78="DMK+",AJ78,AI78))</f>
        <v>0.32823427794794</v>
      </c>
      <c r="AN78" s="7" t="str">
        <f aca="false">IF(AK78=P78,"No","Yes")</f>
        <v>No</v>
      </c>
    </row>
    <row r="79" customFormat="false" ht="15" hidden="false" customHeight="false" outlineLevel="0" collapsed="false">
      <c r="A79" s="0" t="n">
        <v>75</v>
      </c>
      <c r="B79" s="4" t="s">
        <v>266</v>
      </c>
      <c r="C79" s="5" t="s">
        <v>164</v>
      </c>
      <c r="D79" s="35" t="n">
        <v>9</v>
      </c>
      <c r="E79" s="35" t="n">
        <v>6</v>
      </c>
      <c r="F79" s="35" t="n">
        <v>1</v>
      </c>
      <c r="G79" s="35"/>
      <c r="H79" s="35" t="n">
        <v>10</v>
      </c>
      <c r="I79" s="5" t="n">
        <f aca="false">SUM(D79:H79)</f>
        <v>26</v>
      </c>
      <c r="J79" s="10" t="n">
        <f aca="false">IF($I79=0,0,D79/$I79)</f>
        <v>0.346153846153846</v>
      </c>
      <c r="K79" s="10" t="n">
        <f aca="false">IF($I79=0,0,E79/$I79)</f>
        <v>0.230769230769231</v>
      </c>
      <c r="L79" s="10" t="n">
        <f aca="false">IF($I79=0,0,F79/$I79)</f>
        <v>0.0384615384615385</v>
      </c>
      <c r="M79" s="10" t="n">
        <f aca="false">IF($I79=0,0,G79/$I79)</f>
        <v>0</v>
      </c>
      <c r="N79" s="10" t="n">
        <f aca="false">IF($I79=0,0,H79/$I79)</f>
        <v>0.384615384615385</v>
      </c>
      <c r="O79" s="35" t="s">
        <v>3</v>
      </c>
      <c r="P79" s="0" t="str">
        <f aca="false">IF(O79="TVK","TVK",IF(O79="DMK","DMK+",IF(O79="ADMK","AIADMK+","")))</f>
        <v>TVK</v>
      </c>
      <c r="Q79" s="35" t="s">
        <v>251</v>
      </c>
      <c r="R79" s="36" t="s">
        <v>4</v>
      </c>
      <c r="S79" s="0" t="str">
        <f aca="false">IF(P79=R79,"Yes","No")</f>
        <v>No</v>
      </c>
      <c r="T79" s="2"/>
      <c r="U79" s="27" t="n">
        <f aca="false">IFERROR(SUMIFS($D$5:$D$238,$C$5:$C$238,$C79)/SUMIFS($I$5:$I$238,$C$5:$C$238,$C79),0)</f>
        <v>0.36</v>
      </c>
      <c r="V79" s="27" t="n">
        <f aca="false">IFERROR(SUMIFS($E$5:$E$238,$C$5:$C$238,$C79)/SUMIFS($I$5:$I$238,$C$5:$C$238,$C79),0)</f>
        <v>0.245714285714286</v>
      </c>
      <c r="W79" s="27" t="n">
        <f aca="false">IFERROR(SUMIFS($F$5:$F$238,$C$5:$C$238,$C79)/SUMIFS($I$5:$I$238,$C$5:$C$238,$C79),0)</f>
        <v>0.00571428571428571</v>
      </c>
      <c r="X79" s="27" t="n">
        <f aca="false">IFERROR(SUMIFS($G$5:$G$238,$C$5:$C$238,$C79)/SUMIFS($I$5:$I$238,$C$5:$C$238,$C79),0)</f>
        <v>0.0685714285714286</v>
      </c>
      <c r="Y79" s="27" t="n">
        <f aca="false">IFERROR(SUMIFS($H$5:$H$238,$C$5:$C$238,$C79)/SUMIFS($I$5:$I$238,$C$5:$C$238,$C79),0)</f>
        <v>0.32</v>
      </c>
      <c r="Z79" s="24" t="n">
        <f aca="false">LN(MAX(I79,1))</f>
        <v>3.25809653802148</v>
      </c>
      <c r="AA79" s="24" t="n">
        <f aca="false">Calibration!$M$35+Calibration!$N$35+SUMPRODUCT(Calibration!$B$35:$F$35,J79:N79)+SUMPRODUCT(Calibration!$G$35:$K$35,U79:Y79)+Calibration!$L$35*Z79</f>
        <v>0.582457377935851</v>
      </c>
      <c r="AB79" s="24" t="n">
        <f aca="false">Calibration!$M$36+Calibration!$N$36+SUMPRODUCT(Calibration!$B$36:$F$36,J79:N79)+SUMPRODUCT(Calibration!$G$36:$K$36,U79:Y79)+Calibration!$L$36*Z79</f>
        <v>0.445195316890617</v>
      </c>
      <c r="AC79" s="24" t="n">
        <f aca="false">Calibration!$M$37+Calibration!$N$37+SUMPRODUCT(Calibration!$B$37:$F$37,J79:N79)+SUMPRODUCT(Calibration!$G$37:$K$37,U79:Y79)+Calibration!$L$37*Z79</f>
        <v>-0.202652064496798</v>
      </c>
      <c r="AD79" s="27" t="n">
        <f aca="false">EXP(AC79)/(EXP(AA79)+EXP(AB79)+EXP(AC79))</f>
        <v>0.195922126571341</v>
      </c>
      <c r="AE79" s="7" t="str">
        <f aca="false">IF(AC79=MAX(AA79:AC79),"TVK",IF(AB79=MAX(AA79:AC79),"DMK+","AIADMK+"))</f>
        <v>AIADMK+</v>
      </c>
      <c r="AF79" s="7" t="str">
        <f aca="false">IF(AE79=R79,"Yes","No")</f>
        <v>Yes</v>
      </c>
      <c r="AG79" s="7" t="str">
        <f aca="false">IF(AE79=P79,"No","Yes")</f>
        <v>Yes</v>
      </c>
      <c r="AH79" s="7" t="str">
        <f aca="false">IF(H79=MAX(D79,E79,H79),"TVK",IF(E79=MAX(D79,E79,H79),"DMK+","AIADMK+"))</f>
        <v>TVK</v>
      </c>
      <c r="AI79" s="27" t="n">
        <f aca="false">EXP(AA79)/(EXP(AA79)+EXP(AB79)+EXP(AC79))</f>
        <v>0.429588042726019</v>
      </c>
      <c r="AJ79" s="27" t="n">
        <f aca="false">EXP(AB79)/(EXP(AA79)+EXP(AB79)+EXP(AC79))</f>
        <v>0.37448983070264</v>
      </c>
      <c r="AK79" s="28" t="s">
        <v>5</v>
      </c>
      <c r="AL79" s="7" t="str">
        <f aca="false">IF(AK79=R79,"Yes","No")</f>
        <v>No</v>
      </c>
      <c r="AM79" s="27" t="n">
        <f aca="false">IF(AK79="TVK",AD79,IF(AK79="DMK+",AJ79,AI79))</f>
        <v>0.37448983070264</v>
      </c>
      <c r="AN79" s="7" t="str">
        <f aca="false">IF(AK79=P79,"No","Yes")</f>
        <v>Yes</v>
      </c>
    </row>
    <row r="80" customFormat="false" ht="15" hidden="true" customHeight="false" outlineLevel="0" collapsed="false">
      <c r="A80" s="0" t="n">
        <v>76</v>
      </c>
      <c r="B80" s="4" t="s">
        <v>267</v>
      </c>
      <c r="C80" s="5" t="s">
        <v>164</v>
      </c>
      <c r="D80" s="35" t="n">
        <v>7</v>
      </c>
      <c r="E80" s="35" t="n">
        <v>4</v>
      </c>
      <c r="F80" s="35"/>
      <c r="G80" s="35" t="n">
        <v>2</v>
      </c>
      <c r="H80" s="35" t="n">
        <v>7</v>
      </c>
      <c r="I80" s="5" t="n">
        <f aca="false">SUM(D80:H80)</f>
        <v>20</v>
      </c>
      <c r="J80" s="10" t="n">
        <f aca="false">IF($I80=0,0,D80/$I80)</f>
        <v>0.35</v>
      </c>
      <c r="K80" s="10" t="n">
        <f aca="false">IF($I80=0,0,E80/$I80)</f>
        <v>0.2</v>
      </c>
      <c r="L80" s="10" t="n">
        <f aca="false">IF($I80=0,0,F80/$I80)</f>
        <v>0</v>
      </c>
      <c r="M80" s="10" t="n">
        <f aca="false">IF($I80=0,0,G80/$I80)</f>
        <v>0.1</v>
      </c>
      <c r="N80" s="10" t="n">
        <f aca="false">IF($I80=0,0,H80/$I80)</f>
        <v>0.35</v>
      </c>
      <c r="O80" s="35" t="s">
        <v>218</v>
      </c>
      <c r="P80" s="0" t="str">
        <f aca="false">IF(O80="TVK","TVK",IF(O80="DMK","DMK+",IF(O80="ADMK","AIADMK+","")))</f>
        <v>AIADMK+</v>
      </c>
      <c r="Q80" s="35" t="s">
        <v>196</v>
      </c>
      <c r="R80" s="36" t="s">
        <v>4</v>
      </c>
      <c r="S80" s="0" t="str">
        <f aca="false">IF(P80=R80,"Yes","No")</f>
        <v>Yes</v>
      </c>
      <c r="T80" s="2"/>
      <c r="U80" s="27" t="n">
        <f aca="false">IFERROR(SUMIFS($D$5:$D$238,$C$5:$C$238,$C80)/SUMIFS($I$5:$I$238,$C$5:$C$238,$C80),0)</f>
        <v>0.36</v>
      </c>
      <c r="V80" s="27" t="n">
        <f aca="false">IFERROR(SUMIFS($E$5:$E$238,$C$5:$C$238,$C80)/SUMIFS($I$5:$I$238,$C$5:$C$238,$C80),0)</f>
        <v>0.245714285714286</v>
      </c>
      <c r="W80" s="27" t="n">
        <f aca="false">IFERROR(SUMIFS($F$5:$F$238,$C$5:$C$238,$C80)/SUMIFS($I$5:$I$238,$C$5:$C$238,$C80),0)</f>
        <v>0.00571428571428571</v>
      </c>
      <c r="X80" s="27" t="n">
        <f aca="false">IFERROR(SUMIFS($G$5:$G$238,$C$5:$C$238,$C80)/SUMIFS($I$5:$I$238,$C$5:$C$238,$C80),0)</f>
        <v>0.0685714285714286</v>
      </c>
      <c r="Y80" s="27" t="n">
        <f aca="false">IFERROR(SUMIFS($H$5:$H$238,$C$5:$C$238,$C80)/SUMIFS($I$5:$I$238,$C$5:$C$238,$C80),0)</f>
        <v>0.32</v>
      </c>
      <c r="Z80" s="24" t="n">
        <f aca="false">LN(MAX(I80,1))</f>
        <v>2.99573227355399</v>
      </c>
      <c r="AA80" s="24" t="n">
        <f aca="false">Calibration!$M$35+Calibration!$N$35+SUMPRODUCT(Calibration!$B$35:$F$35,J80:N80)+SUMPRODUCT(Calibration!$G$35:$K$35,U80:Y80)+Calibration!$L$35*Z80</f>
        <v>0.752310120217596</v>
      </c>
      <c r="AB80" s="24" t="n">
        <f aca="false">Calibration!$M$36+Calibration!$N$36+SUMPRODUCT(Calibration!$B$36:$F$36,J80:N80)+SUMPRODUCT(Calibration!$G$36:$K$36,U80:Y80)+Calibration!$L$36*Z80</f>
        <v>0.598406125523853</v>
      </c>
      <c r="AC80" s="24" t="n">
        <f aca="false">Calibration!$M$37+Calibration!$N$37+SUMPRODUCT(Calibration!$B$37:$F$37,J80:N80)+SUMPRODUCT(Calibration!$G$37:$K$37,U80:Y80)+Calibration!$L$37*Z80</f>
        <v>-0.525715650027164</v>
      </c>
      <c r="AD80" s="27" t="n">
        <f aca="false">EXP(AC80)/(EXP(AA80)+EXP(AB80)+EXP(AC80))</f>
        <v>0.130428107214707</v>
      </c>
      <c r="AE80" s="7" t="str">
        <f aca="false">IF(AC80=MAX(AA80:AC80),"TVK",IF(AB80=MAX(AA80:AC80),"DMK+","AIADMK+"))</f>
        <v>AIADMK+</v>
      </c>
      <c r="AF80" s="7" t="str">
        <f aca="false">IF(AE80=R80,"Yes","No")</f>
        <v>Yes</v>
      </c>
      <c r="AG80" s="7" t="str">
        <f aca="false">IF(AE80=P80,"No","Yes")</f>
        <v>No</v>
      </c>
      <c r="AH80" s="7" t="str">
        <f aca="false">IF(H80=MAX(D80,E80,H80),"TVK",IF(E80=MAX(D80,E80,H80),"DMK+","AIADMK+"))</f>
        <v>TVK</v>
      </c>
      <c r="AI80" s="27" t="n">
        <f aca="false">EXP(AA80)/(EXP(AA80)+EXP(AB80)+EXP(AC80))</f>
        <v>0.46817770839509</v>
      </c>
      <c r="AJ80" s="27" t="n">
        <f aca="false">EXP(AB80)/(EXP(AA80)+EXP(AB80)+EXP(AC80))</f>
        <v>0.401394184390204</v>
      </c>
      <c r="AK80" s="28" t="s">
        <v>4</v>
      </c>
      <c r="AL80" s="7" t="str">
        <f aca="false">IF(AK80=R80,"Yes","No")</f>
        <v>Yes</v>
      </c>
      <c r="AM80" s="27" t="n">
        <f aca="false">IF(AK80="TVK",AD80,IF(AK80="DMK+",AJ80,AI80))</f>
        <v>0.46817770839509</v>
      </c>
      <c r="AN80" s="7" t="str">
        <f aca="false">IF(AK80=P80,"No","Yes")</f>
        <v>No</v>
      </c>
    </row>
    <row r="81" customFormat="false" ht="15" hidden="false" customHeight="false" outlineLevel="0" collapsed="false">
      <c r="A81" s="0" t="n">
        <v>77</v>
      </c>
      <c r="B81" s="4" t="s">
        <v>268</v>
      </c>
      <c r="C81" s="5" t="s">
        <v>108</v>
      </c>
      <c r="D81" s="35" t="n">
        <v>5</v>
      </c>
      <c r="E81" s="35" t="n">
        <v>6</v>
      </c>
      <c r="F81" s="35"/>
      <c r="G81" s="35" t="n">
        <v>2</v>
      </c>
      <c r="H81" s="35" t="n">
        <v>12</v>
      </c>
      <c r="I81" s="5" t="n">
        <f aca="false">SUM(D81:H81)</f>
        <v>25</v>
      </c>
      <c r="J81" s="10" t="n">
        <f aca="false">IF($I81=0,0,D81/$I81)</f>
        <v>0.2</v>
      </c>
      <c r="K81" s="10" t="n">
        <f aca="false">IF($I81=0,0,E81/$I81)</f>
        <v>0.24</v>
      </c>
      <c r="L81" s="10" t="n">
        <f aca="false">IF($I81=0,0,F81/$I81)</f>
        <v>0</v>
      </c>
      <c r="M81" s="10" t="n">
        <f aca="false">IF($I81=0,0,G81/$I81)</f>
        <v>0.08</v>
      </c>
      <c r="N81" s="10" t="n">
        <f aca="false">IF($I81=0,0,H81/$I81)</f>
        <v>0.48</v>
      </c>
      <c r="O81" s="35" t="s">
        <v>3</v>
      </c>
      <c r="P81" s="0" t="str">
        <f aca="false">IF(O81="TVK","TVK",IF(O81="DMK","DMK+",IF(O81="ADMK","AIADMK+","")))</f>
        <v>TVK</v>
      </c>
      <c r="Q81" s="35" t="s">
        <v>197</v>
      </c>
      <c r="R81" s="36" t="s">
        <v>5</v>
      </c>
      <c r="S81" s="0" t="str">
        <f aca="false">IF(P81=R81,"Yes","No")</f>
        <v>No</v>
      </c>
      <c r="T81" s="2"/>
      <c r="U81" s="27" t="n">
        <f aca="false">IFERROR(SUMIFS($D$5:$D$238,$C$5:$C$238,$C81)/SUMIFS($I$5:$I$238,$C$5:$C$238,$C81),0)</f>
        <v>0.132743362831858</v>
      </c>
      <c r="V81" s="27" t="n">
        <f aca="false">IFERROR(SUMIFS($E$5:$E$238,$C$5:$C$238,$C81)/SUMIFS($I$5:$I$238,$C$5:$C$238,$C81),0)</f>
        <v>0.283185840707965</v>
      </c>
      <c r="W81" s="27" t="n">
        <f aca="false">IFERROR(SUMIFS($F$5:$F$238,$C$5:$C$238,$C81)/SUMIFS($I$5:$I$238,$C$5:$C$238,$C81),0)</f>
        <v>0</v>
      </c>
      <c r="X81" s="27" t="n">
        <f aca="false">IFERROR(SUMIFS($G$5:$G$238,$C$5:$C$238,$C81)/SUMIFS($I$5:$I$238,$C$5:$C$238,$C81),0)</f>
        <v>0.0884955752212389</v>
      </c>
      <c r="Y81" s="27" t="n">
        <f aca="false">IFERROR(SUMIFS($H$5:$H$238,$C$5:$C$238,$C81)/SUMIFS($I$5:$I$238,$C$5:$C$238,$C81),0)</f>
        <v>0.495575221238938</v>
      </c>
      <c r="Z81" s="24" t="n">
        <f aca="false">LN(MAX(I81,1))</f>
        <v>3.2188758248682</v>
      </c>
      <c r="AA81" s="24" t="n">
        <f aca="false">Calibration!$M$35+Calibration!$N$35+SUMPRODUCT(Calibration!$B$35:$F$35,J81:N81)+SUMPRODUCT(Calibration!$G$35:$K$35,U81:Y81)+Calibration!$L$35*Z81</f>
        <v>0.288220976913953</v>
      </c>
      <c r="AB81" s="24" t="n">
        <f aca="false">Calibration!$M$36+Calibration!$N$36+SUMPRODUCT(Calibration!$B$36:$F$36,J81:N81)+SUMPRODUCT(Calibration!$G$36:$K$36,U81:Y81)+Calibration!$L$36*Z81</f>
        <v>0.579432219245157</v>
      </c>
      <c r="AC81" s="24" t="n">
        <f aca="false">Calibration!$M$37+Calibration!$N$37+SUMPRODUCT(Calibration!$B$37:$F$37,J81:N81)+SUMPRODUCT(Calibration!$G$37:$K$37,U81:Y81)+Calibration!$L$37*Z81</f>
        <v>-0.0426524329732692</v>
      </c>
      <c r="AD81" s="27" t="n">
        <f aca="false">EXP(AC81)/(EXP(AA81)+EXP(AB81)+EXP(AC81))</f>
        <v>0.235018131881975</v>
      </c>
      <c r="AE81" s="7" t="str">
        <f aca="false">IF(AC81=MAX(AA81:AC81),"TVK",IF(AB81=MAX(AA81:AC81),"DMK+","AIADMK+"))</f>
        <v>DMK+</v>
      </c>
      <c r="AF81" s="7" t="str">
        <f aca="false">IF(AE81=R81,"Yes","No")</f>
        <v>Yes</v>
      </c>
      <c r="AG81" s="7" t="str">
        <f aca="false">IF(AE81=P81,"No","Yes")</f>
        <v>Yes</v>
      </c>
      <c r="AH81" s="7" t="str">
        <f aca="false">IF(H81=MAX(D81,E81,H81),"TVK",IF(E81=MAX(D81,E81,H81),"DMK+","AIADMK+"))</f>
        <v>TVK</v>
      </c>
      <c r="AI81" s="27" t="n">
        <f aca="false">EXP(AA81)/(EXP(AA81)+EXP(AB81)+EXP(AC81))</f>
        <v>0.32718837586073</v>
      </c>
      <c r="AJ81" s="27" t="n">
        <f aca="false">EXP(AB81)/(EXP(AA81)+EXP(AB81)+EXP(AC81))</f>
        <v>0.437793492257295</v>
      </c>
      <c r="AK81" s="28" t="s">
        <v>5</v>
      </c>
      <c r="AL81" s="7" t="str">
        <f aca="false">IF(AK81=R81,"Yes","No")</f>
        <v>Yes</v>
      </c>
      <c r="AM81" s="27" t="n">
        <f aca="false">IF(AK81="TVK",AD81,IF(AK81="DMK+",AJ81,AI81))</f>
        <v>0.437793492257295</v>
      </c>
      <c r="AN81" s="7" t="str">
        <f aca="false">IF(AK81=P81,"No","Yes")</f>
        <v>Yes</v>
      </c>
    </row>
    <row r="82" customFormat="false" ht="15" hidden="true" customHeight="false" outlineLevel="0" collapsed="false">
      <c r="A82" s="0" t="n">
        <v>78</v>
      </c>
      <c r="B82" s="4" t="s">
        <v>269</v>
      </c>
      <c r="C82" s="5" t="s">
        <v>108</v>
      </c>
      <c r="D82" s="35" t="n">
        <v>2</v>
      </c>
      <c r="E82" s="35" t="n">
        <v>15</v>
      </c>
      <c r="F82" s="35"/>
      <c r="G82" s="35" t="n">
        <v>3</v>
      </c>
      <c r="H82" s="35" t="n">
        <v>11</v>
      </c>
      <c r="I82" s="5" t="n">
        <f aca="false">SUM(D82:H82)</f>
        <v>31</v>
      </c>
      <c r="J82" s="10" t="n">
        <f aca="false">IF($I82=0,0,D82/$I82)</f>
        <v>0.0645161290322581</v>
      </c>
      <c r="K82" s="10" t="n">
        <f aca="false">IF($I82=0,0,E82/$I82)</f>
        <v>0.483870967741936</v>
      </c>
      <c r="L82" s="10" t="n">
        <f aca="false">IF($I82=0,0,F82/$I82)</f>
        <v>0</v>
      </c>
      <c r="M82" s="10" t="n">
        <f aca="false">IF($I82=0,0,G82/$I82)</f>
        <v>0.0967741935483871</v>
      </c>
      <c r="N82" s="10" t="n">
        <f aca="false">IF($I82=0,0,H82/$I82)</f>
        <v>0.354838709677419</v>
      </c>
      <c r="O82" s="35" t="s">
        <v>197</v>
      </c>
      <c r="P82" s="0" t="str">
        <f aca="false">IF(O82="TVK","TVK",IF(O82="DMK","DMK+",IF(O82="ADMK","AIADMK+","")))</f>
        <v>DMK+</v>
      </c>
      <c r="Q82" s="35" t="s">
        <v>197</v>
      </c>
      <c r="R82" s="36" t="s">
        <v>5</v>
      </c>
      <c r="S82" s="0" t="str">
        <f aca="false">IF(P82=R82,"Yes","No")</f>
        <v>Yes</v>
      </c>
      <c r="T82" s="2"/>
      <c r="U82" s="27" t="n">
        <f aca="false">IFERROR(SUMIFS($D$5:$D$238,$C$5:$C$238,$C82)/SUMIFS($I$5:$I$238,$C$5:$C$238,$C82),0)</f>
        <v>0.132743362831858</v>
      </c>
      <c r="V82" s="27" t="n">
        <f aca="false">IFERROR(SUMIFS($E$5:$E$238,$C$5:$C$238,$C82)/SUMIFS($I$5:$I$238,$C$5:$C$238,$C82),0)</f>
        <v>0.283185840707965</v>
      </c>
      <c r="W82" s="27" t="n">
        <f aca="false">IFERROR(SUMIFS($F$5:$F$238,$C$5:$C$238,$C82)/SUMIFS($I$5:$I$238,$C$5:$C$238,$C82),0)</f>
        <v>0</v>
      </c>
      <c r="X82" s="27" t="n">
        <f aca="false">IFERROR(SUMIFS($G$5:$G$238,$C$5:$C$238,$C82)/SUMIFS($I$5:$I$238,$C$5:$C$238,$C82),0)</f>
        <v>0.0884955752212389</v>
      </c>
      <c r="Y82" s="27" t="n">
        <f aca="false">IFERROR(SUMIFS($H$5:$H$238,$C$5:$C$238,$C82)/SUMIFS($I$5:$I$238,$C$5:$C$238,$C82),0)</f>
        <v>0.495575221238938</v>
      </c>
      <c r="Z82" s="24" t="n">
        <f aca="false">LN(MAX(I82,1))</f>
        <v>3.43398720448515</v>
      </c>
      <c r="AA82" s="24" t="n">
        <f aca="false">Calibration!$M$35+Calibration!$N$35+SUMPRODUCT(Calibration!$B$35:$F$35,J82:N82)+SUMPRODUCT(Calibration!$G$35:$K$35,U82:Y82)+Calibration!$L$35*Z82</f>
        <v>-0.0993533446299189</v>
      </c>
      <c r="AB82" s="24" t="n">
        <f aca="false">Calibration!$M$36+Calibration!$N$36+SUMPRODUCT(Calibration!$B$36:$F$36,J82:N82)+SUMPRODUCT(Calibration!$G$36:$K$36,U82:Y82)+Calibration!$L$36*Z82</f>
        <v>0.865688414342845</v>
      </c>
      <c r="AC82" s="24" t="n">
        <f aca="false">Calibration!$M$37+Calibration!$N$37+SUMPRODUCT(Calibration!$B$37:$F$37,J82:N82)+SUMPRODUCT(Calibration!$G$37:$K$37,U82:Y82)+Calibration!$L$37*Z82</f>
        <v>0.058665568311624</v>
      </c>
      <c r="AD82" s="27" t="n">
        <f aca="false">EXP(AC82)/(EXP(AA82)+EXP(AB82)+EXP(AC82))</f>
        <v>0.244196713692472</v>
      </c>
      <c r="AE82" s="7" t="str">
        <f aca="false">IF(AC82=MAX(AA82:AC82),"TVK",IF(AB82=MAX(AA82:AC82),"DMK+","AIADMK+"))</f>
        <v>DMK+</v>
      </c>
      <c r="AF82" s="7" t="str">
        <f aca="false">IF(AE82=R82,"Yes","No")</f>
        <v>Yes</v>
      </c>
      <c r="AG82" s="7" t="str">
        <f aca="false">IF(AE82=P82,"No","Yes")</f>
        <v>No</v>
      </c>
      <c r="AH82" s="7" t="str">
        <f aca="false">IF(H82=MAX(D82,E82,H82),"TVK",IF(E82=MAX(D82,E82,H82),"DMK+","AIADMK+"))</f>
        <v>DMK+</v>
      </c>
      <c r="AI82" s="27" t="n">
        <f aca="false">EXP(AA82)/(EXP(AA82)+EXP(AB82)+EXP(AC82))</f>
        <v>0.208503367294449</v>
      </c>
      <c r="AJ82" s="27" t="n">
        <f aca="false">EXP(AB82)/(EXP(AA82)+EXP(AB82)+EXP(AC82))</f>
        <v>0.547299919013079</v>
      </c>
      <c r="AK82" s="28" t="s">
        <v>5</v>
      </c>
      <c r="AL82" s="7" t="str">
        <f aca="false">IF(AK82=R82,"Yes","No")</f>
        <v>Yes</v>
      </c>
      <c r="AM82" s="27" t="n">
        <f aca="false">IF(AK82="TVK",AD82,IF(AK82="DMK+",AJ82,AI82))</f>
        <v>0.547299919013079</v>
      </c>
      <c r="AN82" s="7" t="str">
        <f aca="false">IF(AK82=P82,"No","Yes")</f>
        <v>No</v>
      </c>
    </row>
    <row r="83" customFormat="false" ht="15" hidden="false" customHeight="false" outlineLevel="0" collapsed="false">
      <c r="A83" s="0" t="n">
        <v>79</v>
      </c>
      <c r="B83" s="4" t="s">
        <v>270</v>
      </c>
      <c r="C83" s="5" t="s">
        <v>108</v>
      </c>
      <c r="D83" s="35" t="n">
        <v>4</v>
      </c>
      <c r="E83" s="35" t="n">
        <v>4</v>
      </c>
      <c r="F83" s="35"/>
      <c r="G83" s="35" t="n">
        <v>1</v>
      </c>
      <c r="H83" s="35" t="n">
        <v>16</v>
      </c>
      <c r="I83" s="5" t="n">
        <f aca="false">SUM(D83:H83)</f>
        <v>25</v>
      </c>
      <c r="J83" s="10" t="n">
        <f aca="false">IF($I83=0,0,D83/$I83)</f>
        <v>0.16</v>
      </c>
      <c r="K83" s="10" t="n">
        <f aca="false">IF($I83=0,0,E83/$I83)</f>
        <v>0.16</v>
      </c>
      <c r="L83" s="10" t="n">
        <f aca="false">IF($I83=0,0,F83/$I83)</f>
        <v>0</v>
      </c>
      <c r="M83" s="10" t="n">
        <f aca="false">IF($I83=0,0,G83/$I83)</f>
        <v>0.04</v>
      </c>
      <c r="N83" s="10" t="n">
        <f aca="false">IF($I83=0,0,H83/$I83)</f>
        <v>0.64</v>
      </c>
      <c r="O83" s="35" t="s">
        <v>3</v>
      </c>
      <c r="P83" s="0" t="str">
        <f aca="false">IF(O83="TVK","TVK",IF(O83="DMK","DMK+",IF(O83="ADMK","AIADMK+","")))</f>
        <v>TVK</v>
      </c>
      <c r="Q83" s="35" t="s">
        <v>196</v>
      </c>
      <c r="R83" s="36" t="s">
        <v>4</v>
      </c>
      <c r="S83" s="0" t="str">
        <f aca="false">IF(P83=R83,"Yes","No")</f>
        <v>No</v>
      </c>
      <c r="T83" s="2"/>
      <c r="U83" s="27" t="n">
        <f aca="false">IFERROR(SUMIFS($D$5:$D$238,$C$5:$C$238,$C83)/SUMIFS($I$5:$I$238,$C$5:$C$238,$C83),0)</f>
        <v>0.132743362831858</v>
      </c>
      <c r="V83" s="27" t="n">
        <f aca="false">IFERROR(SUMIFS($E$5:$E$238,$C$5:$C$238,$C83)/SUMIFS($I$5:$I$238,$C$5:$C$238,$C83),0)</f>
        <v>0.283185840707965</v>
      </c>
      <c r="W83" s="27" t="n">
        <f aca="false">IFERROR(SUMIFS($F$5:$F$238,$C$5:$C$238,$C83)/SUMIFS($I$5:$I$238,$C$5:$C$238,$C83),0)</f>
        <v>0</v>
      </c>
      <c r="X83" s="27" t="n">
        <f aca="false">IFERROR(SUMIFS($G$5:$G$238,$C$5:$C$238,$C83)/SUMIFS($I$5:$I$238,$C$5:$C$238,$C83),0)</f>
        <v>0.0884955752212389</v>
      </c>
      <c r="Y83" s="27" t="n">
        <f aca="false">IFERROR(SUMIFS($H$5:$H$238,$C$5:$C$238,$C83)/SUMIFS($I$5:$I$238,$C$5:$C$238,$C83),0)</f>
        <v>0.495575221238938</v>
      </c>
      <c r="Z83" s="24" t="n">
        <f aca="false">LN(MAX(I83,1))</f>
        <v>3.2188758248682</v>
      </c>
      <c r="AA83" s="24" t="n">
        <f aca="false">Calibration!$M$35+Calibration!$N$35+SUMPRODUCT(Calibration!$B$35:$F$35,J83:N83)+SUMPRODUCT(Calibration!$G$35:$K$35,U83:Y83)+Calibration!$L$35*Z83</f>
        <v>0.279996216913953</v>
      </c>
      <c r="AB83" s="24" t="n">
        <f aca="false">Calibration!$M$36+Calibration!$N$36+SUMPRODUCT(Calibration!$B$36:$F$36,J83:N83)+SUMPRODUCT(Calibration!$G$36:$K$36,U83:Y83)+Calibration!$L$36*Z83</f>
        <v>0.467005299245157</v>
      </c>
      <c r="AC83" s="24" t="n">
        <f aca="false">Calibration!$M$37+Calibration!$N$37+SUMPRODUCT(Calibration!$B$37:$F$37,J83:N83)+SUMPRODUCT(Calibration!$G$37:$K$37,U83:Y83)+Calibration!$L$37*Z83</f>
        <v>0.0779994070267307</v>
      </c>
      <c r="AD83" s="27" t="n">
        <f aca="false">EXP(AC83)/(EXP(AA83)+EXP(AB83)+EXP(AC83))</f>
        <v>0.270317221503493</v>
      </c>
      <c r="AE83" s="7" t="str">
        <f aca="false">IF(AC83=MAX(AA83:AC83),"TVK",IF(AB83=MAX(AA83:AC83),"DMK+","AIADMK+"))</f>
        <v>DMK+</v>
      </c>
      <c r="AF83" s="7" t="str">
        <f aca="false">IF(AE83=R83,"Yes","No")</f>
        <v>No</v>
      </c>
      <c r="AG83" s="7" t="str">
        <f aca="false">IF(AE83=P83,"No","Yes")</f>
        <v>Yes</v>
      </c>
      <c r="AH83" s="7" t="str">
        <f aca="false">IF(H83=MAX(D83,E83,H83),"TVK",IF(E83=MAX(D83,E83,H83),"DMK+","AIADMK+"))</f>
        <v>TVK</v>
      </c>
      <c r="AI83" s="27" t="n">
        <f aca="false">EXP(AA83)/(EXP(AA83)+EXP(AB83)+EXP(AC83))</f>
        <v>0.330826137720874</v>
      </c>
      <c r="AJ83" s="27" t="n">
        <f aca="false">EXP(AB83)/(EXP(AA83)+EXP(AB83)+EXP(AC83))</f>
        <v>0.398856640775634</v>
      </c>
      <c r="AK83" s="28" t="s">
        <v>4</v>
      </c>
      <c r="AL83" s="7" t="str">
        <f aca="false">IF(AK83=R83,"Yes","No")</f>
        <v>Yes</v>
      </c>
      <c r="AM83" s="27" t="n">
        <f aca="false">IF(AK83="TVK",AD83,IF(AK83="DMK+",AJ83,AI83))</f>
        <v>0.330826137720874</v>
      </c>
      <c r="AN83" s="7" t="str">
        <f aca="false">IF(AK83=P83,"No","Yes")</f>
        <v>Yes</v>
      </c>
    </row>
    <row r="84" customFormat="false" ht="15" hidden="false" customHeight="false" outlineLevel="0" collapsed="false">
      <c r="A84" s="0" t="n">
        <v>80</v>
      </c>
      <c r="B84" s="4" t="s">
        <v>108</v>
      </c>
      <c r="C84" s="5" t="s">
        <v>108</v>
      </c>
      <c r="D84" s="35" t="n">
        <v>4</v>
      </c>
      <c r="E84" s="35" t="n">
        <v>7</v>
      </c>
      <c r="F84" s="35"/>
      <c r="G84" s="35" t="n">
        <v>4</v>
      </c>
      <c r="H84" s="35" t="n">
        <v>17</v>
      </c>
      <c r="I84" s="5" t="n">
        <f aca="false">SUM(D84:H84)</f>
        <v>32</v>
      </c>
      <c r="J84" s="10" t="n">
        <f aca="false">IF($I84=0,0,D84/$I84)</f>
        <v>0.125</v>
      </c>
      <c r="K84" s="10" t="n">
        <f aca="false">IF($I84=0,0,E84/$I84)</f>
        <v>0.21875</v>
      </c>
      <c r="L84" s="10" t="n">
        <f aca="false">IF($I84=0,0,F84/$I84)</f>
        <v>0</v>
      </c>
      <c r="M84" s="10" t="n">
        <f aca="false">IF($I84=0,0,G84/$I84)</f>
        <v>0.125</v>
      </c>
      <c r="N84" s="10" t="n">
        <f aca="false">IF($I84=0,0,H84/$I84)</f>
        <v>0.53125</v>
      </c>
      <c r="O84" s="35" t="s">
        <v>3</v>
      </c>
      <c r="P84" s="0" t="str">
        <f aca="false">IF(O84="TVK","TVK",IF(O84="DMK","DMK+",IF(O84="ADMK","AIADMK+","")))</f>
        <v>TVK</v>
      </c>
      <c r="Q84" s="35" t="s">
        <v>3</v>
      </c>
      <c r="R84" s="36" t="s">
        <v>3</v>
      </c>
      <c r="S84" s="0" t="str">
        <f aca="false">IF(P84=R84,"Yes","No")</f>
        <v>Yes</v>
      </c>
      <c r="T84" s="2"/>
      <c r="U84" s="27" t="n">
        <f aca="false">IFERROR(SUMIFS($D$5:$D$238,$C$5:$C$238,$C84)/SUMIFS($I$5:$I$238,$C$5:$C$238,$C84),0)</f>
        <v>0.132743362831858</v>
      </c>
      <c r="V84" s="27" t="n">
        <f aca="false">IFERROR(SUMIFS($E$5:$E$238,$C$5:$C$238,$C84)/SUMIFS($I$5:$I$238,$C$5:$C$238,$C84),0)</f>
        <v>0.283185840707965</v>
      </c>
      <c r="W84" s="27" t="n">
        <f aca="false">IFERROR(SUMIFS($F$5:$F$238,$C$5:$C$238,$C84)/SUMIFS($I$5:$I$238,$C$5:$C$238,$C84),0)</f>
        <v>0</v>
      </c>
      <c r="X84" s="27" t="n">
        <f aca="false">IFERROR(SUMIFS($G$5:$G$238,$C$5:$C$238,$C84)/SUMIFS($I$5:$I$238,$C$5:$C$238,$C84),0)</f>
        <v>0.0884955752212389</v>
      </c>
      <c r="Y84" s="27" t="n">
        <f aca="false">IFERROR(SUMIFS($H$5:$H$238,$C$5:$C$238,$C84)/SUMIFS($I$5:$I$238,$C$5:$C$238,$C84),0)</f>
        <v>0.495575221238938</v>
      </c>
      <c r="Z84" s="24" t="n">
        <f aca="false">LN(MAX(I84,1))</f>
        <v>3.46573590279973</v>
      </c>
      <c r="AA84" s="24" t="n">
        <f aca="false">Calibration!$M$35+Calibration!$N$35+SUMPRODUCT(Calibration!$B$35:$F$35,J84:N84)+SUMPRODUCT(Calibration!$G$35:$K$35,U84:Y84)+Calibration!$L$35*Z84</f>
        <v>0.100068283257429</v>
      </c>
      <c r="AB84" s="24" t="n">
        <f aca="false">Calibration!$M$36+Calibration!$N$36+SUMPRODUCT(Calibration!$B$36:$F$36,J84:N84)+SUMPRODUCT(Calibration!$G$36:$K$36,U84:Y84)+Calibration!$L$36*Z84</f>
        <v>0.45475584790742</v>
      </c>
      <c r="AC84" s="24" t="n">
        <f aca="false">Calibration!$M$37+Calibration!$N$37+SUMPRODUCT(Calibration!$B$37:$F$37,J84:N84)+SUMPRODUCT(Calibration!$G$37:$K$37,U84:Y84)+Calibration!$L$37*Z84</f>
        <v>0.270176683270991</v>
      </c>
      <c r="AD84" s="27" t="n">
        <f aca="false">EXP(AC84)/(EXP(AA84)+EXP(AB84)+EXP(AC84))</f>
        <v>0.328268634354566</v>
      </c>
      <c r="AE84" s="7" t="str">
        <f aca="false">IF(AC84=MAX(AA84:AC84),"TVK",IF(AB84=MAX(AA84:AC84),"DMK+","AIADMK+"))</f>
        <v>DMK+</v>
      </c>
      <c r="AF84" s="7" t="str">
        <f aca="false">IF(AE84=R84,"Yes","No")</f>
        <v>No</v>
      </c>
      <c r="AG84" s="7" t="str">
        <f aca="false">IF(AE84=P84,"No","Yes")</f>
        <v>Yes</v>
      </c>
      <c r="AH84" s="7" t="str">
        <f aca="false">IF(H84=MAX(D84,E84,H84),"TVK",IF(E84=MAX(D84,E84,H84),"DMK+","AIADMK+"))</f>
        <v>TVK</v>
      </c>
      <c r="AI84" s="27" t="n">
        <f aca="false">EXP(AA84)/(EXP(AA84)+EXP(AB84)+EXP(AC84))</f>
        <v>0.276918677581651</v>
      </c>
      <c r="AJ84" s="27" t="n">
        <f aca="false">EXP(AB84)/(EXP(AA84)+EXP(AB84)+EXP(AC84))</f>
        <v>0.394812688063783</v>
      </c>
      <c r="AK84" s="28" t="s">
        <v>3</v>
      </c>
      <c r="AL84" s="7" t="str">
        <f aca="false">IF(AK84=R84,"Yes","No")</f>
        <v>Yes</v>
      </c>
      <c r="AM84" s="27" t="n">
        <f aca="false">IF(AK84="TVK",AD84,IF(AK84="DMK+",AJ84,AI84))</f>
        <v>0.328268634354566</v>
      </c>
      <c r="AN84" s="7" t="str">
        <f aca="false">IF(AK84=P84,"No","Yes")</f>
        <v>No</v>
      </c>
    </row>
    <row r="85" customFormat="false" ht="15" hidden="true" customHeight="false" outlineLevel="0" collapsed="false">
      <c r="A85" s="0" t="n">
        <v>81</v>
      </c>
      <c r="B85" s="4" t="s">
        <v>271</v>
      </c>
      <c r="C85" s="5" t="s">
        <v>134</v>
      </c>
      <c r="D85" s="35" t="n">
        <v>13</v>
      </c>
      <c r="E85" s="35" t="n">
        <v>14</v>
      </c>
      <c r="F85" s="35"/>
      <c r="G85" s="35" t="n">
        <v>3</v>
      </c>
      <c r="H85" s="35" t="n">
        <v>10</v>
      </c>
      <c r="I85" s="5" t="n">
        <f aca="false">SUM(D85:H85)</f>
        <v>40</v>
      </c>
      <c r="J85" s="10" t="n">
        <f aca="false">IF($I85=0,0,D85/$I85)</f>
        <v>0.325</v>
      </c>
      <c r="K85" s="10" t="n">
        <f aca="false">IF($I85=0,0,E85/$I85)</f>
        <v>0.35</v>
      </c>
      <c r="L85" s="10" t="n">
        <f aca="false">IF($I85=0,0,F85/$I85)</f>
        <v>0</v>
      </c>
      <c r="M85" s="10" t="n">
        <f aca="false">IF($I85=0,0,G85/$I85)</f>
        <v>0.075</v>
      </c>
      <c r="N85" s="10" t="n">
        <f aca="false">IF($I85=0,0,H85/$I85)</f>
        <v>0.25</v>
      </c>
      <c r="O85" s="35" t="s">
        <v>197</v>
      </c>
      <c r="P85" s="0" t="str">
        <f aca="false">IF(O85="TVK","TVK",IF(O85="DMK","DMK+",IF(O85="ADMK","AIADMK+","")))</f>
        <v>DMK+</v>
      </c>
      <c r="Q85" s="35" t="s">
        <v>196</v>
      </c>
      <c r="R85" s="36" t="s">
        <v>4</v>
      </c>
      <c r="S85" s="0" t="str">
        <f aca="false">IF(P85=R85,"Yes","No")</f>
        <v>No</v>
      </c>
      <c r="T85" s="2"/>
      <c r="U85" s="27" t="n">
        <f aca="false">IFERROR(SUMIFS($D$5:$D$238,$C$5:$C$238,$C85)/SUMIFS($I$5:$I$238,$C$5:$C$238,$C85),0)</f>
        <v>0.278225806451613</v>
      </c>
      <c r="V85" s="27" t="n">
        <f aca="false">IFERROR(SUMIFS($E$5:$E$238,$C$5:$C$238,$C85)/SUMIFS($I$5:$I$238,$C$5:$C$238,$C85),0)</f>
        <v>0.247983870967742</v>
      </c>
      <c r="W85" s="27" t="n">
        <f aca="false">IFERROR(SUMIFS($F$5:$F$238,$C$5:$C$238,$C85)/SUMIFS($I$5:$I$238,$C$5:$C$238,$C85),0)</f>
        <v>0</v>
      </c>
      <c r="X85" s="27" t="n">
        <f aca="false">IFERROR(SUMIFS($G$5:$G$238,$C$5:$C$238,$C85)/SUMIFS($I$5:$I$238,$C$5:$C$238,$C85),0)</f>
        <v>0.0887096774193548</v>
      </c>
      <c r="Y85" s="27" t="n">
        <f aca="false">IFERROR(SUMIFS($H$5:$H$238,$C$5:$C$238,$C85)/SUMIFS($I$5:$I$238,$C$5:$C$238,$C85),0)</f>
        <v>0.38508064516129</v>
      </c>
      <c r="Z85" s="24" t="n">
        <f aca="false">LN(MAX(I85,1))</f>
        <v>3.68887945411394</v>
      </c>
      <c r="AA85" s="24" t="n">
        <f aca="false">Calibration!$M$35+Calibration!$N$35+SUMPRODUCT(Calibration!$B$35:$F$35,J85:N85)+SUMPRODUCT(Calibration!$G$35:$K$35,U85:Y85)+Calibration!$L$35*Z85</f>
        <v>0.221941349551171</v>
      </c>
      <c r="AB85" s="24" t="n">
        <f aca="false">Calibration!$M$36+Calibration!$N$36+SUMPRODUCT(Calibration!$B$36:$F$36,J85:N85)+SUMPRODUCT(Calibration!$G$36:$K$36,U85:Y85)+Calibration!$L$36*Z85</f>
        <v>0.378745934561008</v>
      </c>
      <c r="AC85" s="24" t="n">
        <f aca="false">Calibration!$M$37+Calibration!$N$37+SUMPRODUCT(Calibration!$B$37:$F$37,J85:N85)+SUMPRODUCT(Calibration!$G$37:$K$37,U85:Y85)+Calibration!$L$37*Z85</f>
        <v>0.224313213871692</v>
      </c>
      <c r="AD85" s="27" t="n">
        <f aca="false">EXP(AC85)/(EXP(AA85)+EXP(AB85)+EXP(AC85))</f>
        <v>0.315993035692015</v>
      </c>
      <c r="AE85" s="7" t="str">
        <f aca="false">IF(AC85=MAX(AA85:AC85),"TVK",IF(AB85=MAX(AA85:AC85),"DMK+","AIADMK+"))</f>
        <v>DMK+</v>
      </c>
      <c r="AF85" s="7" t="str">
        <f aca="false">IF(AE85=R85,"Yes","No")</f>
        <v>No</v>
      </c>
      <c r="AG85" s="7" t="str">
        <f aca="false">IF(AE85=P85,"No","Yes")</f>
        <v>No</v>
      </c>
      <c r="AH85" s="7" t="str">
        <f aca="false">IF(H85=MAX(D85,E85,H85),"TVK",IF(E85=MAX(D85,E85,H85),"DMK+","AIADMK+"))</f>
        <v>DMK+</v>
      </c>
      <c r="AI85" s="27" t="n">
        <f aca="false">EXP(AA85)/(EXP(AA85)+EXP(AB85)+EXP(AC85))</f>
        <v>0.315244431230185</v>
      </c>
      <c r="AJ85" s="27" t="n">
        <f aca="false">EXP(AB85)/(EXP(AA85)+EXP(AB85)+EXP(AC85))</f>
        <v>0.368762533077801</v>
      </c>
      <c r="AK85" s="28" t="s">
        <v>4</v>
      </c>
      <c r="AL85" s="7" t="str">
        <f aca="false">IF(AK85=R85,"Yes","No")</f>
        <v>Yes</v>
      </c>
      <c r="AM85" s="27" t="n">
        <f aca="false">IF(AK85="TVK",AD85,IF(AK85="DMK+",AJ85,AI85))</f>
        <v>0.315244431230185</v>
      </c>
      <c r="AN85" s="7" t="str">
        <f aca="false">IF(AK85=P85,"No","Yes")</f>
        <v>Yes</v>
      </c>
    </row>
    <row r="86" customFormat="false" ht="15" hidden="true" customHeight="false" outlineLevel="0" collapsed="false">
      <c r="A86" s="0" t="n">
        <v>82</v>
      </c>
      <c r="B86" s="4" t="s">
        <v>272</v>
      </c>
      <c r="C86" s="5" t="s">
        <v>134</v>
      </c>
      <c r="D86" s="35" t="n">
        <v>10</v>
      </c>
      <c r="E86" s="35" t="n">
        <v>6</v>
      </c>
      <c r="F86" s="35"/>
      <c r="G86" s="35" t="n">
        <v>4</v>
      </c>
      <c r="H86" s="35" t="n">
        <v>10</v>
      </c>
      <c r="I86" s="5" t="n">
        <f aca="false">SUM(D86:H86)</f>
        <v>30</v>
      </c>
      <c r="J86" s="10" t="n">
        <f aca="false">IF($I86=0,0,D86/$I86)</f>
        <v>0.333333333333333</v>
      </c>
      <c r="K86" s="10" t="n">
        <f aca="false">IF($I86=0,0,E86/$I86)</f>
        <v>0.2</v>
      </c>
      <c r="L86" s="10" t="n">
        <f aca="false">IF($I86=0,0,F86/$I86)</f>
        <v>0</v>
      </c>
      <c r="M86" s="10" t="n">
        <f aca="false">IF($I86=0,0,G86/$I86)</f>
        <v>0.133333333333333</v>
      </c>
      <c r="N86" s="10" t="n">
        <f aca="false">IF($I86=0,0,H86/$I86)</f>
        <v>0.333333333333333</v>
      </c>
      <c r="O86" s="35" t="s">
        <v>218</v>
      </c>
      <c r="P86" s="0" t="str">
        <f aca="false">IF(O86="TVK","TVK",IF(O86="DMK","DMK+",IF(O86="ADMK","AIADMK+","")))</f>
        <v>AIADMK+</v>
      </c>
      <c r="Q86" s="35" t="s">
        <v>196</v>
      </c>
      <c r="R86" s="36" t="s">
        <v>4</v>
      </c>
      <c r="S86" s="0" t="str">
        <f aca="false">IF(P86=R86,"Yes","No")</f>
        <v>Yes</v>
      </c>
      <c r="T86" s="2"/>
      <c r="U86" s="27" t="n">
        <f aca="false">IFERROR(SUMIFS($D$5:$D$238,$C$5:$C$238,$C86)/SUMIFS($I$5:$I$238,$C$5:$C$238,$C86),0)</f>
        <v>0.278225806451613</v>
      </c>
      <c r="V86" s="27" t="n">
        <f aca="false">IFERROR(SUMIFS($E$5:$E$238,$C$5:$C$238,$C86)/SUMIFS($I$5:$I$238,$C$5:$C$238,$C86),0)</f>
        <v>0.247983870967742</v>
      </c>
      <c r="W86" s="27" t="n">
        <f aca="false">IFERROR(SUMIFS($F$5:$F$238,$C$5:$C$238,$C86)/SUMIFS($I$5:$I$238,$C$5:$C$238,$C86),0)</f>
        <v>0</v>
      </c>
      <c r="X86" s="27" t="n">
        <f aca="false">IFERROR(SUMIFS($G$5:$G$238,$C$5:$C$238,$C86)/SUMIFS($I$5:$I$238,$C$5:$C$238,$C86),0)</f>
        <v>0.0887096774193548</v>
      </c>
      <c r="Y86" s="27" t="n">
        <f aca="false">IFERROR(SUMIFS($H$5:$H$238,$C$5:$C$238,$C86)/SUMIFS($I$5:$I$238,$C$5:$C$238,$C86),0)</f>
        <v>0.38508064516129</v>
      </c>
      <c r="Z86" s="24" t="n">
        <f aca="false">LN(MAX(I86,1))</f>
        <v>3.40119738166216</v>
      </c>
      <c r="AA86" s="24" t="n">
        <f aca="false">Calibration!$M$35+Calibration!$N$35+SUMPRODUCT(Calibration!$B$35:$F$35,J86:N86)+SUMPRODUCT(Calibration!$G$35:$K$35,U86:Y86)+Calibration!$L$35*Z86</f>
        <v>0.476073239493978</v>
      </c>
      <c r="AB86" s="24" t="n">
        <f aca="false">Calibration!$M$36+Calibration!$N$36+SUMPRODUCT(Calibration!$B$36:$F$36,J86:N86)+SUMPRODUCT(Calibration!$G$36:$K$36,U86:Y86)+Calibration!$L$36*Z86</f>
        <v>0.367878576176466</v>
      </c>
      <c r="AC86" s="24" t="n">
        <f aca="false">Calibration!$M$37+Calibration!$N$37+SUMPRODUCT(Calibration!$B$37:$F$37,J86:N86)+SUMPRODUCT(Calibration!$G$37:$K$37,U86:Y86)+Calibration!$L$37*Z86</f>
        <v>-0.0189512343532399</v>
      </c>
      <c r="AD86" s="27" t="n">
        <f aca="false">EXP(AC86)/(EXP(AA86)+EXP(AB86)+EXP(AC86))</f>
        <v>0.243140739112477</v>
      </c>
      <c r="AE86" s="7" t="str">
        <f aca="false">IF(AC86=MAX(AA86:AC86),"TVK",IF(AB86=MAX(AA86:AC86),"DMK+","AIADMK+"))</f>
        <v>AIADMK+</v>
      </c>
      <c r="AF86" s="7" t="str">
        <f aca="false">IF(AE86=R86,"Yes","No")</f>
        <v>Yes</v>
      </c>
      <c r="AG86" s="7" t="str">
        <f aca="false">IF(AE86=P86,"No","Yes")</f>
        <v>No</v>
      </c>
      <c r="AH86" s="7" t="str">
        <f aca="false">IF(H86=MAX(D86,E86,H86),"TVK",IF(E86=MAX(D86,E86,H86),"DMK+","AIADMK+"))</f>
        <v>TVK</v>
      </c>
      <c r="AI86" s="27" t="n">
        <f aca="false">EXP(AA86)/(EXP(AA86)+EXP(AB86)+EXP(AC86))</f>
        <v>0.398881716407775</v>
      </c>
      <c r="AJ86" s="27" t="n">
        <f aca="false">EXP(AB86)/(EXP(AA86)+EXP(AB86)+EXP(AC86))</f>
        <v>0.357977544479748</v>
      </c>
      <c r="AK86" s="28" t="s">
        <v>4</v>
      </c>
      <c r="AL86" s="7" t="str">
        <f aca="false">IF(AK86=R86,"Yes","No")</f>
        <v>Yes</v>
      </c>
      <c r="AM86" s="27" t="n">
        <f aca="false">IF(AK86="TVK",AD86,IF(AK86="DMK+",AJ86,AI86))</f>
        <v>0.398881716407775</v>
      </c>
      <c r="AN86" s="7" t="str">
        <f aca="false">IF(AK86=P86,"No","Yes")</f>
        <v>No</v>
      </c>
    </row>
    <row r="87" customFormat="false" ht="15" hidden="true" customHeight="false" outlineLevel="0" collapsed="false">
      <c r="A87" s="0" t="n">
        <v>83</v>
      </c>
      <c r="B87" s="4" t="s">
        <v>273</v>
      </c>
      <c r="C87" s="5" t="s">
        <v>134</v>
      </c>
      <c r="D87" s="35" t="n">
        <v>11</v>
      </c>
      <c r="E87" s="35" t="n">
        <v>14</v>
      </c>
      <c r="F87" s="35"/>
      <c r="G87" s="35" t="n">
        <v>4</v>
      </c>
      <c r="H87" s="35" t="n">
        <v>6</v>
      </c>
      <c r="I87" s="5" t="n">
        <f aca="false">SUM(D87:H87)</f>
        <v>35</v>
      </c>
      <c r="J87" s="10" t="n">
        <f aca="false">IF($I87=0,0,D87/$I87)</f>
        <v>0.314285714285714</v>
      </c>
      <c r="K87" s="10" t="n">
        <f aca="false">IF($I87=0,0,E87/$I87)</f>
        <v>0.4</v>
      </c>
      <c r="L87" s="10" t="n">
        <f aca="false">IF($I87=0,0,F87/$I87)</f>
        <v>0</v>
      </c>
      <c r="M87" s="10" t="n">
        <f aca="false">IF($I87=0,0,G87/$I87)</f>
        <v>0.114285714285714</v>
      </c>
      <c r="N87" s="10" t="n">
        <f aca="false">IF($I87=0,0,H87/$I87)</f>
        <v>0.171428571428571</v>
      </c>
      <c r="O87" s="35" t="s">
        <v>197</v>
      </c>
      <c r="P87" s="0" t="str">
        <f aca="false">IF(O87="TVK","TVK",IF(O87="DMK","DMK+",IF(O87="ADMK","AIADMK+","")))</f>
        <v>DMK+</v>
      </c>
      <c r="Q87" s="35" t="s">
        <v>196</v>
      </c>
      <c r="R87" s="36" t="s">
        <v>4</v>
      </c>
      <c r="S87" s="0" t="str">
        <f aca="false">IF(P87=R87,"Yes","No")</f>
        <v>No</v>
      </c>
      <c r="T87" s="2"/>
      <c r="U87" s="27" t="n">
        <f aca="false">IFERROR(SUMIFS($D$5:$D$238,$C$5:$C$238,$C87)/SUMIFS($I$5:$I$238,$C$5:$C$238,$C87),0)</f>
        <v>0.278225806451613</v>
      </c>
      <c r="V87" s="27" t="n">
        <f aca="false">IFERROR(SUMIFS($E$5:$E$238,$C$5:$C$238,$C87)/SUMIFS($I$5:$I$238,$C$5:$C$238,$C87),0)</f>
        <v>0.247983870967742</v>
      </c>
      <c r="W87" s="27" t="n">
        <f aca="false">IFERROR(SUMIFS($F$5:$F$238,$C$5:$C$238,$C87)/SUMIFS($I$5:$I$238,$C$5:$C$238,$C87),0)</f>
        <v>0</v>
      </c>
      <c r="X87" s="27" t="n">
        <f aca="false">IFERROR(SUMIFS($G$5:$G$238,$C$5:$C$238,$C87)/SUMIFS($I$5:$I$238,$C$5:$C$238,$C87),0)</f>
        <v>0.0887096774193548</v>
      </c>
      <c r="Y87" s="27" t="n">
        <f aca="false">IFERROR(SUMIFS($H$5:$H$238,$C$5:$C$238,$C87)/SUMIFS($I$5:$I$238,$C$5:$C$238,$C87),0)</f>
        <v>0.38508064516129</v>
      </c>
      <c r="Z87" s="24" t="n">
        <f aca="false">LN(MAX(I87,1))</f>
        <v>3.55534806148941</v>
      </c>
      <c r="AA87" s="24" t="n">
        <f aca="false">Calibration!$M$35+Calibration!$N$35+SUMPRODUCT(Calibration!$B$35:$F$35,J87:N87)+SUMPRODUCT(Calibration!$G$35:$K$35,U87:Y87)+Calibration!$L$35*Z87</f>
        <v>0.261627306880933</v>
      </c>
      <c r="AB87" s="24" t="n">
        <f aca="false">Calibration!$M$36+Calibration!$N$36+SUMPRODUCT(Calibration!$B$36:$F$36,J87:N87)+SUMPRODUCT(Calibration!$G$36:$K$36,U87:Y87)+Calibration!$L$36*Z87</f>
        <v>0.5558060248127</v>
      </c>
      <c r="AC87" s="24" t="n">
        <f aca="false">Calibration!$M$37+Calibration!$N$37+SUMPRODUCT(Calibration!$B$37:$F$37,J87:N87)+SUMPRODUCT(Calibration!$G$37:$K$37,U87:Y87)+Calibration!$L$37*Z87</f>
        <v>0.00756708771880899</v>
      </c>
      <c r="AD87" s="27" t="n">
        <f aca="false">EXP(AC87)/(EXP(AA87)+EXP(AB87)+EXP(AC87))</f>
        <v>0.248790085557948</v>
      </c>
      <c r="AE87" s="7" t="str">
        <f aca="false">IF(AC87=MAX(AA87:AC87),"TVK",IF(AB87=MAX(AA87:AC87),"DMK+","AIADMK+"))</f>
        <v>DMK+</v>
      </c>
      <c r="AF87" s="7" t="str">
        <f aca="false">IF(AE87=R87,"Yes","No")</f>
        <v>No</v>
      </c>
      <c r="AG87" s="7" t="str">
        <f aca="false">IF(AE87=P87,"No","Yes")</f>
        <v>No</v>
      </c>
      <c r="AH87" s="7" t="str">
        <f aca="false">IF(H87=MAX(D87,E87,H87),"TVK",IF(E87=MAX(D87,E87,H87),"DMK+","AIADMK+"))</f>
        <v>DMK+</v>
      </c>
      <c r="AI87" s="27" t="n">
        <f aca="false">EXP(AA87)/(EXP(AA87)+EXP(AB87)+EXP(AC87))</f>
        <v>0.320752478346608</v>
      </c>
      <c r="AJ87" s="27" t="n">
        <f aca="false">EXP(AB87)/(EXP(AA87)+EXP(AB87)+EXP(AC87))</f>
        <v>0.430457436095444</v>
      </c>
      <c r="AK87" s="28" t="s">
        <v>4</v>
      </c>
      <c r="AL87" s="7" t="str">
        <f aca="false">IF(AK87=R87,"Yes","No")</f>
        <v>Yes</v>
      </c>
      <c r="AM87" s="27" t="n">
        <f aca="false">IF(AK87="TVK",AD87,IF(AK87="DMK+",AJ87,AI87))</f>
        <v>0.320752478346608</v>
      </c>
      <c r="AN87" s="7" t="str">
        <f aca="false">IF(AK87=P87,"No","Yes")</f>
        <v>Yes</v>
      </c>
    </row>
    <row r="88" customFormat="false" ht="15" hidden="false" customHeight="false" outlineLevel="0" collapsed="false">
      <c r="A88" s="0" t="n">
        <v>84</v>
      </c>
      <c r="B88" s="4" t="s">
        <v>274</v>
      </c>
      <c r="C88" s="5" t="s">
        <v>134</v>
      </c>
      <c r="D88" s="35" t="n">
        <v>19</v>
      </c>
      <c r="E88" s="35" t="n">
        <v>6</v>
      </c>
      <c r="F88" s="35"/>
      <c r="G88" s="35"/>
      <c r="H88" s="35" t="n">
        <v>21</v>
      </c>
      <c r="I88" s="5" t="n">
        <f aca="false">SUM(D88:H88)</f>
        <v>46</v>
      </c>
      <c r="J88" s="10" t="n">
        <f aca="false">IF($I88=0,0,D88/$I88)</f>
        <v>0.41304347826087</v>
      </c>
      <c r="K88" s="10" t="n">
        <f aca="false">IF($I88=0,0,E88/$I88)</f>
        <v>0.130434782608696</v>
      </c>
      <c r="L88" s="10" t="n">
        <f aca="false">IF($I88=0,0,F88/$I88)</f>
        <v>0</v>
      </c>
      <c r="M88" s="10" t="n">
        <f aca="false">IF($I88=0,0,G88/$I88)</f>
        <v>0</v>
      </c>
      <c r="N88" s="10" t="n">
        <f aca="false">IF($I88=0,0,H88/$I88)</f>
        <v>0.456521739130435</v>
      </c>
      <c r="O88" s="35" t="s">
        <v>3</v>
      </c>
      <c r="P88" s="0" t="str">
        <f aca="false">IF(O88="TVK","TVK",IF(O88="DMK","DMK+",IF(O88="ADMK","AIADMK+","")))</f>
        <v>TVK</v>
      </c>
      <c r="Q88" s="35" t="s">
        <v>196</v>
      </c>
      <c r="R88" s="36" t="s">
        <v>4</v>
      </c>
      <c r="S88" s="0" t="str">
        <f aca="false">IF(P88=R88,"Yes","No")</f>
        <v>No</v>
      </c>
      <c r="T88" s="2"/>
      <c r="U88" s="27" t="n">
        <f aca="false">IFERROR(SUMIFS($D$5:$D$238,$C$5:$C$238,$C88)/SUMIFS($I$5:$I$238,$C$5:$C$238,$C88),0)</f>
        <v>0.278225806451613</v>
      </c>
      <c r="V88" s="27" t="n">
        <f aca="false">IFERROR(SUMIFS($E$5:$E$238,$C$5:$C$238,$C88)/SUMIFS($I$5:$I$238,$C$5:$C$238,$C88),0)</f>
        <v>0.247983870967742</v>
      </c>
      <c r="W88" s="27" t="n">
        <f aca="false">IFERROR(SUMIFS($F$5:$F$238,$C$5:$C$238,$C88)/SUMIFS($I$5:$I$238,$C$5:$C$238,$C88),0)</f>
        <v>0</v>
      </c>
      <c r="X88" s="27" t="n">
        <f aca="false">IFERROR(SUMIFS($G$5:$G$238,$C$5:$C$238,$C88)/SUMIFS($I$5:$I$238,$C$5:$C$238,$C88),0)</f>
        <v>0.0887096774193548</v>
      </c>
      <c r="Y88" s="27" t="n">
        <f aca="false">IFERROR(SUMIFS($H$5:$H$238,$C$5:$C$238,$C88)/SUMIFS($I$5:$I$238,$C$5:$C$238,$C88),0)</f>
        <v>0.38508064516129</v>
      </c>
      <c r="Z88" s="24" t="n">
        <f aca="false">LN(MAX(I88,1))</f>
        <v>3.8286413964891</v>
      </c>
      <c r="AA88" s="24" t="n">
        <f aca="false">Calibration!$M$35+Calibration!$N$35+SUMPRODUCT(Calibration!$B$35:$F$35,J88:N88)+SUMPRODUCT(Calibration!$G$35:$K$35,U88:Y88)+Calibration!$L$35*Z88</f>
        <v>0.346820504248074</v>
      </c>
      <c r="AB88" s="24" t="n">
        <f aca="false">Calibration!$M$36+Calibration!$N$36+SUMPRODUCT(Calibration!$B$36:$F$36,J88:N88)+SUMPRODUCT(Calibration!$G$36:$K$36,U88:Y88)+Calibration!$L$36*Z88</f>
        <v>-0.0967474552652305</v>
      </c>
      <c r="AC88" s="24" t="n">
        <f aca="false">Calibration!$M$37+Calibration!$N$37+SUMPRODUCT(Calibration!$B$37:$F$37,J88:N88)+SUMPRODUCT(Calibration!$G$37:$K$37,U88:Y88)+Calibration!$L$37*Z88</f>
        <v>0.574927655522767</v>
      </c>
      <c r="AD88" s="27" t="n">
        <f aca="false">EXP(AC88)/(EXP(AA88)+EXP(AB88)+EXP(AC88))</f>
        <v>0.433483837323804</v>
      </c>
      <c r="AE88" s="7" t="str">
        <f aca="false">IF(AC88=MAX(AA88:AC88),"TVK",IF(AB88=MAX(AA88:AC88),"DMK+","AIADMK+"))</f>
        <v>TVK</v>
      </c>
      <c r="AF88" s="7" t="str">
        <f aca="false">IF(AE88=R88,"Yes","No")</f>
        <v>No</v>
      </c>
      <c r="AG88" s="7" t="str">
        <f aca="false">IF(AE88=P88,"No","Yes")</f>
        <v>No</v>
      </c>
      <c r="AH88" s="7" t="str">
        <f aca="false">IF(H88=MAX(D88,E88,H88),"TVK",IF(E88=MAX(D88,E88,H88),"DMK+","AIADMK+"))</f>
        <v>TVK</v>
      </c>
      <c r="AI88" s="27" t="n">
        <f aca="false">EXP(AA88)/(EXP(AA88)+EXP(AB88)+EXP(AC88))</f>
        <v>0.345070022466266</v>
      </c>
      <c r="AJ88" s="27" t="n">
        <f aca="false">EXP(AB88)/(EXP(AA88)+EXP(AB88)+EXP(AC88))</f>
        <v>0.22144614020993</v>
      </c>
      <c r="AK88" s="28" t="s">
        <v>4</v>
      </c>
      <c r="AL88" s="7" t="str">
        <f aca="false">IF(AK88=R88,"Yes","No")</f>
        <v>Yes</v>
      </c>
      <c r="AM88" s="27" t="n">
        <f aca="false">IF(AK88="TVK",AD88,IF(AK88="DMK+",AJ88,AI88))</f>
        <v>0.345070022466266</v>
      </c>
      <c r="AN88" s="7" t="str">
        <f aca="false">IF(AK88=P88,"No","Yes")</f>
        <v>Yes</v>
      </c>
    </row>
    <row r="89" customFormat="false" ht="15" hidden="true" customHeight="false" outlineLevel="0" collapsed="false">
      <c r="A89" s="0" t="n">
        <v>85</v>
      </c>
      <c r="B89" s="4" t="s">
        <v>275</v>
      </c>
      <c r="C89" s="5" t="s">
        <v>134</v>
      </c>
      <c r="D89" s="35" t="n">
        <v>10</v>
      </c>
      <c r="E89" s="35" t="n">
        <v>4</v>
      </c>
      <c r="F89" s="35"/>
      <c r="G89" s="35" t="n">
        <v>5</v>
      </c>
      <c r="H89" s="35" t="n">
        <v>9</v>
      </c>
      <c r="I89" s="5" t="n">
        <f aca="false">SUM(D89:H89)</f>
        <v>28</v>
      </c>
      <c r="J89" s="10" t="n">
        <f aca="false">IF($I89=0,0,D89/$I89)</f>
        <v>0.357142857142857</v>
      </c>
      <c r="K89" s="10" t="n">
        <f aca="false">IF($I89=0,0,E89/$I89)</f>
        <v>0.142857142857143</v>
      </c>
      <c r="L89" s="10" t="n">
        <f aca="false">IF($I89=0,0,F89/$I89)</f>
        <v>0</v>
      </c>
      <c r="M89" s="10" t="n">
        <f aca="false">IF($I89=0,0,G89/$I89)</f>
        <v>0.178571428571429</v>
      </c>
      <c r="N89" s="10" t="n">
        <f aca="false">IF($I89=0,0,H89/$I89)</f>
        <v>0.321428571428571</v>
      </c>
      <c r="O89" s="35" t="s">
        <v>218</v>
      </c>
      <c r="P89" s="0" t="str">
        <f aca="false">IF(O89="TVK","TVK",IF(O89="DMK","DMK+",IF(O89="ADMK","AIADMK+","")))</f>
        <v>AIADMK+</v>
      </c>
      <c r="Q89" s="35" t="s">
        <v>196</v>
      </c>
      <c r="R89" s="36" t="s">
        <v>4</v>
      </c>
      <c r="S89" s="0" t="str">
        <f aca="false">IF(P89=R89,"Yes","No")</f>
        <v>Yes</v>
      </c>
      <c r="T89" s="2"/>
      <c r="U89" s="27" t="n">
        <f aca="false">IFERROR(SUMIFS($D$5:$D$238,$C$5:$C$238,$C89)/SUMIFS($I$5:$I$238,$C$5:$C$238,$C89),0)</f>
        <v>0.278225806451613</v>
      </c>
      <c r="V89" s="27" t="n">
        <f aca="false">IFERROR(SUMIFS($E$5:$E$238,$C$5:$C$238,$C89)/SUMIFS($I$5:$I$238,$C$5:$C$238,$C89),0)</f>
        <v>0.247983870967742</v>
      </c>
      <c r="W89" s="27" t="n">
        <f aca="false">IFERROR(SUMIFS($F$5:$F$238,$C$5:$C$238,$C89)/SUMIFS($I$5:$I$238,$C$5:$C$238,$C89),0)</f>
        <v>0</v>
      </c>
      <c r="X89" s="27" t="n">
        <f aca="false">IFERROR(SUMIFS($G$5:$G$238,$C$5:$C$238,$C89)/SUMIFS($I$5:$I$238,$C$5:$C$238,$C89),0)</f>
        <v>0.0887096774193548</v>
      </c>
      <c r="Y89" s="27" t="n">
        <f aca="false">IFERROR(SUMIFS($H$5:$H$238,$C$5:$C$238,$C89)/SUMIFS($I$5:$I$238,$C$5:$C$238,$C89),0)</f>
        <v>0.38508064516129</v>
      </c>
      <c r="Z89" s="24" t="n">
        <f aca="false">LN(MAX(I89,1))</f>
        <v>3.3322045101752</v>
      </c>
      <c r="AA89" s="24" t="n">
        <f aca="false">Calibration!$M$35+Calibration!$N$35+SUMPRODUCT(Calibration!$B$35:$F$35,J89:N89)+SUMPRODUCT(Calibration!$G$35:$K$35,U89:Y89)+Calibration!$L$35*Z89</f>
        <v>0.578957928882428</v>
      </c>
      <c r="AB89" s="24" t="n">
        <f aca="false">Calibration!$M$36+Calibration!$N$36+SUMPRODUCT(Calibration!$B$36:$F$36,J89:N89)+SUMPRODUCT(Calibration!$G$36:$K$36,U89:Y89)+Calibration!$L$36*Z89</f>
        <v>0.339389028525024</v>
      </c>
      <c r="AC89" s="24" t="n">
        <f aca="false">Calibration!$M$37+Calibration!$N$37+SUMPRODUCT(Calibration!$B$37:$F$37,J89:N89)+SUMPRODUCT(Calibration!$G$37:$K$37,U89:Y89)+Calibration!$L$37*Z89</f>
        <v>-0.0933463879950094</v>
      </c>
      <c r="AD89" s="27" t="n">
        <f aca="false">EXP(AC89)/(EXP(AA89)+EXP(AB89)+EXP(AC89))</f>
        <v>0.222211654096094</v>
      </c>
      <c r="AE89" s="7" t="str">
        <f aca="false">IF(AC89=MAX(AA89:AC89),"TVK",IF(AB89=MAX(AA89:AC89),"DMK+","AIADMK+"))</f>
        <v>AIADMK+</v>
      </c>
      <c r="AF89" s="7" t="str">
        <f aca="false">IF(AE89=R89,"Yes","No")</f>
        <v>Yes</v>
      </c>
      <c r="AG89" s="7" t="str">
        <f aca="false">IF(AE89=P89,"No","Yes")</f>
        <v>No</v>
      </c>
      <c r="AH89" s="7" t="str">
        <f aca="false">IF(H89=MAX(D89,E89,H89),"TVK",IF(E89=MAX(D89,E89,H89),"DMK+","AIADMK+"))</f>
        <v>AIADMK+</v>
      </c>
      <c r="AI89" s="27" t="n">
        <f aca="false">EXP(AA89)/(EXP(AA89)+EXP(AB89)+EXP(AC89))</f>
        <v>0.435256120849132</v>
      </c>
      <c r="AJ89" s="27" t="n">
        <f aca="false">EXP(AB89)/(EXP(AA89)+EXP(AB89)+EXP(AC89))</f>
        <v>0.342532225054774</v>
      </c>
      <c r="AK89" s="28" t="s">
        <v>4</v>
      </c>
      <c r="AL89" s="7" t="str">
        <f aca="false">IF(AK89=R89,"Yes","No")</f>
        <v>Yes</v>
      </c>
      <c r="AM89" s="27" t="n">
        <f aca="false">IF(AK89="TVK",AD89,IF(AK89="DMK+",AJ89,AI89))</f>
        <v>0.435256120849132</v>
      </c>
      <c r="AN89" s="7" t="str">
        <f aca="false">IF(AK89=P89,"No","Yes")</f>
        <v>No</v>
      </c>
    </row>
    <row r="90" customFormat="false" ht="15" hidden="false" customHeight="false" outlineLevel="0" collapsed="false">
      <c r="A90" s="0" t="n">
        <v>86</v>
      </c>
      <c r="B90" s="4" t="s">
        <v>276</v>
      </c>
      <c r="C90" s="5" t="s">
        <v>134</v>
      </c>
      <c r="D90" s="35" t="n">
        <v>20</v>
      </c>
      <c r="E90" s="35" t="n">
        <v>7</v>
      </c>
      <c r="F90" s="35"/>
      <c r="G90" s="35" t="n">
        <v>3</v>
      </c>
      <c r="H90" s="35" t="n">
        <v>23</v>
      </c>
      <c r="I90" s="5" t="n">
        <f aca="false">SUM(D90:H90)</f>
        <v>53</v>
      </c>
      <c r="J90" s="10" t="n">
        <f aca="false">IF($I90=0,0,D90/$I90)</f>
        <v>0.377358490566038</v>
      </c>
      <c r="K90" s="10" t="n">
        <f aca="false">IF($I90=0,0,E90/$I90)</f>
        <v>0.132075471698113</v>
      </c>
      <c r="L90" s="10" t="n">
        <f aca="false">IF($I90=0,0,F90/$I90)</f>
        <v>0</v>
      </c>
      <c r="M90" s="10" t="n">
        <f aca="false">IF($I90=0,0,G90/$I90)</f>
        <v>0.0566037735849057</v>
      </c>
      <c r="N90" s="10" t="n">
        <f aca="false">IF($I90=0,0,H90/$I90)</f>
        <v>0.433962264150943</v>
      </c>
      <c r="O90" s="35" t="s">
        <v>3</v>
      </c>
      <c r="P90" s="0" t="str">
        <f aca="false">IF(O90="TVK","TVK",IF(O90="DMK","DMK+",IF(O90="ADMK","AIADMK+","")))</f>
        <v>TVK</v>
      </c>
      <c r="Q90" s="35" t="s">
        <v>196</v>
      </c>
      <c r="R90" s="36" t="s">
        <v>4</v>
      </c>
      <c r="S90" s="0" t="str">
        <f aca="false">IF(P90=R90,"Yes","No")</f>
        <v>No</v>
      </c>
      <c r="T90" s="2"/>
      <c r="U90" s="27" t="n">
        <f aca="false">IFERROR(SUMIFS($D$5:$D$238,$C$5:$C$238,$C90)/SUMIFS($I$5:$I$238,$C$5:$C$238,$C90),0)</f>
        <v>0.278225806451613</v>
      </c>
      <c r="V90" s="27" t="n">
        <f aca="false">IFERROR(SUMIFS($E$5:$E$238,$C$5:$C$238,$C90)/SUMIFS($I$5:$I$238,$C$5:$C$238,$C90),0)</f>
        <v>0.247983870967742</v>
      </c>
      <c r="W90" s="27" t="n">
        <f aca="false">IFERROR(SUMIFS($F$5:$F$238,$C$5:$C$238,$C90)/SUMIFS($I$5:$I$238,$C$5:$C$238,$C90),0)</f>
        <v>0</v>
      </c>
      <c r="X90" s="27" t="n">
        <f aca="false">IFERROR(SUMIFS($G$5:$G$238,$C$5:$C$238,$C90)/SUMIFS($I$5:$I$238,$C$5:$C$238,$C90),0)</f>
        <v>0.0887096774193548</v>
      </c>
      <c r="Y90" s="27" t="n">
        <f aca="false">IFERROR(SUMIFS($H$5:$H$238,$C$5:$C$238,$C90)/SUMIFS($I$5:$I$238,$C$5:$C$238,$C90),0)</f>
        <v>0.38508064516129</v>
      </c>
      <c r="Z90" s="24" t="n">
        <f aca="false">LN(MAX(I90,1))</f>
        <v>3.97029191355212</v>
      </c>
      <c r="AA90" s="24" t="n">
        <f aca="false">Calibration!$M$35+Calibration!$N$35+SUMPRODUCT(Calibration!$B$35:$F$35,J90:N90)+SUMPRODUCT(Calibration!$G$35:$K$35,U90:Y90)+Calibration!$L$35*Z90</f>
        <v>0.246031537155139</v>
      </c>
      <c r="AB90" s="24" t="n">
        <f aca="false">Calibration!$M$36+Calibration!$N$36+SUMPRODUCT(Calibration!$B$36:$F$36,J90:N90)+SUMPRODUCT(Calibration!$G$36:$K$36,U90:Y90)+Calibration!$L$36*Z90</f>
        <v>-0.137796120772398</v>
      </c>
      <c r="AC90" s="24" t="n">
        <f aca="false">Calibration!$M$37+Calibration!$N$37+SUMPRODUCT(Calibration!$B$37:$F$37,J90:N90)+SUMPRODUCT(Calibration!$G$37:$K$37,U90:Y90)+Calibration!$L$37*Z90</f>
        <v>0.716765265563394</v>
      </c>
      <c r="AD90" s="27" t="n">
        <f aca="false">EXP(AC90)/(EXP(AA90)+EXP(AB90)+EXP(AC90))</f>
        <v>0.487801636767565</v>
      </c>
      <c r="AE90" s="7" t="str">
        <f aca="false">IF(AC90=MAX(AA90:AC90),"TVK",IF(AB90=MAX(AA90:AC90),"DMK+","AIADMK+"))</f>
        <v>TVK</v>
      </c>
      <c r="AF90" s="7" t="str">
        <f aca="false">IF(AE90=R90,"Yes","No")</f>
        <v>No</v>
      </c>
      <c r="AG90" s="7" t="str">
        <f aca="false">IF(AE90=P90,"No","Yes")</f>
        <v>No</v>
      </c>
      <c r="AH90" s="7" t="str">
        <f aca="false">IF(H90=MAX(D90,E90,H90),"TVK",IF(E90=MAX(D90,E90,H90),"DMK+","AIADMK+"))</f>
        <v>TVK</v>
      </c>
      <c r="AI90" s="27" t="n">
        <f aca="false">EXP(AA90)/(EXP(AA90)+EXP(AB90)+EXP(AC90))</f>
        <v>0.304653514487195</v>
      </c>
      <c r="AJ90" s="27" t="n">
        <f aca="false">EXP(AB90)/(EXP(AA90)+EXP(AB90)+EXP(AC90))</f>
        <v>0.20754484874524</v>
      </c>
      <c r="AK90" s="28" t="s">
        <v>3</v>
      </c>
      <c r="AL90" s="7" t="str">
        <f aca="false">IF(AK90=R90,"Yes","No")</f>
        <v>No</v>
      </c>
      <c r="AM90" s="27" t="n">
        <f aca="false">IF(AK90="TVK",AD90,IF(AK90="DMK+",AJ90,AI90))</f>
        <v>0.487801636767565</v>
      </c>
      <c r="AN90" s="7" t="str">
        <f aca="false">IF(AK90=P90,"No","Yes")</f>
        <v>No</v>
      </c>
    </row>
    <row r="91" customFormat="false" ht="15" hidden="true" customHeight="false" outlineLevel="0" collapsed="false">
      <c r="A91" s="0" t="n">
        <v>87</v>
      </c>
      <c r="B91" s="4" t="s">
        <v>277</v>
      </c>
      <c r="C91" s="5" t="s">
        <v>134</v>
      </c>
      <c r="D91" s="35" t="n">
        <v>7</v>
      </c>
      <c r="E91" s="35" t="n">
        <v>15</v>
      </c>
      <c r="F91" s="35"/>
      <c r="G91" s="35" t="n">
        <v>10</v>
      </c>
      <c r="H91" s="35" t="n">
        <v>13</v>
      </c>
      <c r="I91" s="5" t="n">
        <f aca="false">SUM(D91:H91)</f>
        <v>45</v>
      </c>
      <c r="J91" s="10" t="n">
        <f aca="false">IF($I91=0,0,D91/$I91)</f>
        <v>0.155555555555556</v>
      </c>
      <c r="K91" s="10" t="n">
        <f aca="false">IF($I91=0,0,E91/$I91)</f>
        <v>0.333333333333333</v>
      </c>
      <c r="L91" s="10" t="n">
        <f aca="false">IF($I91=0,0,F91/$I91)</f>
        <v>0</v>
      </c>
      <c r="M91" s="10" t="n">
        <f aca="false">IF($I91=0,0,G91/$I91)</f>
        <v>0.222222222222222</v>
      </c>
      <c r="N91" s="10" t="n">
        <f aca="false">IF($I91=0,0,H91/$I91)</f>
        <v>0.288888888888889</v>
      </c>
      <c r="O91" s="35" t="s">
        <v>197</v>
      </c>
      <c r="P91" s="0" t="str">
        <f aca="false">IF(O91="TVK","TVK",IF(O91="DMK","DMK+",IF(O91="ADMK","AIADMK+","")))</f>
        <v>DMK+</v>
      </c>
      <c r="Q91" s="35" t="s">
        <v>196</v>
      </c>
      <c r="R91" s="36" t="s">
        <v>4</v>
      </c>
      <c r="S91" s="0" t="str">
        <f aca="false">IF(P91=R91,"Yes","No")</f>
        <v>No</v>
      </c>
      <c r="T91" s="2"/>
      <c r="U91" s="27" t="n">
        <f aca="false">IFERROR(SUMIFS($D$5:$D$238,$C$5:$C$238,$C91)/SUMIFS($I$5:$I$238,$C$5:$C$238,$C91),0)</f>
        <v>0.278225806451613</v>
      </c>
      <c r="V91" s="27" t="n">
        <f aca="false">IFERROR(SUMIFS($E$5:$E$238,$C$5:$C$238,$C91)/SUMIFS($I$5:$I$238,$C$5:$C$238,$C91),0)</f>
        <v>0.247983870967742</v>
      </c>
      <c r="W91" s="27" t="n">
        <f aca="false">IFERROR(SUMIFS($F$5:$F$238,$C$5:$C$238,$C91)/SUMIFS($I$5:$I$238,$C$5:$C$238,$C91),0)</f>
        <v>0</v>
      </c>
      <c r="X91" s="27" t="n">
        <f aca="false">IFERROR(SUMIFS($G$5:$G$238,$C$5:$C$238,$C91)/SUMIFS($I$5:$I$238,$C$5:$C$238,$C91),0)</f>
        <v>0.0887096774193548</v>
      </c>
      <c r="Y91" s="27" t="n">
        <f aca="false">IFERROR(SUMIFS($H$5:$H$238,$C$5:$C$238,$C91)/SUMIFS($I$5:$I$238,$C$5:$C$238,$C91),0)</f>
        <v>0.38508064516129</v>
      </c>
      <c r="Z91" s="24" t="n">
        <f aca="false">LN(MAX(I91,1))</f>
        <v>3.80666248977032</v>
      </c>
      <c r="AA91" s="24" t="n">
        <f aca="false">Calibration!$M$35+Calibration!$N$35+SUMPRODUCT(Calibration!$B$35:$F$35,J91:N91)+SUMPRODUCT(Calibration!$G$35:$K$35,U91:Y91)+Calibration!$L$35*Z91</f>
        <v>0.0198044183645729</v>
      </c>
      <c r="AB91" s="24" t="n">
        <f aca="false">Calibration!$M$36+Calibration!$N$36+SUMPRODUCT(Calibration!$B$36:$F$36,J91:N91)+SUMPRODUCT(Calibration!$G$36:$K$36,U91:Y91)+Calibration!$L$36*Z91</f>
        <v>0.434871569108906</v>
      </c>
      <c r="AC91" s="24" t="n">
        <f aca="false">Calibration!$M$37+Calibration!$N$37+SUMPRODUCT(Calibration!$B$37:$F$37,J91:N91)+SUMPRODUCT(Calibration!$G$37:$K$37,U91:Y91)+Calibration!$L$37*Z91</f>
        <v>0.37032454939928</v>
      </c>
      <c r="AD91" s="27" t="n">
        <f aca="false">EXP(AC91)/(EXP(AA91)+EXP(AB91)+EXP(AC91))</f>
        <v>0.360880888877698</v>
      </c>
      <c r="AE91" s="7" t="str">
        <f aca="false">IF(AC91=MAX(AA91:AC91),"TVK",IF(AB91=MAX(AA91:AC91),"DMK+","AIADMK+"))</f>
        <v>DMK+</v>
      </c>
      <c r="AF91" s="7" t="str">
        <f aca="false">IF(AE91=R91,"Yes","No")</f>
        <v>No</v>
      </c>
      <c r="AG91" s="7" t="str">
        <f aca="false">IF(AE91=P91,"No","Yes")</f>
        <v>No</v>
      </c>
      <c r="AH91" s="7" t="str">
        <f aca="false">IF(H91=MAX(D91,E91,H91),"TVK",IF(E91=MAX(D91,E91,H91),"DMK+","AIADMK+"))</f>
        <v>DMK+</v>
      </c>
      <c r="AI91" s="27" t="n">
        <f aca="false">EXP(AA91)/(EXP(AA91)+EXP(AB91)+EXP(AC91))</f>
        <v>0.254176224868469</v>
      </c>
      <c r="AJ91" s="27" t="n">
        <f aca="false">EXP(AB91)/(EXP(AA91)+EXP(AB91)+EXP(AC91))</f>
        <v>0.384942886253833</v>
      </c>
      <c r="AK91" s="28" t="s">
        <v>4</v>
      </c>
      <c r="AL91" s="7" t="str">
        <f aca="false">IF(AK91=R91,"Yes","No")</f>
        <v>Yes</v>
      </c>
      <c r="AM91" s="27" t="n">
        <f aca="false">IF(AK91="TVK",AD91,IF(AK91="DMK+",AJ91,AI91))</f>
        <v>0.254176224868469</v>
      </c>
      <c r="AN91" s="7" t="str">
        <f aca="false">IF(AK91=P91,"No","Yes")</f>
        <v>Yes</v>
      </c>
    </row>
    <row r="92" customFormat="false" ht="15" hidden="false" customHeight="false" outlineLevel="0" collapsed="false">
      <c r="A92" s="0" t="n">
        <v>88</v>
      </c>
      <c r="B92" s="4" t="s">
        <v>278</v>
      </c>
      <c r="C92" s="5" t="s">
        <v>134</v>
      </c>
      <c r="D92" s="35" t="n">
        <v>17</v>
      </c>
      <c r="E92" s="35" t="n">
        <v>10</v>
      </c>
      <c r="F92" s="35"/>
      <c r="G92" s="35" t="n">
        <v>6</v>
      </c>
      <c r="H92" s="35" t="n">
        <v>24</v>
      </c>
      <c r="I92" s="5" t="n">
        <f aca="false">SUM(D92:H92)</f>
        <v>57</v>
      </c>
      <c r="J92" s="10" t="n">
        <f aca="false">IF($I92=0,0,D92/$I92)</f>
        <v>0.298245614035088</v>
      </c>
      <c r="K92" s="10" t="n">
        <f aca="false">IF($I92=0,0,E92/$I92)</f>
        <v>0.175438596491228</v>
      </c>
      <c r="L92" s="10" t="n">
        <f aca="false">IF($I92=0,0,F92/$I92)</f>
        <v>0</v>
      </c>
      <c r="M92" s="10" t="n">
        <f aca="false">IF($I92=0,0,G92/$I92)</f>
        <v>0.105263157894737</v>
      </c>
      <c r="N92" s="10" t="n">
        <f aca="false">IF($I92=0,0,H92/$I92)</f>
        <v>0.421052631578947</v>
      </c>
      <c r="O92" s="35" t="s">
        <v>3</v>
      </c>
      <c r="P92" s="0" t="str">
        <f aca="false">IF(O92="TVK","TVK",IF(O92="DMK","DMK+",IF(O92="ADMK","AIADMK+","")))</f>
        <v>TVK</v>
      </c>
      <c r="Q92" s="35" t="s">
        <v>3</v>
      </c>
      <c r="R92" s="36" t="s">
        <v>3</v>
      </c>
      <c r="S92" s="0" t="str">
        <f aca="false">IF(P92=R92,"Yes","No")</f>
        <v>Yes</v>
      </c>
      <c r="T92" s="2"/>
      <c r="U92" s="27" t="n">
        <f aca="false">IFERROR(SUMIFS($D$5:$D$238,$C$5:$C$238,$C92)/SUMIFS($I$5:$I$238,$C$5:$C$238,$C92),0)</f>
        <v>0.278225806451613</v>
      </c>
      <c r="V92" s="27" t="n">
        <f aca="false">IFERROR(SUMIFS($E$5:$E$238,$C$5:$C$238,$C92)/SUMIFS($I$5:$I$238,$C$5:$C$238,$C92),0)</f>
        <v>0.247983870967742</v>
      </c>
      <c r="W92" s="27" t="n">
        <f aca="false">IFERROR(SUMIFS($F$5:$F$238,$C$5:$C$238,$C92)/SUMIFS($I$5:$I$238,$C$5:$C$238,$C92),0)</f>
        <v>0</v>
      </c>
      <c r="X92" s="27" t="n">
        <f aca="false">IFERROR(SUMIFS($G$5:$G$238,$C$5:$C$238,$C92)/SUMIFS($I$5:$I$238,$C$5:$C$238,$C92),0)</f>
        <v>0.0887096774193548</v>
      </c>
      <c r="Y92" s="27" t="n">
        <f aca="false">IFERROR(SUMIFS($H$5:$H$238,$C$5:$C$238,$C92)/SUMIFS($I$5:$I$238,$C$5:$C$238,$C92),0)</f>
        <v>0.38508064516129</v>
      </c>
      <c r="Z92" s="24" t="n">
        <f aca="false">LN(MAX(I92,1))</f>
        <v>4.04305126783455</v>
      </c>
      <c r="AA92" s="24" t="n">
        <f aca="false">Calibration!$M$35+Calibration!$N$35+SUMPRODUCT(Calibration!$B$35:$F$35,J92:N92)+SUMPRODUCT(Calibration!$G$35:$K$35,U92:Y92)+Calibration!$L$35*Z92</f>
        <v>0.110005769599154</v>
      </c>
      <c r="AB92" s="24" t="n">
        <f aca="false">Calibration!$M$36+Calibration!$N$36+SUMPRODUCT(Calibration!$B$36:$F$36,J92:N92)+SUMPRODUCT(Calibration!$G$36:$K$36,U92:Y92)+Calibration!$L$36*Z92</f>
        <v>-0.0597113894838879</v>
      </c>
      <c r="AC92" s="24" t="n">
        <f aca="false">Calibration!$M$37+Calibration!$N$37+SUMPRODUCT(Calibration!$B$37:$F$37,J92:N92)+SUMPRODUCT(Calibration!$G$37:$K$37,U92:Y92)+Calibration!$L$37*Z92</f>
        <v>0.774706288921237</v>
      </c>
      <c r="AD92" s="27" t="n">
        <f aca="false">EXP(AC92)/(EXP(AA92)+EXP(AB92)+EXP(AC92))</f>
        <v>0.513200866972611</v>
      </c>
      <c r="AE92" s="7" t="str">
        <f aca="false">IF(AC92=MAX(AA92:AC92),"TVK",IF(AB92=MAX(AA92:AC92),"DMK+","AIADMK+"))</f>
        <v>TVK</v>
      </c>
      <c r="AF92" s="7" t="str">
        <f aca="false">IF(AE92=R92,"Yes","No")</f>
        <v>Yes</v>
      </c>
      <c r="AG92" s="7" t="str">
        <f aca="false">IF(AE92=P92,"No","Yes")</f>
        <v>No</v>
      </c>
      <c r="AH92" s="7" t="str">
        <f aca="false">IF(H92=MAX(D92,E92,H92),"TVK",IF(E92=MAX(D92,E92,H92),"DMK+","AIADMK+"))</f>
        <v>TVK</v>
      </c>
      <c r="AI92" s="27" t="n">
        <f aca="false">EXP(AA92)/(EXP(AA92)+EXP(AB92)+EXP(AC92))</f>
        <v>0.264004672740539</v>
      </c>
      <c r="AJ92" s="27" t="n">
        <f aca="false">EXP(AB92)/(EXP(AA92)+EXP(AB92)+EXP(AC92))</f>
        <v>0.222794460286851</v>
      </c>
      <c r="AK92" s="28" t="s">
        <v>3</v>
      </c>
      <c r="AL92" s="7" t="str">
        <f aca="false">IF(AK92=R92,"Yes","No")</f>
        <v>Yes</v>
      </c>
      <c r="AM92" s="27" t="n">
        <f aca="false">IF(AK92="TVK",AD92,IF(AK92="DMK+",AJ92,AI92))</f>
        <v>0.513200866972611</v>
      </c>
      <c r="AN92" s="7" t="str">
        <f aca="false">IF(AK92=P92,"No","Yes")</f>
        <v>No</v>
      </c>
    </row>
    <row r="93" customFormat="false" ht="15" hidden="true" customHeight="false" outlineLevel="0" collapsed="false">
      <c r="A93" s="0" t="n">
        <v>89</v>
      </c>
      <c r="B93" s="4" t="s">
        <v>279</v>
      </c>
      <c r="C93" s="5" t="s">
        <v>134</v>
      </c>
      <c r="D93" s="35" t="n">
        <v>14</v>
      </c>
      <c r="E93" s="35" t="n">
        <v>29</v>
      </c>
      <c r="F93" s="35"/>
      <c r="G93" s="35" t="n">
        <v>3</v>
      </c>
      <c r="H93" s="35" t="n">
        <v>24</v>
      </c>
      <c r="I93" s="5" t="n">
        <f aca="false">SUM(D93:H93)</f>
        <v>70</v>
      </c>
      <c r="J93" s="10" t="n">
        <f aca="false">IF($I93=0,0,D93/$I93)</f>
        <v>0.2</v>
      </c>
      <c r="K93" s="10" t="n">
        <f aca="false">IF($I93=0,0,E93/$I93)</f>
        <v>0.414285714285714</v>
      </c>
      <c r="L93" s="10" t="n">
        <f aca="false">IF($I93=0,0,F93/$I93)</f>
        <v>0</v>
      </c>
      <c r="M93" s="10" t="n">
        <f aca="false">IF($I93=0,0,G93/$I93)</f>
        <v>0.0428571428571429</v>
      </c>
      <c r="N93" s="10" t="n">
        <f aca="false">IF($I93=0,0,H93/$I93)</f>
        <v>0.342857142857143</v>
      </c>
      <c r="O93" s="35" t="s">
        <v>197</v>
      </c>
      <c r="P93" s="0" t="str">
        <f aca="false">IF(O93="TVK","TVK",IF(O93="DMK","DMK+",IF(O93="ADMK","AIADMK+","")))</f>
        <v>DMK+</v>
      </c>
      <c r="Q93" s="35" t="s">
        <v>3</v>
      </c>
      <c r="R93" s="36" t="s">
        <v>3</v>
      </c>
      <c r="S93" s="0" t="str">
        <f aca="false">IF(P93=R93,"Yes","No")</f>
        <v>No</v>
      </c>
      <c r="T93" s="2"/>
      <c r="U93" s="27" t="n">
        <f aca="false">IFERROR(SUMIFS($D$5:$D$238,$C$5:$C$238,$C93)/SUMIFS($I$5:$I$238,$C$5:$C$238,$C93),0)</f>
        <v>0.278225806451613</v>
      </c>
      <c r="V93" s="27" t="n">
        <f aca="false">IFERROR(SUMIFS($E$5:$E$238,$C$5:$C$238,$C93)/SUMIFS($I$5:$I$238,$C$5:$C$238,$C93),0)</f>
        <v>0.247983870967742</v>
      </c>
      <c r="W93" s="27" t="n">
        <f aca="false">IFERROR(SUMIFS($F$5:$F$238,$C$5:$C$238,$C93)/SUMIFS($I$5:$I$238,$C$5:$C$238,$C93),0)</f>
        <v>0</v>
      </c>
      <c r="X93" s="27" t="n">
        <f aca="false">IFERROR(SUMIFS($G$5:$G$238,$C$5:$C$238,$C93)/SUMIFS($I$5:$I$238,$C$5:$C$238,$C93),0)</f>
        <v>0.0887096774193548</v>
      </c>
      <c r="Y93" s="27" t="n">
        <f aca="false">IFERROR(SUMIFS($H$5:$H$238,$C$5:$C$238,$C93)/SUMIFS($I$5:$I$238,$C$5:$C$238,$C93),0)</f>
        <v>0.38508064516129</v>
      </c>
      <c r="Z93" s="24" t="n">
        <f aca="false">LN(MAX(I93,1))</f>
        <v>4.24849524204936</v>
      </c>
      <c r="AA93" s="24" t="n">
        <f aca="false">Calibration!$M$35+Calibration!$N$35+SUMPRODUCT(Calibration!$B$35:$F$35,J93:N93)+SUMPRODUCT(Calibration!$G$35:$K$35,U93:Y93)+Calibration!$L$35*Z93</f>
        <v>-0.247253187921438</v>
      </c>
      <c r="AB93" s="24" t="n">
        <f aca="false">Calibration!$M$36+Calibration!$N$36+SUMPRODUCT(Calibration!$B$36:$F$36,J93:N93)+SUMPRODUCT(Calibration!$G$36:$K$36,U93:Y93)+Calibration!$L$36*Z93</f>
        <v>0.169800036050316</v>
      </c>
      <c r="AC93" s="24" t="n">
        <f aca="false">Calibration!$M$37+Calibration!$N$37+SUMPRODUCT(Calibration!$B$37:$F$37,J93:N93)+SUMPRODUCT(Calibration!$G$37:$K$37,U93:Y93)+Calibration!$L$37*Z93</f>
        <v>0.902453742712136</v>
      </c>
      <c r="AD93" s="27" t="n">
        <f aca="false">EXP(AC93)/(EXP(AA93)+EXP(AB93)+EXP(AC93))</f>
        <v>0.556371127674672</v>
      </c>
      <c r="AE93" s="7" t="str">
        <f aca="false">IF(AC93=MAX(AA93:AC93),"TVK",IF(AB93=MAX(AA93:AC93),"DMK+","AIADMK+"))</f>
        <v>TVK</v>
      </c>
      <c r="AF93" s="7" t="str">
        <f aca="false">IF(AE93=R93,"Yes","No")</f>
        <v>Yes</v>
      </c>
      <c r="AG93" s="7" t="str">
        <f aca="false">IF(AE93=P93,"No","Yes")</f>
        <v>Yes</v>
      </c>
      <c r="AH93" s="7" t="str">
        <f aca="false">IF(H93=MAX(D93,E93,H93),"TVK",IF(E93=MAX(D93,E93,H93),"DMK+","AIADMK+"))</f>
        <v>DMK+</v>
      </c>
      <c r="AI93" s="27" t="n">
        <f aca="false">EXP(AA93)/(EXP(AA93)+EXP(AB93)+EXP(AC93))</f>
        <v>0.176219193323065</v>
      </c>
      <c r="AJ93" s="27" t="n">
        <f aca="false">EXP(AB93)/(EXP(AA93)+EXP(AB93)+EXP(AC93))</f>
        <v>0.267409679002263</v>
      </c>
      <c r="AK93" s="28" t="s">
        <v>3</v>
      </c>
      <c r="AL93" s="7" t="str">
        <f aca="false">IF(AK93=R93,"Yes","No")</f>
        <v>Yes</v>
      </c>
      <c r="AM93" s="27" t="n">
        <f aca="false">IF(AK93="TVK",AD93,IF(AK93="DMK+",AJ93,AI93))</f>
        <v>0.556371127674672</v>
      </c>
      <c r="AN93" s="7" t="str">
        <f aca="false">IF(AK93=P93,"No","Yes")</f>
        <v>Yes</v>
      </c>
    </row>
    <row r="94" customFormat="false" ht="15" hidden="false" customHeight="false" outlineLevel="0" collapsed="false">
      <c r="A94" s="0" t="n">
        <v>90</v>
      </c>
      <c r="B94" s="4" t="s">
        <v>280</v>
      </c>
      <c r="C94" s="5" t="s">
        <v>134</v>
      </c>
      <c r="D94" s="35" t="n">
        <v>5</v>
      </c>
      <c r="E94" s="35" t="n">
        <v>11</v>
      </c>
      <c r="F94" s="35"/>
      <c r="G94" s="35" t="n">
        <v>4</v>
      </c>
      <c r="H94" s="35" t="n">
        <v>28</v>
      </c>
      <c r="I94" s="5" t="n">
        <f aca="false">SUM(D94:H94)</f>
        <v>48</v>
      </c>
      <c r="J94" s="10" t="n">
        <f aca="false">IF($I94=0,0,D94/$I94)</f>
        <v>0.104166666666667</v>
      </c>
      <c r="K94" s="10" t="n">
        <f aca="false">IF($I94=0,0,E94/$I94)</f>
        <v>0.229166666666667</v>
      </c>
      <c r="L94" s="10" t="n">
        <f aca="false">IF($I94=0,0,F94/$I94)</f>
        <v>0</v>
      </c>
      <c r="M94" s="10" t="n">
        <f aca="false">IF($I94=0,0,G94/$I94)</f>
        <v>0.0833333333333333</v>
      </c>
      <c r="N94" s="10" t="n">
        <f aca="false">IF($I94=0,0,H94/$I94)</f>
        <v>0.583333333333333</v>
      </c>
      <c r="O94" s="35" t="s">
        <v>3</v>
      </c>
      <c r="P94" s="0" t="str">
        <f aca="false">IF(O94="TVK","TVK",IF(O94="DMK","DMK+",IF(O94="ADMK","AIADMK+","")))</f>
        <v>TVK</v>
      </c>
      <c r="Q94" s="35" t="s">
        <v>3</v>
      </c>
      <c r="R94" s="36" t="s">
        <v>3</v>
      </c>
      <c r="S94" s="0" t="str">
        <f aca="false">IF(P94=R94,"Yes","No")</f>
        <v>Yes</v>
      </c>
      <c r="T94" s="2"/>
      <c r="U94" s="27" t="n">
        <f aca="false">IFERROR(SUMIFS($D$5:$D$238,$C$5:$C$238,$C94)/SUMIFS($I$5:$I$238,$C$5:$C$238,$C94),0)</f>
        <v>0.278225806451613</v>
      </c>
      <c r="V94" s="27" t="n">
        <f aca="false">IFERROR(SUMIFS($E$5:$E$238,$C$5:$C$238,$C94)/SUMIFS($I$5:$I$238,$C$5:$C$238,$C94),0)</f>
        <v>0.247983870967742</v>
      </c>
      <c r="W94" s="27" t="n">
        <f aca="false">IFERROR(SUMIFS($F$5:$F$238,$C$5:$C$238,$C94)/SUMIFS($I$5:$I$238,$C$5:$C$238,$C94),0)</f>
        <v>0</v>
      </c>
      <c r="X94" s="27" t="n">
        <f aca="false">IFERROR(SUMIFS($G$5:$G$238,$C$5:$C$238,$C94)/SUMIFS($I$5:$I$238,$C$5:$C$238,$C94),0)</f>
        <v>0.0887096774193548</v>
      </c>
      <c r="Y94" s="27" t="n">
        <f aca="false">IFERROR(SUMIFS($H$5:$H$238,$C$5:$C$238,$C94)/SUMIFS($I$5:$I$238,$C$5:$C$238,$C94),0)</f>
        <v>0.38508064516129</v>
      </c>
      <c r="Z94" s="24" t="n">
        <f aca="false">LN(MAX(I94,1))</f>
        <v>3.87120101090789</v>
      </c>
      <c r="AA94" s="24" t="n">
        <f aca="false">Calibration!$M$35+Calibration!$N$35+SUMPRODUCT(Calibration!$B$35:$F$35,J94:N94)+SUMPRODUCT(Calibration!$G$35:$K$35,U94:Y94)+Calibration!$L$35*Z94</f>
        <v>-0.0431204059259454</v>
      </c>
      <c r="AB94" s="24" t="n">
        <f aca="false">Calibration!$M$36+Calibration!$N$36+SUMPRODUCT(Calibration!$B$36:$F$36,J94:N94)+SUMPRODUCT(Calibration!$G$36:$K$36,U94:Y94)+Calibration!$L$36*Z94</f>
        <v>0.207278229221644</v>
      </c>
      <c r="AC94" s="24" t="n">
        <f aca="false">Calibration!$M$37+Calibration!$N$37+SUMPRODUCT(Calibration!$B$37:$F$37,J94:N94)+SUMPRODUCT(Calibration!$G$37:$K$37,U94:Y94)+Calibration!$L$37*Z94</f>
        <v>0.660843008021505</v>
      </c>
      <c r="AD94" s="27" t="n">
        <f aca="false">EXP(AC94)/(EXP(AA94)+EXP(AB94)+EXP(AC94))</f>
        <v>0.46948792775792</v>
      </c>
      <c r="AE94" s="7" t="str">
        <f aca="false">IF(AC94=MAX(AA94:AC94),"TVK",IF(AB94=MAX(AA94:AC94),"DMK+","AIADMK+"))</f>
        <v>TVK</v>
      </c>
      <c r="AF94" s="7" t="str">
        <f aca="false">IF(AE94=R94,"Yes","No")</f>
        <v>Yes</v>
      </c>
      <c r="AG94" s="7" t="str">
        <f aca="false">IF(AE94=P94,"No","Yes")</f>
        <v>No</v>
      </c>
      <c r="AH94" s="7" t="str">
        <f aca="false">IF(H94=MAX(D94,E94,H94),"TVK",IF(E94=MAX(D94,E94,H94),"DMK+","AIADMK+"))</f>
        <v>TVK</v>
      </c>
      <c r="AI94" s="27" t="n">
        <f aca="false">EXP(AA94)/(EXP(AA94)+EXP(AB94)+EXP(AC94))</f>
        <v>0.232218600459734</v>
      </c>
      <c r="AJ94" s="27" t="n">
        <f aca="false">EXP(AB94)/(EXP(AA94)+EXP(AB94)+EXP(AC94))</f>
        <v>0.298293471782347</v>
      </c>
      <c r="AK94" s="28" t="s">
        <v>3</v>
      </c>
      <c r="AL94" s="7" t="str">
        <f aca="false">IF(AK94=R94,"Yes","No")</f>
        <v>Yes</v>
      </c>
      <c r="AM94" s="27" t="n">
        <f aca="false">IF(AK94="TVK",AD94,IF(AK94="DMK+",AJ94,AI94))</f>
        <v>0.46948792775792</v>
      </c>
      <c r="AN94" s="7" t="str">
        <f aca="false">IF(AK94=P94,"No","Yes")</f>
        <v>No</v>
      </c>
    </row>
    <row r="95" customFormat="false" ht="15" hidden="false" customHeight="false" outlineLevel="0" collapsed="false">
      <c r="A95" s="0" t="n">
        <v>91</v>
      </c>
      <c r="B95" s="4" t="s">
        <v>281</v>
      </c>
      <c r="C95" s="5" t="s">
        <v>134</v>
      </c>
      <c r="D95" s="35" t="n">
        <v>12</v>
      </c>
      <c r="E95" s="35" t="n">
        <v>7</v>
      </c>
      <c r="F95" s="35"/>
      <c r="G95" s="35" t="n">
        <v>2</v>
      </c>
      <c r="H95" s="35" t="n">
        <v>23</v>
      </c>
      <c r="I95" s="5" t="n">
        <f aca="false">SUM(D95:H95)</f>
        <v>44</v>
      </c>
      <c r="J95" s="10" t="n">
        <f aca="false">IF($I95=0,0,D95/$I95)</f>
        <v>0.272727272727273</v>
      </c>
      <c r="K95" s="10" t="n">
        <f aca="false">IF($I95=0,0,E95/$I95)</f>
        <v>0.159090909090909</v>
      </c>
      <c r="L95" s="10" t="n">
        <f aca="false">IF($I95=0,0,F95/$I95)</f>
        <v>0</v>
      </c>
      <c r="M95" s="10" t="n">
        <f aca="false">IF($I95=0,0,G95/$I95)</f>
        <v>0.0454545454545455</v>
      </c>
      <c r="N95" s="10" t="n">
        <f aca="false">IF($I95=0,0,H95/$I95)</f>
        <v>0.522727272727273</v>
      </c>
      <c r="O95" s="35" t="s">
        <v>3</v>
      </c>
      <c r="P95" s="0" t="str">
        <f aca="false">IF(O95="TVK","TVK",IF(O95="DMK","DMK+",IF(O95="ADMK","AIADMK+","")))</f>
        <v>TVK</v>
      </c>
      <c r="Q95" s="35" t="s">
        <v>3</v>
      </c>
      <c r="R95" s="36" t="s">
        <v>3</v>
      </c>
      <c r="S95" s="0" t="str">
        <f aca="false">IF(P95=R95,"Yes","No")</f>
        <v>Yes</v>
      </c>
      <c r="T95" s="2"/>
      <c r="U95" s="27" t="n">
        <f aca="false">IFERROR(SUMIFS($D$5:$D$238,$C$5:$C$238,$C95)/SUMIFS($I$5:$I$238,$C$5:$C$238,$C95),0)</f>
        <v>0.278225806451613</v>
      </c>
      <c r="V95" s="27" t="n">
        <f aca="false">IFERROR(SUMIFS($E$5:$E$238,$C$5:$C$238,$C95)/SUMIFS($I$5:$I$238,$C$5:$C$238,$C95),0)</f>
        <v>0.247983870967742</v>
      </c>
      <c r="W95" s="27" t="n">
        <f aca="false">IFERROR(SUMIFS($F$5:$F$238,$C$5:$C$238,$C95)/SUMIFS($I$5:$I$238,$C$5:$C$238,$C95),0)</f>
        <v>0</v>
      </c>
      <c r="X95" s="27" t="n">
        <f aca="false">IFERROR(SUMIFS($G$5:$G$238,$C$5:$C$238,$C95)/SUMIFS($I$5:$I$238,$C$5:$C$238,$C95),0)</f>
        <v>0.0887096774193548</v>
      </c>
      <c r="Y95" s="27" t="n">
        <f aca="false">IFERROR(SUMIFS($H$5:$H$238,$C$5:$C$238,$C95)/SUMIFS($I$5:$I$238,$C$5:$C$238,$C95),0)</f>
        <v>0.38508064516129</v>
      </c>
      <c r="Z95" s="24" t="n">
        <f aca="false">LN(MAX(I95,1))</f>
        <v>3.78418963391826</v>
      </c>
      <c r="AA95" s="24" t="n">
        <f aca="false">Calibration!$M$35+Calibration!$N$35+SUMPRODUCT(Calibration!$B$35:$F$35,J95:N95)+SUMPRODUCT(Calibration!$G$35:$K$35,U95:Y95)+Calibration!$L$35*Z95</f>
        <v>0.213543214925313</v>
      </c>
      <c r="AB95" s="24" t="n">
        <f aca="false">Calibration!$M$36+Calibration!$N$36+SUMPRODUCT(Calibration!$B$36:$F$36,J95:N95)+SUMPRODUCT(Calibration!$G$36:$K$36,U95:Y95)+Calibration!$L$36*Z95</f>
        <v>0.0614762527267132</v>
      </c>
      <c r="AC95" s="24" t="n">
        <f aca="false">Calibration!$M$37+Calibration!$N$37+SUMPRODUCT(Calibration!$B$37:$F$37,J95:N95)+SUMPRODUCT(Calibration!$G$37:$K$37,U95:Y95)+Calibration!$L$37*Z95</f>
        <v>0.549981303059117</v>
      </c>
      <c r="AD95" s="27" t="n">
        <f aca="false">EXP(AC95)/(EXP(AA95)+EXP(AB95)+EXP(AC95))</f>
        <v>0.429580384412968</v>
      </c>
      <c r="AE95" s="7" t="str">
        <f aca="false">IF(AC95=MAX(AA95:AC95),"TVK",IF(AB95=MAX(AA95:AC95),"DMK+","AIADMK+"))</f>
        <v>TVK</v>
      </c>
      <c r="AF95" s="7" t="str">
        <f aca="false">IF(AE95=R95,"Yes","No")</f>
        <v>Yes</v>
      </c>
      <c r="AG95" s="7" t="str">
        <f aca="false">IF(AE95=P95,"No","Yes")</f>
        <v>No</v>
      </c>
      <c r="AH95" s="7" t="str">
        <f aca="false">IF(H95=MAX(D95,E95,H95),"TVK",IF(E95=MAX(D95,E95,H95),"DMK+","AIADMK+"))</f>
        <v>TVK</v>
      </c>
      <c r="AI95" s="27" t="n">
        <f aca="false">EXP(AA95)/(EXP(AA95)+EXP(AB95)+EXP(AC95))</f>
        <v>0.306853610131279</v>
      </c>
      <c r="AJ95" s="27" t="n">
        <f aca="false">EXP(AB95)/(EXP(AA95)+EXP(AB95)+EXP(AC95))</f>
        <v>0.263566005455753</v>
      </c>
      <c r="AK95" s="28" t="s">
        <v>4</v>
      </c>
      <c r="AL95" s="7" t="str">
        <f aca="false">IF(AK95=R95,"Yes","No")</f>
        <v>No</v>
      </c>
      <c r="AM95" s="27" t="n">
        <f aca="false">IF(AK95="TVK",AD95,IF(AK95="DMK+",AJ95,AI95))</f>
        <v>0.306853610131279</v>
      </c>
      <c r="AN95" s="7" t="str">
        <f aca="false">IF(AK95=P95,"No","Yes")</f>
        <v>Yes</v>
      </c>
    </row>
    <row r="96" customFormat="false" ht="15" hidden="false" customHeight="false" outlineLevel="0" collapsed="false">
      <c r="A96" s="0" t="n">
        <v>92</v>
      </c>
      <c r="B96" s="4" t="s">
        <v>282</v>
      </c>
      <c r="C96" s="5" t="s">
        <v>124</v>
      </c>
      <c r="D96" s="35" t="n">
        <v>19</v>
      </c>
      <c r="E96" s="35" t="n">
        <v>9</v>
      </c>
      <c r="F96" s="35"/>
      <c r="G96" s="35" t="n">
        <v>3</v>
      </c>
      <c r="H96" s="35" t="n">
        <v>20</v>
      </c>
      <c r="I96" s="5" t="n">
        <f aca="false">SUM(D96:H96)</f>
        <v>51</v>
      </c>
      <c r="J96" s="10" t="n">
        <f aca="false">IF($I96=0,0,D96/$I96)</f>
        <v>0.372549019607843</v>
      </c>
      <c r="K96" s="10" t="n">
        <f aca="false">IF($I96=0,0,E96/$I96)</f>
        <v>0.176470588235294</v>
      </c>
      <c r="L96" s="10" t="n">
        <f aca="false">IF($I96=0,0,F96/$I96)</f>
        <v>0</v>
      </c>
      <c r="M96" s="10" t="n">
        <f aca="false">IF($I96=0,0,G96/$I96)</f>
        <v>0.0588235294117647</v>
      </c>
      <c r="N96" s="10" t="n">
        <f aca="false">IF($I96=0,0,H96/$I96)</f>
        <v>0.392156862745098</v>
      </c>
      <c r="O96" s="35" t="s">
        <v>3</v>
      </c>
      <c r="P96" s="0" t="str">
        <f aca="false">IF(O96="TVK","TVK",IF(O96="DMK","DMK+",IF(O96="ADMK","AIADMK+","")))</f>
        <v>TVK</v>
      </c>
      <c r="Q96" s="35" t="s">
        <v>3</v>
      </c>
      <c r="R96" s="36" t="s">
        <v>3</v>
      </c>
      <c r="S96" s="0" t="str">
        <f aca="false">IF(P96=R96,"Yes","No")</f>
        <v>Yes</v>
      </c>
      <c r="T96" s="2"/>
      <c r="U96" s="27" t="n">
        <f aca="false">IFERROR(SUMIFS($D$5:$D$238,$C$5:$C$238,$C96)/SUMIFS($I$5:$I$238,$C$5:$C$238,$C96),0)</f>
        <v>0.369158878504673</v>
      </c>
      <c r="V96" s="27" t="n">
        <f aca="false">IFERROR(SUMIFS($E$5:$E$238,$C$5:$C$238,$C96)/SUMIFS($I$5:$I$238,$C$5:$C$238,$C96),0)</f>
        <v>0.191588785046729</v>
      </c>
      <c r="W96" s="27" t="n">
        <f aca="false">IFERROR(SUMIFS($F$5:$F$238,$C$5:$C$238,$C96)/SUMIFS($I$5:$I$238,$C$5:$C$238,$C96),0)</f>
        <v>0.00467289719626168</v>
      </c>
      <c r="X96" s="27" t="n">
        <f aca="false">IFERROR(SUMIFS($G$5:$G$238,$C$5:$C$238,$C96)/SUMIFS($I$5:$I$238,$C$5:$C$238,$C96),0)</f>
        <v>0.0654205607476635</v>
      </c>
      <c r="Y96" s="27" t="n">
        <f aca="false">IFERROR(SUMIFS($H$5:$H$238,$C$5:$C$238,$C96)/SUMIFS($I$5:$I$238,$C$5:$C$238,$C96),0)</f>
        <v>0.369158878504673</v>
      </c>
      <c r="Z96" s="24" t="n">
        <f aca="false">LN(MAX(I96,1))</f>
        <v>3.93182563272433</v>
      </c>
      <c r="AA96" s="24" t="n">
        <f aca="false">Calibration!$M$35+Calibration!$N$35+SUMPRODUCT(Calibration!$B$35:$F$35,J96:N96)+SUMPRODUCT(Calibration!$G$35:$K$35,U96:Y96)+Calibration!$L$35*Z96</f>
        <v>0.323699771755843</v>
      </c>
      <c r="AB96" s="24" t="n">
        <f aca="false">Calibration!$M$36+Calibration!$N$36+SUMPRODUCT(Calibration!$B$36:$F$36,J96:N96)+SUMPRODUCT(Calibration!$G$36:$K$36,U96:Y96)+Calibration!$L$36*Z96</f>
        <v>-0.128426109418433</v>
      </c>
      <c r="AC96" s="24" t="n">
        <f aca="false">Calibration!$M$37+Calibration!$N$37+SUMPRODUCT(Calibration!$B$37:$F$37,J96:N96)+SUMPRODUCT(Calibration!$G$37:$K$37,U96:Y96)+Calibration!$L$37*Z96</f>
        <v>0.629726921408238</v>
      </c>
      <c r="AD96" s="27" t="n">
        <f aca="false">EXP(AC96)/(EXP(AA96)+EXP(AB96)+EXP(AC96))</f>
        <v>0.453535797742269</v>
      </c>
      <c r="AE96" s="7" t="str">
        <f aca="false">IF(AC96=MAX(AA96:AC96),"TVK",IF(AB96=MAX(AA96:AC96),"DMK+","AIADMK+"))</f>
        <v>TVK</v>
      </c>
      <c r="AF96" s="7" t="str">
        <f aca="false">IF(AE96=R96,"Yes","No")</f>
        <v>Yes</v>
      </c>
      <c r="AG96" s="7" t="str">
        <f aca="false">IF(AE96=P96,"No","Yes")</f>
        <v>No</v>
      </c>
      <c r="AH96" s="7" t="str">
        <f aca="false">IF(H96=MAX(D96,E96,H96),"TVK",IF(E96=MAX(D96,E96,H96),"DMK+","AIADMK+"))</f>
        <v>TVK</v>
      </c>
      <c r="AI96" s="27" t="n">
        <f aca="false">EXP(AA96)/(EXP(AA96)+EXP(AB96)+EXP(AC96))</f>
        <v>0.333968625646572</v>
      </c>
      <c r="AJ96" s="27" t="n">
        <f aca="false">EXP(AB96)/(EXP(AA96)+EXP(AB96)+EXP(AC96))</f>
        <v>0.21249557661116</v>
      </c>
      <c r="AK96" s="28" t="s">
        <v>3</v>
      </c>
      <c r="AL96" s="7" t="str">
        <f aca="false">IF(AK96=R96,"Yes","No")</f>
        <v>Yes</v>
      </c>
      <c r="AM96" s="27" t="n">
        <f aca="false">IF(AK96="TVK",AD96,IF(AK96="DMK+",AJ96,AI96))</f>
        <v>0.453535797742269</v>
      </c>
      <c r="AN96" s="7" t="str">
        <f aca="false">IF(AK96=P96,"No","Yes")</f>
        <v>No</v>
      </c>
    </row>
    <row r="97" customFormat="false" ht="15" hidden="true" customHeight="false" outlineLevel="0" collapsed="false">
      <c r="A97" s="0" t="n">
        <v>93</v>
      </c>
      <c r="B97" s="4" t="s">
        <v>283</v>
      </c>
      <c r="C97" s="5" t="s">
        <v>124</v>
      </c>
      <c r="D97" s="35" t="n">
        <v>10</v>
      </c>
      <c r="E97" s="35" t="n">
        <v>5</v>
      </c>
      <c r="F97" s="35" t="n">
        <v>1</v>
      </c>
      <c r="G97" s="35" t="n">
        <v>2</v>
      </c>
      <c r="H97" s="35" t="n">
        <v>2</v>
      </c>
      <c r="I97" s="5" t="n">
        <f aca="false">SUM(D97:H97)</f>
        <v>20</v>
      </c>
      <c r="J97" s="10" t="n">
        <f aca="false">IF($I97=0,0,D97/$I97)</f>
        <v>0.5</v>
      </c>
      <c r="K97" s="10" t="n">
        <f aca="false">IF($I97=0,0,E97/$I97)</f>
        <v>0.25</v>
      </c>
      <c r="L97" s="10" t="n">
        <f aca="false">IF($I97=0,0,F97/$I97)</f>
        <v>0.05</v>
      </c>
      <c r="M97" s="10" t="n">
        <f aca="false">IF($I97=0,0,G97/$I97)</f>
        <v>0.1</v>
      </c>
      <c r="N97" s="10" t="n">
        <f aca="false">IF($I97=0,0,H97/$I97)</f>
        <v>0.1</v>
      </c>
      <c r="O97" s="35" t="s">
        <v>218</v>
      </c>
      <c r="P97" s="0" t="str">
        <f aca="false">IF(O97="TVK","TVK",IF(O97="DMK","DMK+",IF(O97="ADMK","AIADMK+","")))</f>
        <v>AIADMK+</v>
      </c>
      <c r="Q97" s="35" t="s">
        <v>3</v>
      </c>
      <c r="R97" s="36" t="s">
        <v>3</v>
      </c>
      <c r="S97" s="0" t="str">
        <f aca="false">IF(P97=R97,"Yes","No")</f>
        <v>No</v>
      </c>
      <c r="T97" s="2"/>
      <c r="U97" s="27" t="n">
        <f aca="false">IFERROR(SUMIFS($D$5:$D$238,$C$5:$C$238,$C97)/SUMIFS($I$5:$I$238,$C$5:$C$238,$C97),0)</f>
        <v>0.369158878504673</v>
      </c>
      <c r="V97" s="27" t="n">
        <f aca="false">IFERROR(SUMIFS($E$5:$E$238,$C$5:$C$238,$C97)/SUMIFS($I$5:$I$238,$C$5:$C$238,$C97),0)</f>
        <v>0.191588785046729</v>
      </c>
      <c r="W97" s="27" t="n">
        <f aca="false">IFERROR(SUMIFS($F$5:$F$238,$C$5:$C$238,$C97)/SUMIFS($I$5:$I$238,$C$5:$C$238,$C97),0)</f>
        <v>0.00467289719626168</v>
      </c>
      <c r="X97" s="27" t="n">
        <f aca="false">IFERROR(SUMIFS($G$5:$G$238,$C$5:$C$238,$C97)/SUMIFS($I$5:$I$238,$C$5:$C$238,$C97),0)</f>
        <v>0.0654205607476635</v>
      </c>
      <c r="Y97" s="27" t="n">
        <f aca="false">IFERROR(SUMIFS($H$5:$H$238,$C$5:$C$238,$C97)/SUMIFS($I$5:$I$238,$C$5:$C$238,$C97),0)</f>
        <v>0.369158878504673</v>
      </c>
      <c r="Z97" s="24" t="n">
        <f aca="false">LN(MAX(I97,1))</f>
        <v>2.99573227355399</v>
      </c>
      <c r="AA97" s="24" t="n">
        <f aca="false">Calibration!$M$35+Calibration!$N$35+SUMPRODUCT(Calibration!$B$35:$F$35,J97:N97)+SUMPRODUCT(Calibration!$G$35:$K$35,U97:Y97)+Calibration!$L$35*Z97</f>
        <v>0.93258851955004</v>
      </c>
      <c r="AB97" s="24" t="n">
        <f aca="false">Calibration!$M$36+Calibration!$N$36+SUMPRODUCT(Calibration!$B$36:$F$36,J97:N97)+SUMPRODUCT(Calibration!$G$36:$K$36,U97:Y97)+Calibration!$L$36*Z97</f>
        <v>0.525251595310235</v>
      </c>
      <c r="AC97" s="24" t="n">
        <f aca="false">Calibration!$M$37+Calibration!$N$37+SUMPRODUCT(Calibration!$B$37:$F$37,J97:N97)+SUMPRODUCT(Calibration!$G$37:$K$37,U97:Y97)+Calibration!$L$37*Z97</f>
        <v>-0.63283982327149</v>
      </c>
      <c r="AD97" s="27" t="n">
        <f aca="false">EXP(AC97)/(EXP(AA97)+EXP(AB97)+EXP(AC97))</f>
        <v>0.111500435519287</v>
      </c>
      <c r="AE97" s="7" t="str">
        <f aca="false">IF(AC97=MAX(AA97:AC97),"TVK",IF(AB97=MAX(AA97:AC97),"DMK+","AIADMK+"))</f>
        <v>AIADMK+</v>
      </c>
      <c r="AF97" s="7" t="str">
        <f aca="false">IF(AE97=R97,"Yes","No")</f>
        <v>No</v>
      </c>
      <c r="AG97" s="7" t="str">
        <f aca="false">IF(AE97=P97,"No","Yes")</f>
        <v>No</v>
      </c>
      <c r="AH97" s="7" t="str">
        <f aca="false">IF(H97=MAX(D97,E97,H97),"TVK",IF(E97=MAX(D97,E97,H97),"DMK+","AIADMK+"))</f>
        <v>AIADMK+</v>
      </c>
      <c r="AI97" s="27" t="n">
        <f aca="false">EXP(AA97)/(EXP(AA97)+EXP(AB97)+EXP(AC97))</f>
        <v>0.533498809749404</v>
      </c>
      <c r="AJ97" s="27" t="n">
        <f aca="false">EXP(AB97)/(EXP(AA97)+EXP(AB97)+EXP(AC97))</f>
        <v>0.355000754731309</v>
      </c>
      <c r="AK97" s="28" t="s">
        <v>4</v>
      </c>
      <c r="AL97" s="7" t="str">
        <f aca="false">IF(AK97=R97,"Yes","No")</f>
        <v>No</v>
      </c>
      <c r="AM97" s="27" t="n">
        <f aca="false">IF(AK97="TVK",AD97,IF(AK97="DMK+",AJ97,AI97))</f>
        <v>0.533498809749404</v>
      </c>
      <c r="AN97" s="7" t="str">
        <f aca="false">IF(AK97=P97,"No","Yes")</f>
        <v>No</v>
      </c>
    </row>
    <row r="98" customFormat="false" ht="15" hidden="true" customHeight="false" outlineLevel="0" collapsed="false">
      <c r="A98" s="0" t="n">
        <v>94</v>
      </c>
      <c r="B98" s="4" t="s">
        <v>124</v>
      </c>
      <c r="C98" s="5" t="s">
        <v>124</v>
      </c>
      <c r="D98" s="35" t="n">
        <v>16</v>
      </c>
      <c r="E98" s="35" t="n">
        <v>9</v>
      </c>
      <c r="F98" s="35"/>
      <c r="G98" s="35" t="n">
        <v>4</v>
      </c>
      <c r="H98" s="35" t="n">
        <v>18</v>
      </c>
      <c r="I98" s="5" t="n">
        <f aca="false">SUM(D98:H98)</f>
        <v>47</v>
      </c>
      <c r="J98" s="10" t="n">
        <f aca="false">IF($I98=0,0,D98/$I98)</f>
        <v>0.340425531914894</v>
      </c>
      <c r="K98" s="10" t="n">
        <f aca="false">IF($I98=0,0,E98/$I98)</f>
        <v>0.191489361702128</v>
      </c>
      <c r="L98" s="10" t="n">
        <f aca="false">IF($I98=0,0,F98/$I98)</f>
        <v>0</v>
      </c>
      <c r="M98" s="10" t="n">
        <f aca="false">IF($I98=0,0,G98/$I98)</f>
        <v>0.0851063829787234</v>
      </c>
      <c r="N98" s="10" t="n">
        <f aca="false">IF($I98=0,0,H98/$I98)</f>
        <v>0.382978723404255</v>
      </c>
      <c r="O98" s="35" t="s">
        <v>218</v>
      </c>
      <c r="P98" s="0" t="str">
        <f aca="false">IF(O98="TVK","TVK",IF(O98="DMK","DMK+",IF(O98="ADMK","AIADMK+","")))</f>
        <v>AIADMK+</v>
      </c>
      <c r="Q98" s="35" t="s">
        <v>3</v>
      </c>
      <c r="R98" s="36" t="s">
        <v>3</v>
      </c>
      <c r="S98" s="0" t="str">
        <f aca="false">IF(P98=R98,"Yes","No")</f>
        <v>No</v>
      </c>
      <c r="T98" s="2"/>
      <c r="U98" s="27" t="n">
        <f aca="false">IFERROR(SUMIFS($D$5:$D$238,$C$5:$C$238,$C98)/SUMIFS($I$5:$I$238,$C$5:$C$238,$C98),0)</f>
        <v>0.369158878504673</v>
      </c>
      <c r="V98" s="27" t="n">
        <f aca="false">IFERROR(SUMIFS($E$5:$E$238,$C$5:$C$238,$C98)/SUMIFS($I$5:$I$238,$C$5:$C$238,$C98),0)</f>
        <v>0.191588785046729</v>
      </c>
      <c r="W98" s="27" t="n">
        <f aca="false">IFERROR(SUMIFS($F$5:$F$238,$C$5:$C$238,$C98)/SUMIFS($I$5:$I$238,$C$5:$C$238,$C98),0)</f>
        <v>0.00467289719626168</v>
      </c>
      <c r="X98" s="27" t="n">
        <f aca="false">IFERROR(SUMIFS($G$5:$G$238,$C$5:$C$238,$C98)/SUMIFS($I$5:$I$238,$C$5:$C$238,$C98),0)</f>
        <v>0.0654205607476635</v>
      </c>
      <c r="Y98" s="27" t="n">
        <f aca="false">IFERROR(SUMIFS($H$5:$H$238,$C$5:$C$238,$C98)/SUMIFS($I$5:$I$238,$C$5:$C$238,$C98),0)</f>
        <v>0.369158878504673</v>
      </c>
      <c r="Z98" s="24" t="n">
        <f aca="false">LN(MAX(I98,1))</f>
        <v>3.85014760171006</v>
      </c>
      <c r="AA98" s="24" t="n">
        <f aca="false">Calibration!$M$35+Calibration!$N$35+SUMPRODUCT(Calibration!$B$35:$F$35,J98:N98)+SUMPRODUCT(Calibration!$G$35:$K$35,U98:Y98)+Calibration!$L$35*Z98</f>
        <v>0.329463143151601</v>
      </c>
      <c r="AB98" s="24" t="n">
        <f aca="false">Calibration!$M$36+Calibration!$N$36+SUMPRODUCT(Calibration!$B$36:$F$36,J98:N98)+SUMPRODUCT(Calibration!$G$36:$K$36,U98:Y98)+Calibration!$L$36*Z98</f>
        <v>-0.0285443093882409</v>
      </c>
      <c r="AC98" s="24" t="n">
        <f aca="false">Calibration!$M$37+Calibration!$N$37+SUMPRODUCT(Calibration!$B$37:$F$37,J98:N98)+SUMPRODUCT(Calibration!$G$37:$K$37,U98:Y98)+Calibration!$L$37*Z98</f>
        <v>0.524081740804148</v>
      </c>
      <c r="AD98" s="27" t="n">
        <f aca="false">EXP(AC98)/(EXP(AA98)+EXP(AB98)+EXP(AC98))</f>
        <v>0.416912428235325</v>
      </c>
      <c r="AE98" s="7" t="str">
        <f aca="false">IF(AC98=MAX(AA98:AC98),"TVK",IF(AB98=MAX(AA98:AC98),"DMK+","AIADMK+"))</f>
        <v>TVK</v>
      </c>
      <c r="AF98" s="7" t="str">
        <f aca="false">IF(AE98=R98,"Yes","No")</f>
        <v>Yes</v>
      </c>
      <c r="AG98" s="7" t="str">
        <f aca="false">IF(AE98=P98,"No","Yes")</f>
        <v>Yes</v>
      </c>
      <c r="AH98" s="7" t="str">
        <f aca="false">IF(H98=MAX(D98,E98,H98),"TVK",IF(E98=MAX(D98,E98,H98),"DMK+","AIADMK+"))</f>
        <v>TVK</v>
      </c>
      <c r="AI98" s="27" t="n">
        <f aca="false">EXP(AA98)/(EXP(AA98)+EXP(AB98)+EXP(AC98))</f>
        <v>0.343180860354357</v>
      </c>
      <c r="AJ98" s="27" t="n">
        <f aca="false">EXP(AB98)/(EXP(AA98)+EXP(AB98)+EXP(AC98))</f>
        <v>0.239906711410318</v>
      </c>
      <c r="AK98" s="28" t="s">
        <v>3</v>
      </c>
      <c r="AL98" s="7" t="str">
        <f aca="false">IF(AK98=R98,"Yes","No")</f>
        <v>Yes</v>
      </c>
      <c r="AM98" s="27" t="n">
        <f aca="false">IF(AK98="TVK",AD98,IF(AK98="DMK+",AJ98,AI98))</f>
        <v>0.416912428235325</v>
      </c>
      <c r="AN98" s="7" t="str">
        <f aca="false">IF(AK98=P98,"No","Yes")</f>
        <v>Yes</v>
      </c>
    </row>
    <row r="99" customFormat="false" ht="15" hidden="false" customHeight="false" outlineLevel="0" collapsed="false">
      <c r="A99" s="0" t="n">
        <v>95</v>
      </c>
      <c r="B99" s="4" t="s">
        <v>284</v>
      </c>
      <c r="C99" s="5" t="s">
        <v>124</v>
      </c>
      <c r="D99" s="35" t="n">
        <v>7</v>
      </c>
      <c r="E99" s="35" t="n">
        <v>2</v>
      </c>
      <c r="F99" s="35"/>
      <c r="G99" s="35" t="n">
        <v>1</v>
      </c>
      <c r="H99" s="35" t="n">
        <v>9</v>
      </c>
      <c r="I99" s="5" t="n">
        <f aca="false">SUM(D99:H99)</f>
        <v>19</v>
      </c>
      <c r="J99" s="10" t="n">
        <f aca="false">IF($I99=0,0,D99/$I99)</f>
        <v>0.368421052631579</v>
      </c>
      <c r="K99" s="10" t="n">
        <f aca="false">IF($I99=0,0,E99/$I99)</f>
        <v>0.105263157894737</v>
      </c>
      <c r="L99" s="10" t="n">
        <f aca="false">IF($I99=0,0,F99/$I99)</f>
        <v>0</v>
      </c>
      <c r="M99" s="10" t="n">
        <f aca="false">IF($I99=0,0,G99/$I99)</f>
        <v>0.0526315789473684</v>
      </c>
      <c r="N99" s="10" t="n">
        <f aca="false">IF($I99=0,0,H99/$I99)</f>
        <v>0.473684210526316</v>
      </c>
      <c r="O99" s="35" t="s">
        <v>3</v>
      </c>
      <c r="P99" s="0" t="str">
        <f aca="false">IF(O99="TVK","TVK",IF(O99="DMK","DMK+",IF(O99="ADMK","AIADMK+","")))</f>
        <v>TVK</v>
      </c>
      <c r="Q99" s="35" t="s">
        <v>196</v>
      </c>
      <c r="R99" s="36" t="s">
        <v>4</v>
      </c>
      <c r="S99" s="0" t="str">
        <f aca="false">IF(P99=R99,"Yes","No")</f>
        <v>No</v>
      </c>
      <c r="T99" s="2"/>
      <c r="U99" s="27" t="n">
        <f aca="false">IFERROR(SUMIFS($D$5:$D$238,$C$5:$C$238,$C99)/SUMIFS($I$5:$I$238,$C$5:$C$238,$C99),0)</f>
        <v>0.369158878504673</v>
      </c>
      <c r="V99" s="27" t="n">
        <f aca="false">IFERROR(SUMIFS($E$5:$E$238,$C$5:$C$238,$C99)/SUMIFS($I$5:$I$238,$C$5:$C$238,$C99),0)</f>
        <v>0.191588785046729</v>
      </c>
      <c r="W99" s="27" t="n">
        <f aca="false">IFERROR(SUMIFS($F$5:$F$238,$C$5:$C$238,$C99)/SUMIFS($I$5:$I$238,$C$5:$C$238,$C99),0)</f>
        <v>0.00467289719626168</v>
      </c>
      <c r="X99" s="27" t="n">
        <f aca="false">IFERROR(SUMIFS($G$5:$G$238,$C$5:$C$238,$C99)/SUMIFS($I$5:$I$238,$C$5:$C$238,$C99),0)</f>
        <v>0.0654205607476635</v>
      </c>
      <c r="Y99" s="27" t="n">
        <f aca="false">IFERROR(SUMIFS($H$5:$H$238,$C$5:$C$238,$C99)/SUMIFS($I$5:$I$238,$C$5:$C$238,$C99),0)</f>
        <v>0.369158878504673</v>
      </c>
      <c r="Z99" s="24" t="n">
        <f aca="false">LN(MAX(I99,1))</f>
        <v>2.94443897916644</v>
      </c>
      <c r="AA99" s="24" t="n">
        <f aca="false">Calibration!$M$35+Calibration!$N$35+SUMPRODUCT(Calibration!$B$35:$F$35,J99:N99)+SUMPRODUCT(Calibration!$G$35:$K$35,U99:Y99)+Calibration!$L$35*Z99</f>
        <v>0.872881226663099</v>
      </c>
      <c r="AB99" s="24" t="n">
        <f aca="false">Calibration!$M$36+Calibration!$N$36+SUMPRODUCT(Calibration!$B$36:$F$36,J99:N99)+SUMPRODUCT(Calibration!$G$36:$K$36,U99:Y99)+Calibration!$L$36*Z99</f>
        <v>0.380367488713016</v>
      </c>
      <c r="AC99" s="24" t="n">
        <f aca="false">Calibration!$M$37+Calibration!$N$37+SUMPRODUCT(Calibration!$B$37:$F$37,J99:N99)+SUMPRODUCT(Calibration!$G$37:$K$37,U99:Y99)+Calibration!$L$37*Z99</f>
        <v>-0.42824805010312</v>
      </c>
      <c r="AD99" s="27" t="n">
        <f aca="false">EXP(AC99)/(EXP(AA99)+EXP(AB99)+EXP(AC99))</f>
        <v>0.144545419766769</v>
      </c>
      <c r="AE99" s="7" t="str">
        <f aca="false">IF(AC99=MAX(AA99:AC99),"TVK",IF(AB99=MAX(AA99:AC99),"DMK+","AIADMK+"))</f>
        <v>AIADMK+</v>
      </c>
      <c r="AF99" s="7" t="str">
        <f aca="false">IF(AE99=R99,"Yes","No")</f>
        <v>Yes</v>
      </c>
      <c r="AG99" s="7" t="str">
        <f aca="false">IF(AE99=P99,"No","Yes")</f>
        <v>Yes</v>
      </c>
      <c r="AH99" s="7" t="str">
        <f aca="false">IF(H99=MAX(D99,E99,H99),"TVK",IF(E99=MAX(D99,E99,H99),"DMK+","AIADMK+"))</f>
        <v>TVK</v>
      </c>
      <c r="AI99" s="27" t="n">
        <f aca="false">EXP(AA99)/(EXP(AA99)+EXP(AB99)+EXP(AC99))</f>
        <v>0.530979311226818</v>
      </c>
      <c r="AJ99" s="27" t="n">
        <f aca="false">EXP(AB99)/(EXP(AA99)+EXP(AB99)+EXP(AC99))</f>
        <v>0.324475269006413</v>
      </c>
      <c r="AK99" s="28" t="s">
        <v>3</v>
      </c>
      <c r="AL99" s="7" t="str">
        <f aca="false">IF(AK99=R99,"Yes","No")</f>
        <v>No</v>
      </c>
      <c r="AM99" s="27" t="n">
        <f aca="false">IF(AK99="TVK",AD99,IF(AK99="DMK+",AJ99,AI99))</f>
        <v>0.144545419766769</v>
      </c>
      <c r="AN99" s="7" t="str">
        <f aca="false">IF(AK99=P99,"No","Yes")</f>
        <v>No</v>
      </c>
    </row>
    <row r="100" customFormat="false" ht="15" hidden="true" customHeight="false" outlineLevel="0" collapsed="false">
      <c r="A100" s="0" t="n">
        <v>96</v>
      </c>
      <c r="B100" s="4" t="s">
        <v>285</v>
      </c>
      <c r="C100" s="5" t="s">
        <v>124</v>
      </c>
      <c r="D100" s="35" t="n">
        <v>14</v>
      </c>
      <c r="E100" s="35" t="n">
        <v>9</v>
      </c>
      <c r="F100" s="35"/>
      <c r="G100" s="35" t="n">
        <v>3</v>
      </c>
      <c r="H100" s="35" t="n">
        <v>13</v>
      </c>
      <c r="I100" s="5" t="n">
        <f aca="false">SUM(D100:H100)</f>
        <v>39</v>
      </c>
      <c r="J100" s="10" t="n">
        <f aca="false">IF($I100=0,0,D100/$I100)</f>
        <v>0.358974358974359</v>
      </c>
      <c r="K100" s="10" t="n">
        <f aca="false">IF($I100=0,0,E100/$I100)</f>
        <v>0.230769230769231</v>
      </c>
      <c r="L100" s="10" t="n">
        <f aca="false">IF($I100=0,0,F100/$I100)</f>
        <v>0</v>
      </c>
      <c r="M100" s="10" t="n">
        <f aca="false">IF($I100=0,0,G100/$I100)</f>
        <v>0.0769230769230769</v>
      </c>
      <c r="N100" s="10" t="n">
        <f aca="false">IF($I100=0,0,H100/$I100)</f>
        <v>0.333333333333333</v>
      </c>
      <c r="O100" s="35" t="s">
        <v>218</v>
      </c>
      <c r="P100" s="0" t="str">
        <f aca="false">IF(O100="TVK","TVK",IF(O100="DMK","DMK+",IF(O100="ADMK","AIADMK+","")))</f>
        <v>AIADMK+</v>
      </c>
      <c r="Q100" s="35" t="s">
        <v>3</v>
      </c>
      <c r="R100" s="36" t="s">
        <v>3</v>
      </c>
      <c r="S100" s="0" t="str">
        <f aca="false">IF(P100=R100,"Yes","No")</f>
        <v>No</v>
      </c>
      <c r="T100" s="2"/>
      <c r="U100" s="27" t="n">
        <f aca="false">IFERROR(SUMIFS($D$5:$D$238,$C$5:$C$238,$C100)/SUMIFS($I$5:$I$238,$C$5:$C$238,$C100),0)</f>
        <v>0.369158878504673</v>
      </c>
      <c r="V100" s="27" t="n">
        <f aca="false">IFERROR(SUMIFS($E$5:$E$238,$C$5:$C$238,$C100)/SUMIFS($I$5:$I$238,$C$5:$C$238,$C100),0)</f>
        <v>0.191588785046729</v>
      </c>
      <c r="W100" s="27" t="n">
        <f aca="false">IFERROR(SUMIFS($F$5:$F$238,$C$5:$C$238,$C100)/SUMIFS($I$5:$I$238,$C$5:$C$238,$C100),0)</f>
        <v>0.00467289719626168</v>
      </c>
      <c r="X100" s="27" t="n">
        <f aca="false">IFERROR(SUMIFS($G$5:$G$238,$C$5:$C$238,$C100)/SUMIFS($I$5:$I$238,$C$5:$C$238,$C100),0)</f>
        <v>0.0654205607476635</v>
      </c>
      <c r="Y100" s="27" t="n">
        <f aca="false">IFERROR(SUMIFS($H$5:$H$238,$C$5:$C$238,$C100)/SUMIFS($I$5:$I$238,$C$5:$C$238,$C100),0)</f>
        <v>0.369158878504673</v>
      </c>
      <c r="Z100" s="24" t="n">
        <f aca="false">LN(MAX(I100,1))</f>
        <v>3.66356164612965</v>
      </c>
      <c r="AA100" s="24" t="n">
        <f aca="false">Calibration!$M$35+Calibration!$N$35+SUMPRODUCT(Calibration!$B$35:$F$35,J100:N100)+SUMPRODUCT(Calibration!$G$35:$K$35,U100:Y100)+Calibration!$L$35*Z100</f>
        <v>0.423697693745727</v>
      </c>
      <c r="AB100" s="24" t="n">
        <f aca="false">Calibration!$M$36+Calibration!$N$36+SUMPRODUCT(Calibration!$B$36:$F$36,J100:N100)+SUMPRODUCT(Calibration!$G$36:$K$36,U100:Y100)+Calibration!$L$36*Z100</f>
        <v>0.129409889438498</v>
      </c>
      <c r="AC100" s="24" t="n">
        <f aca="false">Calibration!$M$37+Calibration!$N$37+SUMPRODUCT(Calibration!$B$37:$F$37,J100:N100)+SUMPRODUCT(Calibration!$G$37:$K$37,U100:Y100)+Calibration!$L$37*Z100</f>
        <v>0.271892941737893</v>
      </c>
      <c r="AD100" s="27" t="n">
        <f aca="false">EXP(AC100)/(EXP(AA100)+EXP(AB100)+EXP(AC100))</f>
        <v>0.329909400519672</v>
      </c>
      <c r="AE100" s="7" t="str">
        <f aca="false">IF(AC100=MAX(AA100:AC100),"TVK",IF(AB100=MAX(AA100:AC100),"DMK+","AIADMK+"))</f>
        <v>AIADMK+</v>
      </c>
      <c r="AF100" s="7" t="str">
        <f aca="false">IF(AE100=R100,"Yes","No")</f>
        <v>No</v>
      </c>
      <c r="AG100" s="7" t="str">
        <f aca="false">IF(AE100=P100,"No","Yes")</f>
        <v>No</v>
      </c>
      <c r="AH100" s="7" t="str">
        <f aca="false">IF(H100=MAX(D100,E100,H100),"TVK",IF(E100=MAX(D100,E100,H100),"DMK+","AIADMK+"))</f>
        <v>AIADMK+</v>
      </c>
      <c r="AI100" s="27" t="n">
        <f aca="false">EXP(AA100)/(EXP(AA100)+EXP(AB100)+EXP(AC100))</f>
        <v>0.383992424640526</v>
      </c>
      <c r="AJ100" s="27" t="n">
        <f aca="false">EXP(AB100)/(EXP(AA100)+EXP(AB100)+EXP(AC100))</f>
        <v>0.286098174839802</v>
      </c>
      <c r="AK100" s="28" t="s">
        <v>3</v>
      </c>
      <c r="AL100" s="7" t="str">
        <f aca="false">IF(AK100=R100,"Yes","No")</f>
        <v>Yes</v>
      </c>
      <c r="AM100" s="27" t="n">
        <f aca="false">IF(AK100="TVK",AD100,IF(AK100="DMK+",AJ100,AI100))</f>
        <v>0.329909400519672</v>
      </c>
      <c r="AN100" s="7" t="str">
        <f aca="false">IF(AK100=P100,"No","Yes")</f>
        <v>Yes</v>
      </c>
    </row>
    <row r="101" customFormat="false" ht="15" hidden="false" customHeight="false" outlineLevel="0" collapsed="false">
      <c r="A101" s="0" t="n">
        <v>97</v>
      </c>
      <c r="B101" s="4" t="s">
        <v>286</v>
      </c>
      <c r="C101" s="5" t="s">
        <v>124</v>
      </c>
      <c r="D101" s="35" t="n">
        <v>13</v>
      </c>
      <c r="E101" s="35" t="n">
        <v>7</v>
      </c>
      <c r="F101" s="35"/>
      <c r="G101" s="35" t="n">
        <v>1</v>
      </c>
      <c r="H101" s="35" t="n">
        <v>17</v>
      </c>
      <c r="I101" s="5" t="n">
        <f aca="false">SUM(D101:H101)</f>
        <v>38</v>
      </c>
      <c r="J101" s="10" t="n">
        <f aca="false">IF($I101=0,0,D101/$I101)</f>
        <v>0.342105263157895</v>
      </c>
      <c r="K101" s="10" t="n">
        <f aca="false">IF($I101=0,0,E101/$I101)</f>
        <v>0.184210526315789</v>
      </c>
      <c r="L101" s="10" t="n">
        <f aca="false">IF($I101=0,0,F101/$I101)</f>
        <v>0</v>
      </c>
      <c r="M101" s="10" t="n">
        <f aca="false">IF($I101=0,0,G101/$I101)</f>
        <v>0.0263157894736842</v>
      </c>
      <c r="N101" s="10" t="n">
        <f aca="false">IF($I101=0,0,H101/$I101)</f>
        <v>0.447368421052632</v>
      </c>
      <c r="O101" s="35" t="s">
        <v>3</v>
      </c>
      <c r="P101" s="0" t="str">
        <f aca="false">IF(O101="TVK","TVK",IF(O101="DMK","DMK+",IF(O101="ADMK","AIADMK+","")))</f>
        <v>TVK</v>
      </c>
      <c r="Q101" s="35" t="s">
        <v>3</v>
      </c>
      <c r="R101" s="36" t="s">
        <v>3</v>
      </c>
      <c r="S101" s="0" t="str">
        <f aca="false">IF(P101=R101,"Yes","No")</f>
        <v>Yes</v>
      </c>
      <c r="T101" s="2"/>
      <c r="U101" s="27" t="n">
        <f aca="false">IFERROR(SUMIFS($D$5:$D$238,$C$5:$C$238,$C101)/SUMIFS($I$5:$I$238,$C$5:$C$238,$C101),0)</f>
        <v>0.369158878504673</v>
      </c>
      <c r="V101" s="27" t="n">
        <f aca="false">IFERROR(SUMIFS($E$5:$E$238,$C$5:$C$238,$C101)/SUMIFS($I$5:$I$238,$C$5:$C$238,$C101),0)</f>
        <v>0.191588785046729</v>
      </c>
      <c r="W101" s="27" t="n">
        <f aca="false">IFERROR(SUMIFS($F$5:$F$238,$C$5:$C$238,$C101)/SUMIFS($I$5:$I$238,$C$5:$C$238,$C101),0)</f>
        <v>0.00467289719626168</v>
      </c>
      <c r="X101" s="27" t="n">
        <f aca="false">IFERROR(SUMIFS($G$5:$G$238,$C$5:$C$238,$C101)/SUMIFS($I$5:$I$238,$C$5:$C$238,$C101),0)</f>
        <v>0.0654205607476635</v>
      </c>
      <c r="Y101" s="27" t="n">
        <f aca="false">IFERROR(SUMIFS($H$5:$H$238,$C$5:$C$238,$C101)/SUMIFS($I$5:$I$238,$C$5:$C$238,$C101),0)</f>
        <v>0.369158878504673</v>
      </c>
      <c r="Z101" s="24" t="n">
        <f aca="false">LN(MAX(I101,1))</f>
        <v>3.63758615972639</v>
      </c>
      <c r="AA101" s="24" t="n">
        <f aca="false">Calibration!$M$35+Calibration!$N$35+SUMPRODUCT(Calibration!$B$35:$F$35,J101:N101)+SUMPRODUCT(Calibration!$G$35:$K$35,U101:Y101)+Calibration!$L$35*Z101</f>
        <v>0.433331656672759</v>
      </c>
      <c r="AB101" s="24" t="n">
        <f aca="false">Calibration!$M$36+Calibration!$N$36+SUMPRODUCT(Calibration!$B$36:$F$36,J101:N101)+SUMPRODUCT(Calibration!$G$36:$K$36,U101:Y101)+Calibration!$L$36*Z101</f>
        <v>0.063999400702512</v>
      </c>
      <c r="AC101" s="24" t="n">
        <f aca="false">Calibration!$M$37+Calibration!$N$37+SUMPRODUCT(Calibration!$B$37:$F$37,J101:N101)+SUMPRODUCT(Calibration!$G$37:$K$37,U101:Y101)+Calibration!$L$37*Z101</f>
        <v>0.327669581581935</v>
      </c>
      <c r="AD101" s="27" t="n">
        <f aca="false">EXP(AC101)/(EXP(AA101)+EXP(AB101)+EXP(AC101))</f>
        <v>0.34726163865333</v>
      </c>
      <c r="AE101" s="7" t="str">
        <f aca="false">IF(AC101=MAX(AA101:AC101),"TVK",IF(AB101=MAX(AA101:AC101),"DMK+","AIADMK+"))</f>
        <v>AIADMK+</v>
      </c>
      <c r="AF101" s="7" t="str">
        <f aca="false">IF(AE101=R101,"Yes","No")</f>
        <v>No</v>
      </c>
      <c r="AG101" s="7" t="str">
        <f aca="false">IF(AE101=P101,"No","Yes")</f>
        <v>Yes</v>
      </c>
      <c r="AH101" s="7" t="str">
        <f aca="false">IF(H101=MAX(D101,E101,H101),"TVK",IF(E101=MAX(D101,E101,H101),"DMK+","AIADMK+"))</f>
        <v>TVK</v>
      </c>
      <c r="AI101" s="27" t="n">
        <f aca="false">EXP(AA101)/(EXP(AA101)+EXP(AB101)+EXP(AC101))</f>
        <v>0.385962638297141</v>
      </c>
      <c r="AJ101" s="27" t="n">
        <f aca="false">EXP(AB101)/(EXP(AA101)+EXP(AB101)+EXP(AC101))</f>
        <v>0.26677572304953</v>
      </c>
      <c r="AK101" s="28" t="s">
        <v>3</v>
      </c>
      <c r="AL101" s="7" t="str">
        <f aca="false">IF(AK101=R101,"Yes","No")</f>
        <v>Yes</v>
      </c>
      <c r="AM101" s="27" t="n">
        <f aca="false">IF(AK101="TVK",AD101,IF(AK101="DMK+",AJ101,AI101))</f>
        <v>0.34726163865333</v>
      </c>
      <c r="AN101" s="7" t="str">
        <f aca="false">IF(AK101=P101,"No","Yes")</f>
        <v>No</v>
      </c>
    </row>
    <row r="102" customFormat="false" ht="15" hidden="false" customHeight="false" outlineLevel="0" collapsed="false">
      <c r="A102" s="0" t="n">
        <v>98</v>
      </c>
      <c r="B102" s="4" t="s">
        <v>287</v>
      </c>
      <c r="C102" s="5" t="s">
        <v>106</v>
      </c>
      <c r="D102" s="35" t="n">
        <v>18</v>
      </c>
      <c r="E102" s="35" t="n">
        <v>6</v>
      </c>
      <c r="F102" s="35"/>
      <c r="G102" s="35" t="n">
        <v>1</v>
      </c>
      <c r="H102" s="35" t="n">
        <v>27</v>
      </c>
      <c r="I102" s="5" t="n">
        <f aca="false">SUM(D102:H102)</f>
        <v>52</v>
      </c>
      <c r="J102" s="10" t="n">
        <f aca="false">IF($I102=0,0,D102/$I102)</f>
        <v>0.346153846153846</v>
      </c>
      <c r="K102" s="10" t="n">
        <f aca="false">IF($I102=0,0,E102/$I102)</f>
        <v>0.115384615384615</v>
      </c>
      <c r="L102" s="10" t="n">
        <f aca="false">IF($I102=0,0,F102/$I102)</f>
        <v>0</v>
      </c>
      <c r="M102" s="10" t="n">
        <f aca="false">IF($I102=0,0,G102/$I102)</f>
        <v>0.0192307692307692</v>
      </c>
      <c r="N102" s="10" t="n">
        <f aca="false">IF($I102=0,0,H102/$I102)</f>
        <v>0.519230769230769</v>
      </c>
      <c r="O102" s="35" t="s">
        <v>3</v>
      </c>
      <c r="P102" s="0" t="str">
        <f aca="false">IF(O102="TVK","TVK",IF(O102="DMK","DMK+",IF(O102="ADMK","AIADMK+","")))</f>
        <v>TVK</v>
      </c>
      <c r="Q102" s="35" t="s">
        <v>3</v>
      </c>
      <c r="R102" s="36" t="s">
        <v>3</v>
      </c>
      <c r="S102" s="0" t="str">
        <f aca="false">IF(P102=R102,"Yes","No")</f>
        <v>Yes</v>
      </c>
      <c r="T102" s="2"/>
      <c r="U102" s="27" t="n">
        <f aca="false">IFERROR(SUMIFS($D$5:$D$238,$C$5:$C$238,$C102)/SUMIFS($I$5:$I$238,$C$5:$C$238,$C102),0)</f>
        <v>0.390934844192635</v>
      </c>
      <c r="V102" s="27" t="n">
        <f aca="false">IFERROR(SUMIFS($E$5:$E$238,$C$5:$C$238,$C102)/SUMIFS($I$5:$I$238,$C$5:$C$238,$C102),0)</f>
        <v>0.203966005665722</v>
      </c>
      <c r="W102" s="27" t="n">
        <f aca="false">IFERROR(SUMIFS($F$5:$F$238,$C$5:$C$238,$C102)/SUMIFS($I$5:$I$238,$C$5:$C$238,$C102),0)</f>
        <v>0.0056657223796034</v>
      </c>
      <c r="X102" s="27" t="n">
        <f aca="false">IFERROR(SUMIFS($G$5:$G$238,$C$5:$C$238,$C102)/SUMIFS($I$5:$I$238,$C$5:$C$238,$C102),0)</f>
        <v>0.0594900849858357</v>
      </c>
      <c r="Y102" s="27" t="n">
        <f aca="false">IFERROR(SUMIFS($H$5:$H$238,$C$5:$C$238,$C102)/SUMIFS($I$5:$I$238,$C$5:$C$238,$C102),0)</f>
        <v>0.339943342776204</v>
      </c>
      <c r="Z102" s="24" t="n">
        <f aca="false">LN(MAX(I102,1))</f>
        <v>3.95124371858143</v>
      </c>
      <c r="AA102" s="24" t="n">
        <f aca="false">Calibration!$M$35+Calibration!$N$35+SUMPRODUCT(Calibration!$B$35:$F$35,J102:N102)+SUMPRODUCT(Calibration!$G$35:$K$35,U102:Y102)+Calibration!$L$35*Z102</f>
        <v>0.317724300013909</v>
      </c>
      <c r="AB102" s="24" t="n">
        <f aca="false">Calibration!$M$36+Calibration!$N$36+SUMPRODUCT(Calibration!$B$36:$F$36,J102:N102)+SUMPRODUCT(Calibration!$G$36:$K$36,U102:Y102)+Calibration!$L$36*Z102</f>
        <v>-0.212931861661327</v>
      </c>
      <c r="AC102" s="24" t="n">
        <f aca="false">Calibration!$M$37+Calibration!$N$37+SUMPRODUCT(Calibration!$B$37:$F$37,J102:N102)+SUMPRODUCT(Calibration!$G$37:$K$37,U102:Y102)+Calibration!$L$37*Z102</f>
        <v>0.720208284844191</v>
      </c>
      <c r="AD102" s="27" t="n">
        <f aca="false">EXP(AC102)/(EXP(AA102)+EXP(AB102)+EXP(AC102))</f>
        <v>0.484972227509571</v>
      </c>
      <c r="AE102" s="7" t="str">
        <f aca="false">IF(AC102=MAX(AA102:AC102),"TVK",IF(AB102=MAX(AA102:AC102),"DMK+","AIADMK+"))</f>
        <v>TVK</v>
      </c>
      <c r="AF102" s="7" t="str">
        <f aca="false">IF(AE102=R102,"Yes","No")</f>
        <v>Yes</v>
      </c>
      <c r="AG102" s="7" t="str">
        <f aca="false">IF(AE102=P102,"No","Yes")</f>
        <v>No</v>
      </c>
      <c r="AH102" s="7" t="str">
        <f aca="false">IF(H102=MAX(D102,E102,H102),"TVK",IF(E102=MAX(D102,E102,H102),"DMK+","AIADMK+"))</f>
        <v>TVK</v>
      </c>
      <c r="AI102" s="27" t="n">
        <f aca="false">EXP(AA102)/(EXP(AA102)+EXP(AB102)+EXP(AC102))</f>
        <v>0.324280097764354</v>
      </c>
      <c r="AJ102" s="27" t="n">
        <f aca="false">EXP(AB102)/(EXP(AA102)+EXP(AB102)+EXP(AC102))</f>
        <v>0.190747674726075</v>
      </c>
      <c r="AK102" s="28" t="s">
        <v>3</v>
      </c>
      <c r="AL102" s="7" t="str">
        <f aca="false">IF(AK102=R102,"Yes","No")</f>
        <v>Yes</v>
      </c>
      <c r="AM102" s="27" t="n">
        <f aca="false">IF(AK102="TVK",AD102,IF(AK102="DMK+",AJ102,AI102))</f>
        <v>0.484972227509571</v>
      </c>
      <c r="AN102" s="7" t="str">
        <f aca="false">IF(AK102=P102,"No","Yes")</f>
        <v>No</v>
      </c>
    </row>
    <row r="103" customFormat="false" ht="15" hidden="true" customHeight="false" outlineLevel="0" collapsed="false">
      <c r="A103" s="0" t="n">
        <v>99</v>
      </c>
      <c r="B103" s="4" t="s">
        <v>288</v>
      </c>
      <c r="C103" s="5" t="s">
        <v>106</v>
      </c>
      <c r="D103" s="35" t="n">
        <v>31</v>
      </c>
      <c r="E103" s="35" t="n">
        <v>21</v>
      </c>
      <c r="F103" s="35"/>
      <c r="G103" s="35" t="n">
        <v>2</v>
      </c>
      <c r="H103" s="35" t="n">
        <v>16</v>
      </c>
      <c r="I103" s="5" t="n">
        <f aca="false">SUM(D103:H103)</f>
        <v>70</v>
      </c>
      <c r="J103" s="10" t="n">
        <f aca="false">IF($I103=0,0,D103/$I103)</f>
        <v>0.442857142857143</v>
      </c>
      <c r="K103" s="10" t="n">
        <f aca="false">IF($I103=0,0,E103/$I103)</f>
        <v>0.3</v>
      </c>
      <c r="L103" s="10" t="n">
        <f aca="false">IF($I103=0,0,F103/$I103)</f>
        <v>0</v>
      </c>
      <c r="M103" s="10" t="n">
        <f aca="false">IF($I103=0,0,G103/$I103)</f>
        <v>0.0285714285714286</v>
      </c>
      <c r="N103" s="10" t="n">
        <f aca="false">IF($I103=0,0,H103/$I103)</f>
        <v>0.228571428571429</v>
      </c>
      <c r="O103" s="35" t="s">
        <v>218</v>
      </c>
      <c r="P103" s="0" t="str">
        <f aca="false">IF(O103="TVK","TVK",IF(O103="DMK","DMK+",IF(O103="ADMK","AIADMK+","")))</f>
        <v>AIADMK+</v>
      </c>
      <c r="Q103" s="35" t="s">
        <v>3</v>
      </c>
      <c r="R103" s="36" t="s">
        <v>3</v>
      </c>
      <c r="S103" s="0" t="str">
        <f aca="false">IF(P103=R103,"Yes","No")</f>
        <v>No</v>
      </c>
      <c r="T103" s="2"/>
      <c r="U103" s="27" t="n">
        <f aca="false">IFERROR(SUMIFS($D$5:$D$238,$C$5:$C$238,$C103)/SUMIFS($I$5:$I$238,$C$5:$C$238,$C103),0)</f>
        <v>0.390934844192635</v>
      </c>
      <c r="V103" s="27" t="n">
        <f aca="false">IFERROR(SUMIFS($E$5:$E$238,$C$5:$C$238,$C103)/SUMIFS($I$5:$I$238,$C$5:$C$238,$C103),0)</f>
        <v>0.203966005665722</v>
      </c>
      <c r="W103" s="27" t="n">
        <f aca="false">IFERROR(SUMIFS($F$5:$F$238,$C$5:$C$238,$C103)/SUMIFS($I$5:$I$238,$C$5:$C$238,$C103),0)</f>
        <v>0.0056657223796034</v>
      </c>
      <c r="X103" s="27" t="n">
        <f aca="false">IFERROR(SUMIFS($G$5:$G$238,$C$5:$C$238,$C103)/SUMIFS($I$5:$I$238,$C$5:$C$238,$C103),0)</f>
        <v>0.0594900849858357</v>
      </c>
      <c r="Y103" s="27" t="n">
        <f aca="false">IFERROR(SUMIFS($H$5:$H$238,$C$5:$C$238,$C103)/SUMIFS($I$5:$I$238,$C$5:$C$238,$C103),0)</f>
        <v>0.339943342776204</v>
      </c>
      <c r="Z103" s="24" t="n">
        <f aca="false">LN(MAX(I103,1))</f>
        <v>4.24849524204936</v>
      </c>
      <c r="AA103" s="24" t="n">
        <f aca="false">Calibration!$M$35+Calibration!$N$35+SUMPRODUCT(Calibration!$B$35:$F$35,J103:N103)+SUMPRODUCT(Calibration!$G$35:$K$35,U103:Y103)+Calibration!$L$35*Z103</f>
        <v>0.167676418284584</v>
      </c>
      <c r="AB103" s="24" t="n">
        <f aca="false">Calibration!$M$36+Calibration!$N$36+SUMPRODUCT(Calibration!$B$36:$F$36,J103:N103)+SUMPRODUCT(Calibration!$G$36:$K$36,U103:Y103)+Calibration!$L$36*Z103</f>
        <v>-0.178556055110211</v>
      </c>
      <c r="AC103" s="24" t="n">
        <f aca="false">Calibration!$M$37+Calibration!$N$37+SUMPRODUCT(Calibration!$B$37:$F$37,J103:N103)+SUMPRODUCT(Calibration!$G$37:$K$37,U103:Y103)+Calibration!$L$37*Z103</f>
        <v>0.835880069363062</v>
      </c>
      <c r="AD103" s="27" t="n">
        <f aca="false">EXP(AC103)/(EXP(AA103)+EXP(AB103)+EXP(AC103))</f>
        <v>0.533266369764264</v>
      </c>
      <c r="AE103" s="7" t="str">
        <f aca="false">IF(AC103=MAX(AA103:AC103),"TVK",IF(AB103=MAX(AA103:AC103),"DMK+","AIADMK+"))</f>
        <v>TVK</v>
      </c>
      <c r="AF103" s="7" t="str">
        <f aca="false">IF(AE103=R103,"Yes","No")</f>
        <v>Yes</v>
      </c>
      <c r="AG103" s="7" t="str">
        <f aca="false">IF(AE103=P103,"No","Yes")</f>
        <v>Yes</v>
      </c>
      <c r="AH103" s="7" t="str">
        <f aca="false">IF(H103=MAX(D103,E103,H103),"TVK",IF(E103=MAX(D103,E103,H103),"DMK+","AIADMK+"))</f>
        <v>AIADMK+</v>
      </c>
      <c r="AI103" s="27" t="n">
        <f aca="false">EXP(AA103)/(EXP(AA103)+EXP(AB103)+EXP(AC103))</f>
        <v>0.27336759844732</v>
      </c>
      <c r="AJ103" s="27" t="n">
        <f aca="false">EXP(AB103)/(EXP(AA103)+EXP(AB103)+EXP(AC103))</f>
        <v>0.193366031788416</v>
      </c>
      <c r="AK103" s="28" t="s">
        <v>3</v>
      </c>
      <c r="AL103" s="7" t="str">
        <f aca="false">IF(AK103=R103,"Yes","No")</f>
        <v>Yes</v>
      </c>
      <c r="AM103" s="27" t="n">
        <f aca="false">IF(AK103="TVK",AD103,IF(AK103="DMK+",AJ103,AI103))</f>
        <v>0.533266369764264</v>
      </c>
      <c r="AN103" s="7" t="str">
        <f aca="false">IF(AK103=P103,"No","Yes")</f>
        <v>Yes</v>
      </c>
    </row>
    <row r="104" customFormat="false" ht="15" hidden="true" customHeight="false" outlineLevel="0" collapsed="false">
      <c r="A104" s="0" t="n">
        <v>100</v>
      </c>
      <c r="B104" s="4" t="s">
        <v>289</v>
      </c>
      <c r="C104" s="5" t="s">
        <v>106</v>
      </c>
      <c r="D104" s="35" t="n">
        <v>14</v>
      </c>
      <c r="E104" s="35" t="n">
        <v>6</v>
      </c>
      <c r="F104" s="35"/>
      <c r="G104" s="35" t="n">
        <v>6</v>
      </c>
      <c r="H104" s="35" t="n">
        <v>5</v>
      </c>
      <c r="I104" s="5" t="n">
        <f aca="false">SUM(D104:H104)</f>
        <v>31</v>
      </c>
      <c r="J104" s="10" t="n">
        <f aca="false">IF($I104=0,0,D104/$I104)</f>
        <v>0.451612903225806</v>
      </c>
      <c r="K104" s="10" t="n">
        <f aca="false">IF($I104=0,0,E104/$I104)</f>
        <v>0.193548387096774</v>
      </c>
      <c r="L104" s="10" t="n">
        <f aca="false">IF($I104=0,0,F104/$I104)</f>
        <v>0</v>
      </c>
      <c r="M104" s="10" t="n">
        <f aca="false">IF($I104=0,0,G104/$I104)</f>
        <v>0.193548387096774</v>
      </c>
      <c r="N104" s="10" t="n">
        <f aca="false">IF($I104=0,0,H104/$I104)</f>
        <v>0.161290322580645</v>
      </c>
      <c r="O104" s="35" t="s">
        <v>218</v>
      </c>
      <c r="P104" s="0" t="str">
        <f aca="false">IF(O104="TVK","TVK",IF(O104="DMK","DMK+",IF(O104="ADMK","AIADMK+","")))</f>
        <v>AIADMK+</v>
      </c>
      <c r="Q104" s="35" t="s">
        <v>3</v>
      </c>
      <c r="R104" s="36" t="s">
        <v>3</v>
      </c>
      <c r="S104" s="0" t="str">
        <f aca="false">IF(P104=R104,"Yes","No")</f>
        <v>No</v>
      </c>
      <c r="T104" s="2"/>
      <c r="U104" s="27" t="n">
        <f aca="false">IFERROR(SUMIFS($D$5:$D$238,$C$5:$C$238,$C104)/SUMIFS($I$5:$I$238,$C$5:$C$238,$C104),0)</f>
        <v>0.390934844192635</v>
      </c>
      <c r="V104" s="27" t="n">
        <f aca="false">IFERROR(SUMIFS($E$5:$E$238,$C$5:$C$238,$C104)/SUMIFS($I$5:$I$238,$C$5:$C$238,$C104),0)</f>
        <v>0.203966005665722</v>
      </c>
      <c r="W104" s="27" t="n">
        <f aca="false">IFERROR(SUMIFS($F$5:$F$238,$C$5:$C$238,$C104)/SUMIFS($I$5:$I$238,$C$5:$C$238,$C104),0)</f>
        <v>0.0056657223796034</v>
      </c>
      <c r="X104" s="27" t="n">
        <f aca="false">IFERROR(SUMIFS($G$5:$G$238,$C$5:$C$238,$C104)/SUMIFS($I$5:$I$238,$C$5:$C$238,$C104),0)</f>
        <v>0.0594900849858357</v>
      </c>
      <c r="Y104" s="27" t="n">
        <f aca="false">IFERROR(SUMIFS($H$5:$H$238,$C$5:$C$238,$C104)/SUMIFS($I$5:$I$238,$C$5:$C$238,$C104),0)</f>
        <v>0.339943342776204</v>
      </c>
      <c r="Z104" s="24" t="n">
        <f aca="false">LN(MAX(I104,1))</f>
        <v>3.43398720448515</v>
      </c>
      <c r="AA104" s="24" t="n">
        <f aca="false">Calibration!$M$35+Calibration!$N$35+SUMPRODUCT(Calibration!$B$35:$F$35,J104:N104)+SUMPRODUCT(Calibration!$G$35:$K$35,U104:Y104)+Calibration!$L$35*Z104</f>
        <v>0.697498523719266</v>
      </c>
      <c r="AB104" s="24" t="n">
        <f aca="false">Calibration!$M$36+Calibration!$N$36+SUMPRODUCT(Calibration!$B$36:$F$36,J104:N104)+SUMPRODUCT(Calibration!$G$36:$K$36,U104:Y104)+Calibration!$L$36*Z104</f>
        <v>0.247979008594312</v>
      </c>
      <c r="AC104" s="24" t="n">
        <f aca="false">Calibration!$M$37+Calibration!$N$37+SUMPRODUCT(Calibration!$B$37:$F$37,J104:N104)+SUMPRODUCT(Calibration!$G$37:$K$37,U104:Y104)+Calibration!$L$37*Z104</f>
        <v>-0.12047716705725</v>
      </c>
      <c r="AD104" s="27" t="n">
        <f aca="false">EXP(AC104)/(EXP(AA104)+EXP(AB104)+EXP(AC104))</f>
        <v>0.212250703789992</v>
      </c>
      <c r="AE104" s="7" t="str">
        <f aca="false">IF(AC104=MAX(AA104:AC104),"TVK",IF(AB104=MAX(AA104:AC104),"DMK+","AIADMK+"))</f>
        <v>AIADMK+</v>
      </c>
      <c r="AF104" s="7" t="str">
        <f aca="false">IF(AE104=R104,"Yes","No")</f>
        <v>No</v>
      </c>
      <c r="AG104" s="7" t="str">
        <f aca="false">IF(AE104=P104,"No","Yes")</f>
        <v>No</v>
      </c>
      <c r="AH104" s="7" t="str">
        <f aca="false">IF(H104=MAX(D104,E104,H104),"TVK",IF(E104=MAX(D104,E104,H104),"DMK+","AIADMK+"))</f>
        <v>AIADMK+</v>
      </c>
      <c r="AI104" s="27" t="n">
        <f aca="false">EXP(AA104)/(EXP(AA104)+EXP(AB104)+EXP(AC104))</f>
        <v>0.48094062984716</v>
      </c>
      <c r="AJ104" s="27" t="n">
        <f aca="false">EXP(AB104)/(EXP(AA104)+EXP(AB104)+EXP(AC104))</f>
        <v>0.306808666362847</v>
      </c>
      <c r="AK104" s="28" t="s">
        <v>4</v>
      </c>
      <c r="AL104" s="7" t="str">
        <f aca="false">IF(AK104=R104,"Yes","No")</f>
        <v>No</v>
      </c>
      <c r="AM104" s="27" t="n">
        <f aca="false">IF(AK104="TVK",AD104,IF(AK104="DMK+",AJ104,AI104))</f>
        <v>0.48094062984716</v>
      </c>
      <c r="AN104" s="7" t="str">
        <f aca="false">IF(AK104=P104,"No","Yes")</f>
        <v>No</v>
      </c>
    </row>
    <row r="105" customFormat="false" ht="15" hidden="true" customHeight="false" outlineLevel="0" collapsed="false">
      <c r="A105" s="0" t="n">
        <v>101</v>
      </c>
      <c r="B105" s="4" t="s">
        <v>290</v>
      </c>
      <c r="C105" s="5" t="s">
        <v>156</v>
      </c>
      <c r="D105" s="35" t="n">
        <v>6</v>
      </c>
      <c r="E105" s="35" t="n">
        <v>8</v>
      </c>
      <c r="F105" s="35" t="n">
        <v>1</v>
      </c>
      <c r="G105" s="35" t="n">
        <v>1</v>
      </c>
      <c r="H105" s="35" t="n">
        <v>7</v>
      </c>
      <c r="I105" s="5" t="n">
        <f aca="false">SUM(D105:H105)</f>
        <v>23</v>
      </c>
      <c r="J105" s="10" t="n">
        <f aca="false">IF($I105=0,0,D105/$I105)</f>
        <v>0.260869565217391</v>
      </c>
      <c r="K105" s="10" t="n">
        <f aca="false">IF($I105=0,0,E105/$I105)</f>
        <v>0.347826086956522</v>
      </c>
      <c r="L105" s="10" t="n">
        <f aca="false">IF($I105=0,0,F105/$I105)</f>
        <v>0.0434782608695652</v>
      </c>
      <c r="M105" s="10" t="n">
        <f aca="false">IF($I105=0,0,G105/$I105)</f>
        <v>0.0434782608695652</v>
      </c>
      <c r="N105" s="10" t="n">
        <f aca="false">IF($I105=0,0,H105/$I105)</f>
        <v>0.304347826086957</v>
      </c>
      <c r="O105" s="35" t="s">
        <v>197</v>
      </c>
      <c r="P105" s="0" t="str">
        <f aca="false">IF(O105="TVK","TVK",IF(O105="DMK","DMK+",IF(O105="ADMK","AIADMK+","")))</f>
        <v>DMK+</v>
      </c>
      <c r="Q105" s="35" t="s">
        <v>196</v>
      </c>
      <c r="R105" s="36" t="s">
        <v>4</v>
      </c>
      <c r="S105" s="0" t="str">
        <f aca="false">IF(P105=R105,"Yes","No")</f>
        <v>No</v>
      </c>
      <c r="T105" s="2"/>
      <c r="U105" s="27" t="n">
        <f aca="false">IFERROR(SUMIFS($D$5:$D$238,$C$5:$C$238,$C105)/SUMIFS($I$5:$I$238,$C$5:$C$238,$C105),0)</f>
        <v>0.275862068965517</v>
      </c>
      <c r="V105" s="27" t="n">
        <f aca="false">IFERROR(SUMIFS($E$5:$E$238,$C$5:$C$238,$C105)/SUMIFS($I$5:$I$238,$C$5:$C$238,$C105),0)</f>
        <v>0.214854111405836</v>
      </c>
      <c r="W105" s="27" t="n">
        <f aca="false">IFERROR(SUMIFS($F$5:$F$238,$C$5:$C$238,$C105)/SUMIFS($I$5:$I$238,$C$5:$C$238,$C105),0)</f>
        <v>0.00530503978779841</v>
      </c>
      <c r="X105" s="27" t="n">
        <f aca="false">IFERROR(SUMIFS($G$5:$G$238,$C$5:$C$238,$C105)/SUMIFS($I$5:$I$238,$C$5:$C$238,$C105),0)</f>
        <v>0.0716180371352785</v>
      </c>
      <c r="Y105" s="27" t="n">
        <f aca="false">IFERROR(SUMIFS($H$5:$H$238,$C$5:$C$238,$C105)/SUMIFS($I$5:$I$238,$C$5:$C$238,$C105),0)</f>
        <v>0.43236074270557</v>
      </c>
      <c r="Z105" s="24" t="n">
        <f aca="false">LN(MAX(I105,1))</f>
        <v>3.13549421592915</v>
      </c>
      <c r="AA105" s="24" t="n">
        <f aca="false">Calibration!$M$35+Calibration!$N$35+SUMPRODUCT(Calibration!$B$35:$F$35,J105:N105)+SUMPRODUCT(Calibration!$G$35:$K$35,U105:Y105)+Calibration!$L$35*Z105</f>
        <v>0.46536145552186</v>
      </c>
      <c r="AB105" s="24" t="n">
        <f aca="false">Calibration!$M$36+Calibration!$N$36+SUMPRODUCT(Calibration!$B$36:$F$36,J105:N105)+SUMPRODUCT(Calibration!$G$36:$K$36,U105:Y105)+Calibration!$L$36*Z105</f>
        <v>0.67709100757489</v>
      </c>
      <c r="AC105" s="24" t="n">
        <f aca="false">Calibration!$M$37+Calibration!$N$37+SUMPRODUCT(Calibration!$B$37:$F$37,J105:N105)+SUMPRODUCT(Calibration!$G$37:$K$37,U105:Y105)+Calibration!$L$37*Z105</f>
        <v>-0.317451943894814</v>
      </c>
      <c r="AD105" s="27" t="n">
        <f aca="false">EXP(AC105)/(EXP(AA105)+EXP(AB105)+EXP(AC105))</f>
        <v>0.169747392479519</v>
      </c>
      <c r="AE105" s="7" t="str">
        <f aca="false">IF(AC105=MAX(AA105:AC105),"TVK",IF(AB105=MAX(AA105:AC105),"DMK+","AIADMK+"))</f>
        <v>DMK+</v>
      </c>
      <c r="AF105" s="7" t="str">
        <f aca="false">IF(AE105=R105,"Yes","No")</f>
        <v>No</v>
      </c>
      <c r="AG105" s="7" t="str">
        <f aca="false">IF(AE105=P105,"No","Yes")</f>
        <v>No</v>
      </c>
      <c r="AH105" s="7" t="str">
        <f aca="false">IF(H105=MAX(D105,E105,H105),"TVK",IF(E105=MAX(D105,E105,H105),"DMK+","AIADMK+"))</f>
        <v>DMK+</v>
      </c>
      <c r="AI105" s="27" t="n">
        <f aca="false">EXP(AA105)/(EXP(AA105)+EXP(AB105)+EXP(AC105))</f>
        <v>0.37134249534366</v>
      </c>
      <c r="AJ105" s="27" t="n">
        <f aca="false">EXP(AB105)/(EXP(AA105)+EXP(AB105)+EXP(AC105))</f>
        <v>0.458910112176821</v>
      </c>
      <c r="AK105" s="28" t="s">
        <v>5</v>
      </c>
      <c r="AL105" s="7" t="str">
        <f aca="false">IF(AK105=R105,"Yes","No")</f>
        <v>No</v>
      </c>
      <c r="AM105" s="27" t="n">
        <f aca="false">IF(AK105="TVK",AD105,IF(AK105="DMK+",AJ105,AI105))</f>
        <v>0.458910112176821</v>
      </c>
      <c r="AN105" s="7" t="str">
        <f aca="false">IF(AK105=P105,"No","Yes")</f>
        <v>No</v>
      </c>
    </row>
    <row r="106" customFormat="false" ht="15" hidden="false" customHeight="false" outlineLevel="0" collapsed="false">
      <c r="A106" s="0" t="n">
        <v>102</v>
      </c>
      <c r="B106" s="4" t="s">
        <v>291</v>
      </c>
      <c r="C106" s="5" t="s">
        <v>156</v>
      </c>
      <c r="D106" s="35" t="n">
        <v>11</v>
      </c>
      <c r="E106" s="35" t="n">
        <v>1</v>
      </c>
      <c r="F106" s="35"/>
      <c r="G106" s="35" t="n">
        <v>1</v>
      </c>
      <c r="H106" s="35" t="n">
        <v>13</v>
      </c>
      <c r="I106" s="5" t="n">
        <f aca="false">SUM(D106:H106)</f>
        <v>26</v>
      </c>
      <c r="J106" s="10" t="n">
        <f aca="false">IF($I106=0,0,D106/$I106)</f>
        <v>0.423076923076923</v>
      </c>
      <c r="K106" s="10" t="n">
        <f aca="false">IF($I106=0,0,E106/$I106)</f>
        <v>0.0384615384615385</v>
      </c>
      <c r="L106" s="10" t="n">
        <f aca="false">IF($I106=0,0,F106/$I106)</f>
        <v>0</v>
      </c>
      <c r="M106" s="10" t="n">
        <f aca="false">IF($I106=0,0,G106/$I106)</f>
        <v>0.0384615384615385</v>
      </c>
      <c r="N106" s="10" t="n">
        <f aca="false">IF($I106=0,0,H106/$I106)</f>
        <v>0.5</v>
      </c>
      <c r="O106" s="35" t="s">
        <v>3</v>
      </c>
      <c r="P106" s="0" t="str">
        <f aca="false">IF(O106="TVK","TVK",IF(O106="DMK","DMK+",IF(O106="ADMK","AIADMK+","")))</f>
        <v>TVK</v>
      </c>
      <c r="Q106" s="35" t="s">
        <v>196</v>
      </c>
      <c r="R106" s="36" t="s">
        <v>4</v>
      </c>
      <c r="S106" s="0" t="str">
        <f aca="false">IF(P106=R106,"Yes","No")</f>
        <v>No</v>
      </c>
      <c r="T106" s="2"/>
      <c r="U106" s="27" t="n">
        <f aca="false">IFERROR(SUMIFS($D$5:$D$238,$C$5:$C$238,$C106)/SUMIFS($I$5:$I$238,$C$5:$C$238,$C106),0)</f>
        <v>0.275862068965517</v>
      </c>
      <c r="V106" s="27" t="n">
        <f aca="false">IFERROR(SUMIFS($E$5:$E$238,$C$5:$C$238,$C106)/SUMIFS($I$5:$I$238,$C$5:$C$238,$C106),0)</f>
        <v>0.214854111405836</v>
      </c>
      <c r="W106" s="27" t="n">
        <f aca="false">IFERROR(SUMIFS($F$5:$F$238,$C$5:$C$238,$C106)/SUMIFS($I$5:$I$238,$C$5:$C$238,$C106),0)</f>
        <v>0.00530503978779841</v>
      </c>
      <c r="X106" s="27" t="n">
        <f aca="false">IFERROR(SUMIFS($G$5:$G$238,$C$5:$C$238,$C106)/SUMIFS($I$5:$I$238,$C$5:$C$238,$C106),0)</f>
        <v>0.0716180371352785</v>
      </c>
      <c r="Y106" s="27" t="n">
        <f aca="false">IFERROR(SUMIFS($H$5:$H$238,$C$5:$C$238,$C106)/SUMIFS($I$5:$I$238,$C$5:$C$238,$C106),0)</f>
        <v>0.43236074270557</v>
      </c>
      <c r="Z106" s="24" t="n">
        <f aca="false">LN(MAX(I106,1))</f>
        <v>3.25809653802148</v>
      </c>
      <c r="AA106" s="24" t="n">
        <f aca="false">Calibration!$M$35+Calibration!$N$35+SUMPRODUCT(Calibration!$B$35:$F$35,J106:N106)+SUMPRODUCT(Calibration!$G$35:$K$35,U106:Y106)+Calibration!$L$35*Z106</f>
        <v>0.731778663309099</v>
      </c>
      <c r="AB106" s="24" t="n">
        <f aca="false">Calibration!$M$36+Calibration!$N$36+SUMPRODUCT(Calibration!$B$36:$F$36,J106:N106)+SUMPRODUCT(Calibration!$G$36:$K$36,U106:Y106)+Calibration!$L$36*Z106</f>
        <v>0.0697000164434778</v>
      </c>
      <c r="AC106" s="24" t="n">
        <f aca="false">Calibration!$M$37+Calibration!$N$37+SUMPRODUCT(Calibration!$B$37:$F$37,J106:N106)+SUMPRODUCT(Calibration!$G$37:$K$37,U106:Y106)+Calibration!$L$37*Z106</f>
        <v>0.0235220351015353</v>
      </c>
      <c r="AD106" s="27" t="n">
        <f aca="false">EXP(AC106)/(EXP(AA106)+EXP(AB106)+EXP(AC106))</f>
        <v>0.245235735948856</v>
      </c>
      <c r="AE106" s="7" t="str">
        <f aca="false">IF(AC106=MAX(AA106:AC106),"TVK",IF(AB106=MAX(AA106:AC106),"DMK+","AIADMK+"))</f>
        <v>AIADMK+</v>
      </c>
      <c r="AF106" s="7" t="str">
        <f aca="false">IF(AE106=R106,"Yes","No")</f>
        <v>Yes</v>
      </c>
      <c r="AG106" s="7" t="str">
        <f aca="false">IF(AE106=P106,"No","Yes")</f>
        <v>Yes</v>
      </c>
      <c r="AH106" s="7" t="str">
        <f aca="false">IF(H106=MAX(D106,E106,H106),"TVK",IF(E106=MAX(D106,E106,H106),"DMK+","AIADMK+"))</f>
        <v>TVK</v>
      </c>
      <c r="AI106" s="27" t="n">
        <f aca="false">EXP(AA106)/(EXP(AA106)+EXP(AB106)+EXP(AC106))</f>
        <v>0.497938494159273</v>
      </c>
      <c r="AJ106" s="27" t="n">
        <f aca="false">EXP(AB106)/(EXP(AA106)+EXP(AB106)+EXP(AC106))</f>
        <v>0.256825769891871</v>
      </c>
      <c r="AK106" s="28" t="s">
        <v>4</v>
      </c>
      <c r="AL106" s="7" t="str">
        <f aca="false">IF(AK106=R106,"Yes","No")</f>
        <v>Yes</v>
      </c>
      <c r="AM106" s="27" t="n">
        <f aca="false">IF(AK106="TVK",AD106,IF(AK106="DMK+",AJ106,AI106))</f>
        <v>0.497938494159273</v>
      </c>
      <c r="AN106" s="7" t="str">
        <f aca="false">IF(AK106=P106,"No","Yes")</f>
        <v>Yes</v>
      </c>
    </row>
    <row r="107" customFormat="false" ht="15" hidden="false" customHeight="false" outlineLevel="0" collapsed="false">
      <c r="A107" s="0" t="n">
        <v>103</v>
      </c>
      <c r="B107" s="4" t="s">
        <v>292</v>
      </c>
      <c r="C107" s="5" t="s">
        <v>106</v>
      </c>
      <c r="D107" s="35" t="n">
        <v>13</v>
      </c>
      <c r="E107" s="35" t="n">
        <v>3</v>
      </c>
      <c r="F107" s="35" t="n">
        <v>1</v>
      </c>
      <c r="G107" s="35"/>
      <c r="H107" s="35" t="n">
        <v>10</v>
      </c>
      <c r="I107" s="5" t="n">
        <f aca="false">SUM(D107:H107)</f>
        <v>27</v>
      </c>
      <c r="J107" s="10" t="n">
        <f aca="false">IF($I107=0,0,D107/$I107)</f>
        <v>0.481481481481481</v>
      </c>
      <c r="K107" s="10" t="n">
        <f aca="false">IF($I107=0,0,E107/$I107)</f>
        <v>0.111111111111111</v>
      </c>
      <c r="L107" s="10" t="n">
        <f aca="false">IF($I107=0,0,F107/$I107)</f>
        <v>0.037037037037037</v>
      </c>
      <c r="M107" s="10" t="n">
        <f aca="false">IF($I107=0,0,G107/$I107)</f>
        <v>0</v>
      </c>
      <c r="N107" s="10" t="n">
        <f aca="false">IF($I107=0,0,H107/$I107)</f>
        <v>0.37037037037037</v>
      </c>
      <c r="O107" s="35" t="s">
        <v>3</v>
      </c>
      <c r="P107" s="0" t="str">
        <f aca="false">IF(O107="TVK","TVK",IF(O107="DMK","DMK+",IF(O107="ADMK","AIADMK+","")))</f>
        <v>TVK</v>
      </c>
      <c r="Q107" s="35" t="s">
        <v>196</v>
      </c>
      <c r="R107" s="36" t="s">
        <v>4</v>
      </c>
      <c r="S107" s="0" t="str">
        <f aca="false">IF(P107=R107,"Yes","No")</f>
        <v>No</v>
      </c>
      <c r="T107" s="2"/>
      <c r="U107" s="27" t="n">
        <f aca="false">IFERROR(SUMIFS($D$5:$D$238,$C$5:$C$238,$C107)/SUMIFS($I$5:$I$238,$C$5:$C$238,$C107),0)</f>
        <v>0.390934844192635</v>
      </c>
      <c r="V107" s="27" t="n">
        <f aca="false">IFERROR(SUMIFS($E$5:$E$238,$C$5:$C$238,$C107)/SUMIFS($I$5:$I$238,$C$5:$C$238,$C107),0)</f>
        <v>0.203966005665722</v>
      </c>
      <c r="W107" s="27" t="n">
        <f aca="false">IFERROR(SUMIFS($F$5:$F$238,$C$5:$C$238,$C107)/SUMIFS($I$5:$I$238,$C$5:$C$238,$C107),0)</f>
        <v>0.0056657223796034</v>
      </c>
      <c r="X107" s="27" t="n">
        <f aca="false">IFERROR(SUMIFS($G$5:$G$238,$C$5:$C$238,$C107)/SUMIFS($I$5:$I$238,$C$5:$C$238,$C107),0)</f>
        <v>0.0594900849858357</v>
      </c>
      <c r="Y107" s="27" t="n">
        <f aca="false">IFERROR(SUMIFS($H$5:$H$238,$C$5:$C$238,$C107)/SUMIFS($I$5:$I$238,$C$5:$C$238,$C107),0)</f>
        <v>0.339943342776204</v>
      </c>
      <c r="Z107" s="24" t="n">
        <f aca="false">LN(MAX(I107,1))</f>
        <v>3.29583686600433</v>
      </c>
      <c r="AA107" s="24" t="n">
        <f aca="false">Calibration!$M$35+Calibration!$N$35+SUMPRODUCT(Calibration!$B$35:$F$35,J107:N107)+SUMPRODUCT(Calibration!$G$35:$K$35,U107:Y107)+Calibration!$L$35*Z107</f>
        <v>0.813954345906431</v>
      </c>
      <c r="AB107" s="24" t="n">
        <f aca="false">Calibration!$M$36+Calibration!$N$36+SUMPRODUCT(Calibration!$B$36:$F$36,J107:N107)+SUMPRODUCT(Calibration!$G$36:$K$36,U107:Y107)+Calibration!$L$36*Z107</f>
        <v>0.121181405419019</v>
      </c>
      <c r="AC107" s="24" t="n">
        <f aca="false">Calibration!$M$37+Calibration!$N$37+SUMPRODUCT(Calibration!$B$37:$F$37,J107:N107)+SUMPRODUCT(Calibration!$G$37:$K$37,U107:Y107)+Calibration!$L$37*Z107</f>
        <v>-0.110135176989074</v>
      </c>
      <c r="AD107" s="27" t="n">
        <f aca="false">EXP(AC107)/(EXP(AA107)+EXP(AB107)+EXP(AC107))</f>
        <v>0.209212402272548</v>
      </c>
      <c r="AE107" s="7" t="str">
        <f aca="false">IF(AC107=MAX(AA107:AC107),"TVK",IF(AB107=MAX(AA107:AC107),"DMK+","AIADMK+"))</f>
        <v>AIADMK+</v>
      </c>
      <c r="AF107" s="7" t="str">
        <f aca="false">IF(AE107=R107,"Yes","No")</f>
        <v>Yes</v>
      </c>
      <c r="AG107" s="7" t="str">
        <f aca="false">IF(AE107=P107,"No","Yes")</f>
        <v>Yes</v>
      </c>
      <c r="AH107" s="7" t="str">
        <f aca="false">IF(H107=MAX(D107,E107,H107),"TVK",IF(E107=MAX(D107,E107,H107),"DMK+","AIADMK+"))</f>
        <v>AIADMK+</v>
      </c>
      <c r="AI107" s="27" t="n">
        <f aca="false">EXP(AA107)/(EXP(AA107)+EXP(AB107)+EXP(AC107))</f>
        <v>0.527125962292819</v>
      </c>
      <c r="AJ107" s="27" t="n">
        <f aca="false">EXP(AB107)/(EXP(AA107)+EXP(AB107)+EXP(AC107))</f>
        <v>0.263661635434633</v>
      </c>
      <c r="AK107" s="28" t="s">
        <v>4</v>
      </c>
      <c r="AL107" s="7" t="str">
        <f aca="false">IF(AK107=R107,"Yes","No")</f>
        <v>Yes</v>
      </c>
      <c r="AM107" s="27" t="n">
        <f aca="false">IF(AK107="TVK",AD107,IF(AK107="DMK+",AJ107,AI107))</f>
        <v>0.527125962292819</v>
      </c>
      <c r="AN107" s="7" t="str">
        <f aca="false">IF(AK107=P107,"No","Yes")</f>
        <v>Yes</v>
      </c>
    </row>
    <row r="108" customFormat="false" ht="15" hidden="true" customHeight="false" outlineLevel="0" collapsed="false">
      <c r="A108" s="0" t="n">
        <v>104</v>
      </c>
      <c r="B108" s="4" t="s">
        <v>293</v>
      </c>
      <c r="C108" s="5" t="s">
        <v>106</v>
      </c>
      <c r="D108" s="35" t="n">
        <v>13</v>
      </c>
      <c r="E108" s="35" t="n">
        <v>22</v>
      </c>
      <c r="F108" s="35" t="n">
        <v>1</v>
      </c>
      <c r="G108" s="35" t="n">
        <v>1</v>
      </c>
      <c r="H108" s="35" t="n">
        <v>16</v>
      </c>
      <c r="I108" s="5" t="n">
        <f aca="false">SUM(D108:H108)</f>
        <v>53</v>
      </c>
      <c r="J108" s="10" t="n">
        <f aca="false">IF($I108=0,0,D108/$I108)</f>
        <v>0.245283018867925</v>
      </c>
      <c r="K108" s="10" t="n">
        <f aca="false">IF($I108=0,0,E108/$I108)</f>
        <v>0.415094339622642</v>
      </c>
      <c r="L108" s="10" t="n">
        <f aca="false">IF($I108=0,0,F108/$I108)</f>
        <v>0.0188679245283019</v>
      </c>
      <c r="M108" s="10" t="n">
        <f aca="false">IF($I108=0,0,G108/$I108)</f>
        <v>0.0188679245283019</v>
      </c>
      <c r="N108" s="10" t="n">
        <f aca="false">IF($I108=0,0,H108/$I108)</f>
        <v>0.30188679245283</v>
      </c>
      <c r="O108" s="35" t="s">
        <v>197</v>
      </c>
      <c r="P108" s="0" t="str">
        <f aca="false">IF(O108="TVK","TVK",IF(O108="DMK","DMK+",IF(O108="ADMK","AIADMK+","")))</f>
        <v>DMK+</v>
      </c>
      <c r="Q108" s="35" t="s">
        <v>196</v>
      </c>
      <c r="R108" s="36" t="s">
        <v>4</v>
      </c>
      <c r="S108" s="0" t="str">
        <f aca="false">IF(P108=R108,"Yes","No")</f>
        <v>No</v>
      </c>
      <c r="T108" s="2"/>
      <c r="U108" s="27" t="n">
        <f aca="false">IFERROR(SUMIFS($D$5:$D$238,$C$5:$C$238,$C108)/SUMIFS($I$5:$I$238,$C$5:$C$238,$C108),0)</f>
        <v>0.390934844192635</v>
      </c>
      <c r="V108" s="27" t="n">
        <f aca="false">IFERROR(SUMIFS($E$5:$E$238,$C$5:$C$238,$C108)/SUMIFS($I$5:$I$238,$C$5:$C$238,$C108),0)</f>
        <v>0.203966005665722</v>
      </c>
      <c r="W108" s="27" t="n">
        <f aca="false">IFERROR(SUMIFS($F$5:$F$238,$C$5:$C$238,$C108)/SUMIFS($I$5:$I$238,$C$5:$C$238,$C108),0)</f>
        <v>0.0056657223796034</v>
      </c>
      <c r="X108" s="27" t="n">
        <f aca="false">IFERROR(SUMIFS($G$5:$G$238,$C$5:$C$238,$C108)/SUMIFS($I$5:$I$238,$C$5:$C$238,$C108),0)</f>
        <v>0.0594900849858357</v>
      </c>
      <c r="Y108" s="27" t="n">
        <f aca="false">IFERROR(SUMIFS($H$5:$H$238,$C$5:$C$238,$C108)/SUMIFS($I$5:$I$238,$C$5:$C$238,$C108),0)</f>
        <v>0.339943342776204</v>
      </c>
      <c r="Z108" s="24" t="n">
        <f aca="false">LN(MAX(I108,1))</f>
        <v>3.97029191355212</v>
      </c>
      <c r="AA108" s="24" t="n">
        <f aca="false">Calibration!$M$35+Calibration!$N$35+SUMPRODUCT(Calibration!$B$35:$F$35,J108:N108)+SUMPRODUCT(Calibration!$G$35:$K$35,U108:Y108)+Calibration!$L$35*Z108</f>
        <v>0.0406858622290853</v>
      </c>
      <c r="AB108" s="24" t="n">
        <f aca="false">Calibration!$M$36+Calibration!$N$36+SUMPRODUCT(Calibration!$B$36:$F$36,J108:N108)+SUMPRODUCT(Calibration!$G$36:$K$36,U108:Y108)+Calibration!$L$36*Z108</f>
        <v>0.253745044940391</v>
      </c>
      <c r="AC108" s="24" t="n">
        <f aca="false">Calibration!$M$37+Calibration!$N$37+SUMPRODUCT(Calibration!$B$37:$F$37,J108:N108)+SUMPRODUCT(Calibration!$G$37:$K$37,U108:Y108)+Calibration!$L$37*Z108</f>
        <v>0.530569598683321</v>
      </c>
      <c r="AD108" s="27" t="n">
        <f aca="false">EXP(AC108)/(EXP(AA108)+EXP(AB108)+EXP(AC108))</f>
        <v>0.421783403550874</v>
      </c>
      <c r="AE108" s="7" t="str">
        <f aca="false">IF(AC108=MAX(AA108:AC108),"TVK",IF(AB108=MAX(AA108:AC108),"DMK+","AIADMK+"))</f>
        <v>TVK</v>
      </c>
      <c r="AF108" s="7" t="str">
        <f aca="false">IF(AE108=R108,"Yes","No")</f>
        <v>No</v>
      </c>
      <c r="AG108" s="7" t="str">
        <f aca="false">IF(AE108=P108,"No","Yes")</f>
        <v>Yes</v>
      </c>
      <c r="AH108" s="7" t="str">
        <f aca="false">IF(H108=MAX(D108,E108,H108),"TVK",IF(E108=MAX(D108,E108,H108),"DMK+","AIADMK+"))</f>
        <v>DMK+</v>
      </c>
      <c r="AI108" s="27" t="n">
        <f aca="false">EXP(AA108)/(EXP(AA108)+EXP(AB108)+EXP(AC108))</f>
        <v>0.258425689384637</v>
      </c>
      <c r="AJ108" s="27" t="n">
        <f aca="false">EXP(AB108)/(EXP(AA108)+EXP(AB108)+EXP(AC108))</f>
        <v>0.319790907064489</v>
      </c>
      <c r="AK108" s="28" t="s">
        <v>3</v>
      </c>
      <c r="AL108" s="7" t="str">
        <f aca="false">IF(AK108=R108,"Yes","No")</f>
        <v>No</v>
      </c>
      <c r="AM108" s="27" t="n">
        <f aca="false">IF(AK108="TVK",AD108,IF(AK108="DMK+",AJ108,AI108))</f>
        <v>0.421783403550874</v>
      </c>
      <c r="AN108" s="7" t="str">
        <f aca="false">IF(AK108=P108,"No","Yes")</f>
        <v>Yes</v>
      </c>
    </row>
    <row r="109" customFormat="false" ht="15" hidden="true" customHeight="false" outlineLevel="0" collapsed="false">
      <c r="A109" s="0" t="n">
        <v>105</v>
      </c>
      <c r="B109" s="4" t="s">
        <v>294</v>
      </c>
      <c r="C109" s="5" t="s">
        <v>106</v>
      </c>
      <c r="D109" s="35" t="n">
        <v>16</v>
      </c>
      <c r="E109" s="35" t="n">
        <v>5</v>
      </c>
      <c r="F109" s="35"/>
      <c r="G109" s="35" t="n">
        <v>4</v>
      </c>
      <c r="H109" s="35" t="n">
        <v>13</v>
      </c>
      <c r="I109" s="5" t="n">
        <f aca="false">SUM(D109:H109)</f>
        <v>38</v>
      </c>
      <c r="J109" s="10" t="n">
        <f aca="false">IF($I109=0,0,D109/$I109)</f>
        <v>0.421052631578947</v>
      </c>
      <c r="K109" s="10" t="n">
        <f aca="false">IF($I109=0,0,E109/$I109)</f>
        <v>0.131578947368421</v>
      </c>
      <c r="L109" s="10" t="n">
        <f aca="false">IF($I109=0,0,F109/$I109)</f>
        <v>0</v>
      </c>
      <c r="M109" s="10" t="n">
        <f aca="false">IF($I109=0,0,G109/$I109)</f>
        <v>0.105263157894737</v>
      </c>
      <c r="N109" s="10" t="n">
        <f aca="false">IF($I109=0,0,H109/$I109)</f>
        <v>0.342105263157895</v>
      </c>
      <c r="O109" s="35" t="s">
        <v>218</v>
      </c>
      <c r="P109" s="0" t="str">
        <f aca="false">IF(O109="TVK","TVK",IF(O109="DMK","DMK+",IF(O109="ADMK","AIADMK+","")))</f>
        <v>AIADMK+</v>
      </c>
      <c r="Q109" s="35" t="s">
        <v>196</v>
      </c>
      <c r="R109" s="36" t="s">
        <v>4</v>
      </c>
      <c r="S109" s="0" t="str">
        <f aca="false">IF(P109=R109,"Yes","No")</f>
        <v>Yes</v>
      </c>
      <c r="T109" s="2"/>
      <c r="U109" s="27" t="n">
        <f aca="false">IFERROR(SUMIFS($D$5:$D$238,$C$5:$C$238,$C109)/SUMIFS($I$5:$I$238,$C$5:$C$238,$C109),0)</f>
        <v>0.390934844192635</v>
      </c>
      <c r="V109" s="27" t="n">
        <f aca="false">IFERROR(SUMIFS($E$5:$E$238,$C$5:$C$238,$C109)/SUMIFS($I$5:$I$238,$C$5:$C$238,$C109),0)</f>
        <v>0.203966005665722</v>
      </c>
      <c r="W109" s="27" t="n">
        <f aca="false">IFERROR(SUMIFS($F$5:$F$238,$C$5:$C$238,$C109)/SUMIFS($I$5:$I$238,$C$5:$C$238,$C109),0)</f>
        <v>0.0056657223796034</v>
      </c>
      <c r="X109" s="27" t="n">
        <f aca="false">IFERROR(SUMIFS($G$5:$G$238,$C$5:$C$238,$C109)/SUMIFS($I$5:$I$238,$C$5:$C$238,$C109),0)</f>
        <v>0.0594900849858357</v>
      </c>
      <c r="Y109" s="27" t="n">
        <f aca="false">IFERROR(SUMIFS($H$5:$H$238,$C$5:$C$238,$C109)/SUMIFS($I$5:$I$238,$C$5:$C$238,$C109),0)</f>
        <v>0.339943342776204</v>
      </c>
      <c r="Z109" s="24" t="n">
        <f aca="false">LN(MAX(I109,1))</f>
        <v>3.63758615972639</v>
      </c>
      <c r="AA109" s="24" t="n">
        <f aca="false">Calibration!$M$35+Calibration!$N$35+SUMPRODUCT(Calibration!$B$35:$F$35,J109:N109)+SUMPRODUCT(Calibration!$G$35:$K$35,U109:Y109)+Calibration!$L$35*Z109</f>
        <v>0.572466748396569</v>
      </c>
      <c r="AB109" s="24" t="n">
        <f aca="false">Calibration!$M$36+Calibration!$N$36+SUMPRODUCT(Calibration!$B$36:$F$36,J109:N109)+SUMPRODUCT(Calibration!$G$36:$K$36,U109:Y109)+Calibration!$L$36*Z109</f>
        <v>0.0077754561641652</v>
      </c>
      <c r="AC109" s="24" t="n">
        <f aca="false">Calibration!$M$37+Calibration!$N$37+SUMPRODUCT(Calibration!$B$37:$F$37,J109:N109)+SUMPRODUCT(Calibration!$G$37:$K$37,U109:Y109)+Calibration!$L$37*Z109</f>
        <v>0.244758341510535</v>
      </c>
      <c r="AD109" s="27" t="n">
        <f aca="false">EXP(AC109)/(EXP(AA109)+EXP(AB109)+EXP(AC109))</f>
        <v>0.314783257100698</v>
      </c>
      <c r="AE109" s="7" t="str">
        <f aca="false">IF(AC109=MAX(AA109:AC109),"TVK",IF(AB109=MAX(AA109:AC109),"DMK+","AIADMK+"))</f>
        <v>AIADMK+</v>
      </c>
      <c r="AF109" s="7" t="str">
        <f aca="false">IF(AE109=R109,"Yes","No")</f>
        <v>Yes</v>
      </c>
      <c r="AG109" s="7" t="str">
        <f aca="false">IF(AE109=P109,"No","Yes")</f>
        <v>No</v>
      </c>
      <c r="AH109" s="7" t="str">
        <f aca="false">IF(H109=MAX(D109,E109,H109),"TVK",IF(E109=MAX(D109,E109,H109),"DMK+","AIADMK+"))</f>
        <v>AIADMK+</v>
      </c>
      <c r="AI109" s="27" t="n">
        <f aca="false">EXP(AA109)/(EXP(AA109)+EXP(AB109)+EXP(AC109))</f>
        <v>0.436851244779945</v>
      </c>
      <c r="AJ109" s="27" t="n">
        <f aca="false">EXP(AB109)/(EXP(AA109)+EXP(AB109)+EXP(AC109))</f>
        <v>0.248365498119357</v>
      </c>
      <c r="AK109" s="28" t="s">
        <v>3</v>
      </c>
      <c r="AL109" s="7" t="str">
        <f aca="false">IF(AK109=R109,"Yes","No")</f>
        <v>No</v>
      </c>
      <c r="AM109" s="27" t="n">
        <f aca="false">IF(AK109="TVK",AD109,IF(AK109="DMK+",AJ109,AI109))</f>
        <v>0.314783257100698</v>
      </c>
      <c r="AN109" s="7" t="str">
        <f aca="false">IF(AK109=P109,"No","Yes")</f>
        <v>Yes</v>
      </c>
    </row>
    <row r="110" customFormat="false" ht="15" hidden="true" customHeight="false" outlineLevel="0" collapsed="false">
      <c r="A110" s="0" t="n">
        <v>106</v>
      </c>
      <c r="B110" s="4" t="s">
        <v>295</v>
      </c>
      <c r="C110" s="5" t="s">
        <v>106</v>
      </c>
      <c r="D110" s="35" t="n">
        <v>23</v>
      </c>
      <c r="E110" s="35" t="n">
        <v>3</v>
      </c>
      <c r="F110" s="35"/>
      <c r="G110" s="35" t="n">
        <v>4</v>
      </c>
      <c r="H110" s="35" t="n">
        <v>22</v>
      </c>
      <c r="I110" s="5" t="n">
        <f aca="false">SUM(D110:H110)</f>
        <v>52</v>
      </c>
      <c r="J110" s="10" t="n">
        <f aca="false">IF($I110=0,0,D110/$I110)</f>
        <v>0.442307692307692</v>
      </c>
      <c r="K110" s="10" t="n">
        <f aca="false">IF($I110=0,0,E110/$I110)</f>
        <v>0.0576923076923077</v>
      </c>
      <c r="L110" s="10" t="n">
        <f aca="false">IF($I110=0,0,F110/$I110)</f>
        <v>0</v>
      </c>
      <c r="M110" s="10" t="n">
        <f aca="false">IF($I110=0,0,G110/$I110)</f>
        <v>0.0769230769230769</v>
      </c>
      <c r="N110" s="10" t="n">
        <f aca="false">IF($I110=0,0,H110/$I110)</f>
        <v>0.423076923076923</v>
      </c>
      <c r="O110" s="35" t="s">
        <v>218</v>
      </c>
      <c r="P110" s="0" t="str">
        <f aca="false">IF(O110="TVK","TVK",IF(O110="DMK","DMK+",IF(O110="ADMK","AIADMK+","")))</f>
        <v>AIADMK+</v>
      </c>
      <c r="Q110" s="35" t="s">
        <v>3</v>
      </c>
      <c r="R110" s="36" t="s">
        <v>3</v>
      </c>
      <c r="S110" s="0" t="str">
        <f aca="false">IF(P110=R110,"Yes","No")</f>
        <v>No</v>
      </c>
      <c r="T110" s="2"/>
      <c r="U110" s="27" t="n">
        <f aca="false">IFERROR(SUMIFS($D$5:$D$238,$C$5:$C$238,$C110)/SUMIFS($I$5:$I$238,$C$5:$C$238,$C110),0)</f>
        <v>0.390934844192635</v>
      </c>
      <c r="V110" s="27" t="n">
        <f aca="false">IFERROR(SUMIFS($E$5:$E$238,$C$5:$C$238,$C110)/SUMIFS($I$5:$I$238,$C$5:$C$238,$C110),0)</f>
        <v>0.203966005665722</v>
      </c>
      <c r="W110" s="27" t="n">
        <f aca="false">IFERROR(SUMIFS($F$5:$F$238,$C$5:$C$238,$C110)/SUMIFS($I$5:$I$238,$C$5:$C$238,$C110),0)</f>
        <v>0.0056657223796034</v>
      </c>
      <c r="X110" s="27" t="n">
        <f aca="false">IFERROR(SUMIFS($G$5:$G$238,$C$5:$C$238,$C110)/SUMIFS($I$5:$I$238,$C$5:$C$238,$C110),0)</f>
        <v>0.0594900849858357</v>
      </c>
      <c r="Y110" s="27" t="n">
        <f aca="false">IFERROR(SUMIFS($H$5:$H$238,$C$5:$C$238,$C110)/SUMIFS($I$5:$I$238,$C$5:$C$238,$C110),0)</f>
        <v>0.339943342776204</v>
      </c>
      <c r="Z110" s="24" t="n">
        <f aca="false">LN(MAX(I110,1))</f>
        <v>3.95124371858143</v>
      </c>
      <c r="AA110" s="24" t="n">
        <f aca="false">Calibration!$M$35+Calibration!$N$35+SUMPRODUCT(Calibration!$B$35:$F$35,J110:N110)+SUMPRODUCT(Calibration!$G$35:$K$35,U110:Y110)+Calibration!$L$35*Z110</f>
        <v>0.465425396167756</v>
      </c>
      <c r="AB110" s="24" t="n">
        <f aca="false">Calibration!$M$36+Calibration!$N$36+SUMPRODUCT(Calibration!$B$36:$F$36,J110:N110)+SUMPRODUCT(Calibration!$G$36:$K$36,U110:Y110)+Calibration!$L$36*Z110</f>
        <v>-0.314424803969019</v>
      </c>
      <c r="AC110" s="24" t="n">
        <f aca="false">Calibration!$M$37+Calibration!$N$37+SUMPRODUCT(Calibration!$B$37:$F$37,J110:N110)+SUMPRODUCT(Calibration!$G$37:$K$37,U110:Y110)+Calibration!$L$37*Z110</f>
        <v>0.674000034844191</v>
      </c>
      <c r="AD110" s="27" t="n">
        <f aca="false">EXP(AC110)/(EXP(AA110)+EXP(AB110)+EXP(AC110))</f>
        <v>0.457895817755872</v>
      </c>
      <c r="AE110" s="7" t="str">
        <f aca="false">IF(AC110=MAX(AA110:AC110),"TVK",IF(AB110=MAX(AA110:AC110),"DMK+","AIADMK+"))</f>
        <v>TVK</v>
      </c>
      <c r="AF110" s="7" t="str">
        <f aca="false">IF(AE110=R110,"Yes","No")</f>
        <v>Yes</v>
      </c>
      <c r="AG110" s="7" t="str">
        <f aca="false">IF(AE110=P110,"No","Yes")</f>
        <v>Yes</v>
      </c>
      <c r="AH110" s="7" t="str">
        <f aca="false">IF(H110=MAX(D110,E110,H110),"TVK",IF(E110=MAX(D110,E110,H110),"DMK+","AIADMK+"))</f>
        <v>AIADMK+</v>
      </c>
      <c r="AI110" s="27" t="n">
        <f aca="false">EXP(AA110)/(EXP(AA110)+EXP(AB110)+EXP(AC110))</f>
        <v>0.371692554964478</v>
      </c>
      <c r="AJ110" s="27" t="n">
        <f aca="false">EXP(AB110)/(EXP(AA110)+EXP(AB110)+EXP(AC110))</f>
        <v>0.17041162727965</v>
      </c>
      <c r="AK110" s="28" t="s">
        <v>3</v>
      </c>
      <c r="AL110" s="7" t="str">
        <f aca="false">IF(AK110=R110,"Yes","No")</f>
        <v>Yes</v>
      </c>
      <c r="AM110" s="27" t="n">
        <f aca="false">IF(AK110="TVK",AD110,IF(AK110="DMK+",AJ110,AI110))</f>
        <v>0.457895817755872</v>
      </c>
      <c r="AN110" s="7" t="str">
        <f aca="false">IF(AK110=P110,"No","Yes")</f>
        <v>Yes</v>
      </c>
    </row>
    <row r="111" customFormat="false" ht="15" hidden="false" customHeight="false" outlineLevel="0" collapsed="false">
      <c r="A111" s="0" t="n">
        <v>107</v>
      </c>
      <c r="B111" s="4" t="s">
        <v>296</v>
      </c>
      <c r="C111" s="5" t="s">
        <v>106</v>
      </c>
      <c r="D111" s="35" t="n">
        <v>10</v>
      </c>
      <c r="E111" s="35" t="n">
        <v>6</v>
      </c>
      <c r="F111" s="35"/>
      <c r="G111" s="35" t="n">
        <v>3</v>
      </c>
      <c r="H111" s="35" t="n">
        <v>11</v>
      </c>
      <c r="I111" s="5" t="n">
        <f aca="false">SUM(D111:H111)</f>
        <v>30</v>
      </c>
      <c r="J111" s="10" t="n">
        <f aca="false">IF($I111=0,0,D111/$I111)</f>
        <v>0.333333333333333</v>
      </c>
      <c r="K111" s="10" t="n">
        <f aca="false">IF($I111=0,0,E111/$I111)</f>
        <v>0.2</v>
      </c>
      <c r="L111" s="10" t="n">
        <f aca="false">IF($I111=0,0,F111/$I111)</f>
        <v>0</v>
      </c>
      <c r="M111" s="10" t="n">
        <f aca="false">IF($I111=0,0,G111/$I111)</f>
        <v>0.1</v>
      </c>
      <c r="N111" s="10" t="n">
        <f aca="false">IF($I111=0,0,H111/$I111)</f>
        <v>0.366666666666667</v>
      </c>
      <c r="O111" s="35" t="s">
        <v>3</v>
      </c>
      <c r="P111" s="0" t="str">
        <f aca="false">IF(O111="TVK","TVK",IF(O111="DMK","DMK+",IF(O111="ADMK","AIADMK+","")))</f>
        <v>TVK</v>
      </c>
      <c r="Q111" s="35" t="s">
        <v>3</v>
      </c>
      <c r="R111" s="36" t="s">
        <v>3</v>
      </c>
      <c r="S111" s="0" t="str">
        <f aca="false">IF(P111=R111,"Yes","No")</f>
        <v>Yes</v>
      </c>
      <c r="T111" s="2"/>
      <c r="U111" s="27" t="n">
        <f aca="false">IFERROR(SUMIFS($D$5:$D$238,$C$5:$C$238,$C111)/SUMIFS($I$5:$I$238,$C$5:$C$238,$C111),0)</f>
        <v>0.390934844192635</v>
      </c>
      <c r="V111" s="27" t="n">
        <f aca="false">IFERROR(SUMIFS($E$5:$E$238,$C$5:$C$238,$C111)/SUMIFS($I$5:$I$238,$C$5:$C$238,$C111),0)</f>
        <v>0.203966005665722</v>
      </c>
      <c r="W111" s="27" t="n">
        <f aca="false">IFERROR(SUMIFS($F$5:$F$238,$C$5:$C$238,$C111)/SUMIFS($I$5:$I$238,$C$5:$C$238,$C111),0)</f>
        <v>0.0056657223796034</v>
      </c>
      <c r="X111" s="27" t="n">
        <f aca="false">IFERROR(SUMIFS($G$5:$G$238,$C$5:$C$238,$C111)/SUMIFS($I$5:$I$238,$C$5:$C$238,$C111),0)</f>
        <v>0.0594900849858357</v>
      </c>
      <c r="Y111" s="27" t="n">
        <f aca="false">IFERROR(SUMIFS($H$5:$H$238,$C$5:$C$238,$C111)/SUMIFS($I$5:$I$238,$C$5:$C$238,$C111),0)</f>
        <v>0.339943342776204</v>
      </c>
      <c r="Z111" s="24" t="n">
        <f aca="false">LN(MAX(I111,1))</f>
        <v>3.40119738166216</v>
      </c>
      <c r="AA111" s="24" t="n">
        <f aca="false">Calibration!$M$35+Calibration!$N$35+SUMPRODUCT(Calibration!$B$35:$F$35,J111:N111)+SUMPRODUCT(Calibration!$G$35:$K$35,U111:Y111)+Calibration!$L$35*Z111</f>
        <v>0.563161445699999</v>
      </c>
      <c r="AB111" s="24" t="n">
        <f aca="false">Calibration!$M$36+Calibration!$N$36+SUMPRODUCT(Calibration!$B$36:$F$36,J111:N111)+SUMPRODUCT(Calibration!$G$36:$K$36,U111:Y111)+Calibration!$L$36*Z111</f>
        <v>0.291189380254035</v>
      </c>
      <c r="AC111" s="24" t="n">
        <f aca="false">Calibration!$M$37+Calibration!$N$37+SUMPRODUCT(Calibration!$B$37:$F$37,J111:N111)+SUMPRODUCT(Calibration!$G$37:$K$37,U111:Y111)+Calibration!$L$37*Z111</f>
        <v>-0.0293502553213632</v>
      </c>
      <c r="AD111" s="27" t="n">
        <f aca="false">EXP(AC111)/(EXP(AA111)+EXP(AB111)+EXP(AC111))</f>
        <v>0.238868928749298</v>
      </c>
      <c r="AE111" s="7" t="str">
        <f aca="false">IF(AC111=MAX(AA111:AC111),"TVK",IF(AB111=MAX(AA111:AC111),"DMK+","AIADMK+"))</f>
        <v>AIADMK+</v>
      </c>
      <c r="AF111" s="7" t="str">
        <f aca="false">IF(AE111=R111,"Yes","No")</f>
        <v>No</v>
      </c>
      <c r="AG111" s="7" t="str">
        <f aca="false">IF(AE111=P111,"No","Yes")</f>
        <v>Yes</v>
      </c>
      <c r="AH111" s="7" t="str">
        <f aca="false">IF(H111=MAX(D111,E111,H111),"TVK",IF(E111=MAX(D111,E111,H111),"DMK+","AIADMK+"))</f>
        <v>TVK</v>
      </c>
      <c r="AI111" s="27" t="n">
        <f aca="false">EXP(AA111)/(EXP(AA111)+EXP(AB111)+EXP(AC111))</f>
        <v>0.432000474767916</v>
      </c>
      <c r="AJ111" s="27" t="n">
        <f aca="false">EXP(AB111)/(EXP(AA111)+EXP(AB111)+EXP(AC111))</f>
        <v>0.329130596482786</v>
      </c>
      <c r="AK111" s="28" t="s">
        <v>4</v>
      </c>
      <c r="AL111" s="7" t="str">
        <f aca="false">IF(AK111=R111,"Yes","No")</f>
        <v>No</v>
      </c>
      <c r="AM111" s="27" t="n">
        <f aca="false">IF(AK111="TVK",AD111,IF(AK111="DMK+",AJ111,AI111))</f>
        <v>0.432000474767916</v>
      </c>
      <c r="AN111" s="7" t="str">
        <f aca="false">IF(AK111=P111,"No","Yes")</f>
        <v>Yes</v>
      </c>
    </row>
    <row r="112" customFormat="false" ht="15" hidden="false" customHeight="false" outlineLevel="0" collapsed="false">
      <c r="A112" s="0" t="n">
        <v>108</v>
      </c>
      <c r="B112" s="4" t="s">
        <v>297</v>
      </c>
      <c r="C112" s="5" t="s">
        <v>142</v>
      </c>
      <c r="D112" s="35" t="n">
        <v>9</v>
      </c>
      <c r="E112" s="35" t="n">
        <v>5</v>
      </c>
      <c r="F112" s="35"/>
      <c r="G112" s="35" t="n">
        <v>2</v>
      </c>
      <c r="H112" s="35" t="n">
        <v>11</v>
      </c>
      <c r="I112" s="5" t="n">
        <f aca="false">SUM(D112:H112)</f>
        <v>27</v>
      </c>
      <c r="J112" s="10" t="n">
        <f aca="false">IF($I112=0,0,D112/$I112)</f>
        <v>0.333333333333333</v>
      </c>
      <c r="K112" s="10" t="n">
        <f aca="false">IF($I112=0,0,E112/$I112)</f>
        <v>0.185185185185185</v>
      </c>
      <c r="L112" s="10" t="n">
        <f aca="false">IF($I112=0,0,F112/$I112)</f>
        <v>0</v>
      </c>
      <c r="M112" s="10" t="n">
        <f aca="false">IF($I112=0,0,G112/$I112)</f>
        <v>0.0740740740740741</v>
      </c>
      <c r="N112" s="10" t="n">
        <f aca="false">IF($I112=0,0,H112/$I112)</f>
        <v>0.407407407407407</v>
      </c>
      <c r="O112" s="35" t="s">
        <v>3</v>
      </c>
      <c r="P112" s="0" t="str">
        <f aca="false">IF(O112="TVK","TVK",IF(O112="DMK","DMK+",IF(O112="ADMK","AIADMK+","")))</f>
        <v>TVK</v>
      </c>
      <c r="Q112" s="35" t="s">
        <v>298</v>
      </c>
      <c r="R112" s="36" t="s">
        <v>4</v>
      </c>
      <c r="S112" s="0" t="str">
        <f aca="false">IF(P112=R112,"Yes","No")</f>
        <v>No</v>
      </c>
      <c r="T112" s="2"/>
      <c r="U112" s="27" t="n">
        <f aca="false">IFERROR(SUMIFS($D$5:$D$238,$C$5:$C$238,$C112)/SUMIFS($I$5:$I$238,$C$5:$C$238,$C112),0)</f>
        <v>0.247191011235955</v>
      </c>
      <c r="V112" s="27" t="n">
        <f aca="false">IFERROR(SUMIFS($E$5:$E$238,$C$5:$C$238,$C112)/SUMIFS($I$5:$I$238,$C$5:$C$238,$C112),0)</f>
        <v>0.235955056179775</v>
      </c>
      <c r="W112" s="27" t="n">
        <f aca="false">IFERROR(SUMIFS($F$5:$F$238,$C$5:$C$238,$C112)/SUMIFS($I$5:$I$238,$C$5:$C$238,$C112),0)</f>
        <v>0.0112359550561798</v>
      </c>
      <c r="X112" s="27" t="n">
        <f aca="false">IFERROR(SUMIFS($G$5:$G$238,$C$5:$C$238,$C112)/SUMIFS($I$5:$I$238,$C$5:$C$238,$C112),0)</f>
        <v>0.123595505617978</v>
      </c>
      <c r="Y112" s="27" t="n">
        <f aca="false">IFERROR(SUMIFS($H$5:$H$238,$C$5:$C$238,$C112)/SUMIFS($I$5:$I$238,$C$5:$C$238,$C112),0)</f>
        <v>0.382022471910112</v>
      </c>
      <c r="Z112" s="24" t="n">
        <f aca="false">LN(MAX(I112,1))</f>
        <v>3.29583686600433</v>
      </c>
      <c r="AA112" s="24" t="n">
        <f aca="false">Calibration!$M$35+Calibration!$N$35+SUMPRODUCT(Calibration!$B$35:$F$35,J112:N112)+SUMPRODUCT(Calibration!$G$35:$K$35,U112:Y112)+Calibration!$L$35*Z112</f>
        <v>0.508089682827112</v>
      </c>
      <c r="AB112" s="24" t="n">
        <f aca="false">Calibration!$M$36+Calibration!$N$36+SUMPRODUCT(Calibration!$B$36:$F$36,J112:N112)+SUMPRODUCT(Calibration!$G$36:$K$36,U112:Y112)+Calibration!$L$36*Z112</f>
        <v>0.409536500715385</v>
      </c>
      <c r="AC112" s="24" t="n">
        <f aca="false">Calibration!$M$37+Calibration!$N$37+SUMPRODUCT(Calibration!$B$37:$F$37,J112:N112)+SUMPRODUCT(Calibration!$G$37:$K$37,U112:Y112)+Calibration!$L$37*Z112</f>
        <v>-0.092625540180034</v>
      </c>
      <c r="AD112" s="27" t="n">
        <f aca="false">EXP(AC112)/(EXP(AA112)+EXP(AB112)+EXP(AC112))</f>
        <v>0.223428127501578</v>
      </c>
      <c r="AE112" s="7" t="str">
        <f aca="false">IF(AC112=MAX(AA112:AC112),"TVK",IF(AB112=MAX(AA112:AC112),"DMK+","AIADMK+"))</f>
        <v>AIADMK+</v>
      </c>
      <c r="AF112" s="7" t="str">
        <f aca="false">IF(AE112=R112,"Yes","No")</f>
        <v>Yes</v>
      </c>
      <c r="AG112" s="7" t="str">
        <f aca="false">IF(AE112=P112,"No","Yes")</f>
        <v>Yes</v>
      </c>
      <c r="AH112" s="7" t="str">
        <f aca="false">IF(H112=MAX(D112,E112,H112),"TVK",IF(E112=MAX(D112,E112,H112),"DMK+","AIADMK+"))</f>
        <v>TVK</v>
      </c>
      <c r="AI112" s="27" t="n">
        <f aca="false">EXP(AA112)/(EXP(AA112)+EXP(AB112)+EXP(AC112))</f>
        <v>0.407403872101545</v>
      </c>
      <c r="AJ112" s="27" t="n">
        <f aca="false">EXP(AB112)/(EXP(AA112)+EXP(AB112)+EXP(AC112))</f>
        <v>0.369168000396877</v>
      </c>
      <c r="AK112" s="28" t="s">
        <v>5</v>
      </c>
      <c r="AL112" s="7" t="str">
        <f aca="false">IF(AK112=R112,"Yes","No")</f>
        <v>No</v>
      </c>
      <c r="AM112" s="27" t="n">
        <f aca="false">IF(AK112="TVK",AD112,IF(AK112="DMK+",AJ112,AI112))</f>
        <v>0.369168000396877</v>
      </c>
      <c r="AN112" s="7" t="str">
        <f aca="false">IF(AK112=P112,"No","Yes")</f>
        <v>Yes</v>
      </c>
    </row>
    <row r="113" customFormat="false" ht="15" hidden="true" customHeight="false" outlineLevel="0" collapsed="false">
      <c r="A113" s="0" t="n">
        <v>109</v>
      </c>
      <c r="B113" s="4" t="s">
        <v>299</v>
      </c>
      <c r="C113" s="5" t="s">
        <v>142</v>
      </c>
      <c r="D113" s="35" t="n">
        <v>1</v>
      </c>
      <c r="E113" s="35" t="n">
        <v>12</v>
      </c>
      <c r="F113" s="35" t="n">
        <v>1</v>
      </c>
      <c r="G113" s="35" t="n">
        <v>5</v>
      </c>
      <c r="H113" s="35" t="n">
        <v>9</v>
      </c>
      <c r="I113" s="5" t="n">
        <f aca="false">SUM(D113:H113)</f>
        <v>28</v>
      </c>
      <c r="J113" s="10" t="n">
        <f aca="false">IF($I113=0,0,D113/$I113)</f>
        <v>0.0357142857142857</v>
      </c>
      <c r="K113" s="10" t="n">
        <f aca="false">IF($I113=0,0,E113/$I113)</f>
        <v>0.428571428571429</v>
      </c>
      <c r="L113" s="10" t="n">
        <f aca="false">IF($I113=0,0,F113/$I113)</f>
        <v>0.0357142857142857</v>
      </c>
      <c r="M113" s="10" t="n">
        <f aca="false">IF($I113=0,0,G113/$I113)</f>
        <v>0.178571428571429</v>
      </c>
      <c r="N113" s="10" t="n">
        <f aca="false">IF($I113=0,0,H113/$I113)</f>
        <v>0.321428571428571</v>
      </c>
      <c r="O113" s="35" t="s">
        <v>197</v>
      </c>
      <c r="P113" s="0" t="str">
        <f aca="false">IF(O113="TVK","TVK",IF(O113="DMK","DMK+",IF(O113="ADMK","AIADMK+","")))</f>
        <v>DMK+</v>
      </c>
      <c r="Q113" s="35" t="s">
        <v>197</v>
      </c>
      <c r="R113" s="36" t="s">
        <v>5</v>
      </c>
      <c r="S113" s="0" t="str">
        <f aca="false">IF(P113=R113,"Yes","No")</f>
        <v>Yes</v>
      </c>
      <c r="T113" s="2"/>
      <c r="U113" s="27" t="n">
        <f aca="false">IFERROR(SUMIFS($D$5:$D$238,$C$5:$C$238,$C113)/SUMIFS($I$5:$I$238,$C$5:$C$238,$C113),0)</f>
        <v>0.247191011235955</v>
      </c>
      <c r="V113" s="27" t="n">
        <f aca="false">IFERROR(SUMIFS($E$5:$E$238,$C$5:$C$238,$C113)/SUMIFS($I$5:$I$238,$C$5:$C$238,$C113),0)</f>
        <v>0.235955056179775</v>
      </c>
      <c r="W113" s="27" t="n">
        <f aca="false">IFERROR(SUMIFS($F$5:$F$238,$C$5:$C$238,$C113)/SUMIFS($I$5:$I$238,$C$5:$C$238,$C113),0)</f>
        <v>0.0112359550561798</v>
      </c>
      <c r="X113" s="27" t="n">
        <f aca="false">IFERROR(SUMIFS($G$5:$G$238,$C$5:$C$238,$C113)/SUMIFS($I$5:$I$238,$C$5:$C$238,$C113),0)</f>
        <v>0.123595505617978</v>
      </c>
      <c r="Y113" s="27" t="n">
        <f aca="false">IFERROR(SUMIFS($H$5:$H$238,$C$5:$C$238,$C113)/SUMIFS($I$5:$I$238,$C$5:$C$238,$C113),0)</f>
        <v>0.382022471910112</v>
      </c>
      <c r="Z113" s="24" t="n">
        <f aca="false">LN(MAX(I113,1))</f>
        <v>3.3322045101752</v>
      </c>
      <c r="AA113" s="24" t="n">
        <f aca="false">Calibration!$M$35+Calibration!$N$35+SUMPRODUCT(Calibration!$B$35:$F$35,J113:N113)+SUMPRODUCT(Calibration!$G$35:$K$35,U113:Y113)+Calibration!$L$35*Z113</f>
        <v>0.0688619714800303</v>
      </c>
      <c r="AB113" s="24" t="n">
        <f aca="false">Calibration!$M$36+Calibration!$N$36+SUMPRODUCT(Calibration!$B$36:$F$36,J113:N113)+SUMPRODUCT(Calibration!$G$36:$K$36,U113:Y113)+Calibration!$L$36*Z113</f>
        <v>0.936462426576207</v>
      </c>
      <c r="AC113" s="24" t="n">
        <f aca="false">Calibration!$M$37+Calibration!$N$37+SUMPRODUCT(Calibration!$B$37:$F$37,J113:N113)+SUMPRODUCT(Calibration!$G$37:$K$37,U113:Y113)+Calibration!$L$37*Z113</f>
        <v>-0.18032384067261</v>
      </c>
      <c r="AD113" s="27" t="n">
        <f aca="false">EXP(AC113)/(EXP(AA113)+EXP(AB113)+EXP(AC113))</f>
        <v>0.187336053017522</v>
      </c>
      <c r="AE113" s="7" t="str">
        <f aca="false">IF(AC113=MAX(AA113:AC113),"TVK",IF(AB113=MAX(AA113:AC113),"DMK+","AIADMK+"))</f>
        <v>DMK+</v>
      </c>
      <c r="AF113" s="7" t="str">
        <f aca="false">IF(AE113=R113,"Yes","No")</f>
        <v>Yes</v>
      </c>
      <c r="AG113" s="7" t="str">
        <f aca="false">IF(AE113=P113,"No","Yes")</f>
        <v>No</v>
      </c>
      <c r="AH113" s="7" t="str">
        <f aca="false">IF(H113=MAX(D113,E113,H113),"TVK",IF(E113=MAX(D113,E113,H113),"DMK+","AIADMK+"))</f>
        <v>DMK+</v>
      </c>
      <c r="AI113" s="27" t="n">
        <f aca="false">EXP(AA113)/(EXP(AA113)+EXP(AB113)+EXP(AC113))</f>
        <v>0.24034848503546</v>
      </c>
      <c r="AJ113" s="27" t="n">
        <f aca="false">EXP(AB113)/(EXP(AA113)+EXP(AB113)+EXP(AC113))</f>
        <v>0.572315461947018</v>
      </c>
      <c r="AK113" s="28" t="s">
        <v>5</v>
      </c>
      <c r="AL113" s="7" t="str">
        <f aca="false">IF(AK113=R113,"Yes","No")</f>
        <v>Yes</v>
      </c>
      <c r="AM113" s="27" t="n">
        <f aca="false">IF(AK113="TVK",AD113,IF(AK113="DMK+",AJ113,AI113))</f>
        <v>0.572315461947018</v>
      </c>
      <c r="AN113" s="7" t="str">
        <f aca="false">IF(AK113=P113,"No","Yes")</f>
        <v>No</v>
      </c>
    </row>
    <row r="114" customFormat="false" ht="15" hidden="false" customHeight="false" outlineLevel="0" collapsed="false">
      <c r="A114" s="0" t="n">
        <v>110</v>
      </c>
      <c r="B114" s="4" t="s">
        <v>300</v>
      </c>
      <c r="C114" s="5" t="s">
        <v>142</v>
      </c>
      <c r="D114" s="35" t="n">
        <v>12</v>
      </c>
      <c r="E114" s="35" t="n">
        <v>4</v>
      </c>
      <c r="F114" s="35"/>
      <c r="G114" s="35" t="n">
        <v>4</v>
      </c>
      <c r="H114" s="35" t="n">
        <v>14</v>
      </c>
      <c r="I114" s="5" t="n">
        <f aca="false">SUM(D114:H114)</f>
        <v>34</v>
      </c>
      <c r="J114" s="10" t="n">
        <f aca="false">IF($I114=0,0,D114/$I114)</f>
        <v>0.352941176470588</v>
      </c>
      <c r="K114" s="10" t="n">
        <f aca="false">IF($I114=0,0,E114/$I114)</f>
        <v>0.117647058823529</v>
      </c>
      <c r="L114" s="10" t="n">
        <f aca="false">IF($I114=0,0,F114/$I114)</f>
        <v>0</v>
      </c>
      <c r="M114" s="10" t="n">
        <f aca="false">IF($I114=0,0,G114/$I114)</f>
        <v>0.117647058823529</v>
      </c>
      <c r="N114" s="10" t="n">
        <f aca="false">IF($I114=0,0,H114/$I114)</f>
        <v>0.411764705882353</v>
      </c>
      <c r="O114" s="35" t="s">
        <v>3</v>
      </c>
      <c r="P114" s="0" t="str">
        <f aca="false">IF(O114="TVK","TVK",IF(O114="DMK","DMK+",IF(O114="ADMK","AIADMK+","")))</f>
        <v>TVK</v>
      </c>
      <c r="Q114" s="35" t="s">
        <v>197</v>
      </c>
      <c r="R114" s="36" t="s">
        <v>5</v>
      </c>
      <c r="S114" s="0" t="str">
        <f aca="false">IF(P114=R114,"Yes","No")</f>
        <v>No</v>
      </c>
      <c r="T114" s="2"/>
      <c r="U114" s="27" t="n">
        <f aca="false">IFERROR(SUMIFS($D$5:$D$238,$C$5:$C$238,$C114)/SUMIFS($I$5:$I$238,$C$5:$C$238,$C114),0)</f>
        <v>0.247191011235955</v>
      </c>
      <c r="V114" s="27" t="n">
        <f aca="false">IFERROR(SUMIFS($E$5:$E$238,$C$5:$C$238,$C114)/SUMIFS($I$5:$I$238,$C$5:$C$238,$C114),0)</f>
        <v>0.235955056179775</v>
      </c>
      <c r="W114" s="27" t="n">
        <f aca="false">IFERROR(SUMIFS($F$5:$F$238,$C$5:$C$238,$C114)/SUMIFS($I$5:$I$238,$C$5:$C$238,$C114),0)</f>
        <v>0.0112359550561798</v>
      </c>
      <c r="X114" s="27" t="n">
        <f aca="false">IFERROR(SUMIFS($G$5:$G$238,$C$5:$C$238,$C114)/SUMIFS($I$5:$I$238,$C$5:$C$238,$C114),0)</f>
        <v>0.123595505617978</v>
      </c>
      <c r="Y114" s="27" t="n">
        <f aca="false">IFERROR(SUMIFS($H$5:$H$238,$C$5:$C$238,$C114)/SUMIFS($I$5:$I$238,$C$5:$C$238,$C114),0)</f>
        <v>0.382022471910112</v>
      </c>
      <c r="Z114" s="24" t="n">
        <f aca="false">LN(MAX(I114,1))</f>
        <v>3.52636052461616</v>
      </c>
      <c r="AA114" s="24" t="n">
        <f aca="false">Calibration!$M$35+Calibration!$N$35+SUMPRODUCT(Calibration!$B$35:$F$35,J114:N114)+SUMPRODUCT(Calibration!$G$35:$K$35,U114:Y114)+Calibration!$L$35*Z114</f>
        <v>0.455195555080936</v>
      </c>
      <c r="AB114" s="24" t="n">
        <f aca="false">Calibration!$M$36+Calibration!$N$36+SUMPRODUCT(Calibration!$B$36:$F$36,J114:N114)+SUMPRODUCT(Calibration!$G$36:$K$36,U114:Y114)+Calibration!$L$36*Z114</f>
        <v>0.182454210991712</v>
      </c>
      <c r="AC114" s="24" t="n">
        <f aca="false">Calibration!$M$37+Calibration!$N$37+SUMPRODUCT(Calibration!$B$37:$F$37,J114:N114)+SUMPRODUCT(Calibration!$G$37:$K$37,U114:Y114)+Calibration!$L$37*Z114</f>
        <v>0.187350881647113</v>
      </c>
      <c r="AD114" s="27" t="n">
        <f aca="false">EXP(AC114)/(EXP(AA114)+EXP(AB114)+EXP(AC114))</f>
        <v>0.302822971288053</v>
      </c>
      <c r="AE114" s="7" t="str">
        <f aca="false">IF(AC114=MAX(AA114:AC114),"TVK",IF(AB114=MAX(AA114:AC114),"DMK+","AIADMK+"))</f>
        <v>AIADMK+</v>
      </c>
      <c r="AF114" s="7" t="str">
        <f aca="false">IF(AE114=R114,"Yes","No")</f>
        <v>No</v>
      </c>
      <c r="AG114" s="7" t="str">
        <f aca="false">IF(AE114=P114,"No","Yes")</f>
        <v>Yes</v>
      </c>
      <c r="AH114" s="7" t="str">
        <f aca="false">IF(H114=MAX(D114,E114,H114),"TVK",IF(E114=MAX(D114,E114,H114),"DMK+","AIADMK+"))</f>
        <v>TVK</v>
      </c>
      <c r="AI114" s="27" t="n">
        <f aca="false">EXP(AA114)/(EXP(AA114)+EXP(AB114)+EXP(AC114))</f>
        <v>0.395833257248383</v>
      </c>
      <c r="AJ114" s="27" t="n">
        <f aca="false">EXP(AB114)/(EXP(AA114)+EXP(AB114)+EXP(AC114))</f>
        <v>0.301343771463563</v>
      </c>
      <c r="AK114" s="28" t="s">
        <v>4</v>
      </c>
      <c r="AL114" s="7" t="str">
        <f aca="false">IF(AK114=R114,"Yes","No")</f>
        <v>No</v>
      </c>
      <c r="AM114" s="27" t="n">
        <f aca="false">IF(AK114="TVK",AD114,IF(AK114="DMK+",AJ114,AI114))</f>
        <v>0.395833257248383</v>
      </c>
      <c r="AN114" s="7" t="str">
        <f aca="false">IF(AK114=P114,"No","Yes")</f>
        <v>Yes</v>
      </c>
    </row>
    <row r="115" customFormat="false" ht="15" hidden="true" customHeight="false" outlineLevel="0" collapsed="false">
      <c r="A115" s="0" t="n">
        <v>111</v>
      </c>
      <c r="B115" s="4" t="s">
        <v>301</v>
      </c>
      <c r="C115" s="5" t="s">
        <v>98</v>
      </c>
      <c r="D115" s="35" t="n">
        <v>12</v>
      </c>
      <c r="E115" s="35" t="n">
        <v>16</v>
      </c>
      <c r="F115" s="35"/>
      <c r="G115" s="35" t="n">
        <v>6</v>
      </c>
      <c r="H115" s="35" t="n">
        <v>16</v>
      </c>
      <c r="I115" s="5" t="n">
        <f aca="false">SUM(D115:H115)</f>
        <v>50</v>
      </c>
      <c r="J115" s="10" t="n">
        <f aca="false">IF($I115=0,0,D115/$I115)</f>
        <v>0.24</v>
      </c>
      <c r="K115" s="10" t="n">
        <f aca="false">IF($I115=0,0,E115/$I115)</f>
        <v>0.32</v>
      </c>
      <c r="L115" s="10" t="n">
        <f aca="false">IF($I115=0,0,F115/$I115)</f>
        <v>0</v>
      </c>
      <c r="M115" s="10" t="n">
        <f aca="false">IF($I115=0,0,G115/$I115)</f>
        <v>0.12</v>
      </c>
      <c r="N115" s="10" t="n">
        <f aca="false">IF($I115=0,0,H115/$I115)</f>
        <v>0.32</v>
      </c>
      <c r="O115" s="35" t="s">
        <v>197</v>
      </c>
      <c r="P115" s="0" t="str">
        <f aca="false">IF(O115="TVK","TVK",IF(O115="DMK","DMK+",IF(O115="ADMK","AIADMK+","")))</f>
        <v>DMK+</v>
      </c>
      <c r="Q115" s="35" t="s">
        <v>3</v>
      </c>
      <c r="R115" s="36" t="s">
        <v>3</v>
      </c>
      <c r="S115" s="0" t="str">
        <f aca="false">IF(P115=R115,"Yes","No")</f>
        <v>No</v>
      </c>
      <c r="T115" s="2"/>
      <c r="U115" s="27" t="n">
        <f aca="false">IFERROR(SUMIFS($D$5:$D$238,$C$5:$C$238,$C115)/SUMIFS($I$5:$I$238,$C$5:$C$238,$C115),0)</f>
        <v>0.273905996758509</v>
      </c>
      <c r="V115" s="27" t="n">
        <f aca="false">IFERROR(SUMIFS($E$5:$E$238,$C$5:$C$238,$C115)/SUMIFS($I$5:$I$238,$C$5:$C$238,$C115),0)</f>
        <v>0.26742301458671</v>
      </c>
      <c r="W115" s="27" t="n">
        <f aca="false">IFERROR(SUMIFS($F$5:$F$238,$C$5:$C$238,$C115)/SUMIFS($I$5:$I$238,$C$5:$C$238,$C115),0)</f>
        <v>0.00486223662884927</v>
      </c>
      <c r="X115" s="27" t="n">
        <f aca="false">IFERROR(SUMIFS($G$5:$G$238,$C$5:$C$238,$C115)/SUMIFS($I$5:$I$238,$C$5:$C$238,$C115),0)</f>
        <v>0.059967585089141</v>
      </c>
      <c r="Y115" s="27" t="n">
        <f aca="false">IFERROR(SUMIFS($H$5:$H$238,$C$5:$C$238,$C115)/SUMIFS($I$5:$I$238,$C$5:$C$238,$C115),0)</f>
        <v>0.393841166936791</v>
      </c>
      <c r="Z115" s="24" t="n">
        <f aca="false">LN(MAX(I115,1))</f>
        <v>3.91202300542815</v>
      </c>
      <c r="AA115" s="24" t="n">
        <f aca="false">Calibration!$M$35+Calibration!$N$35+SUMPRODUCT(Calibration!$B$35:$F$35,J115:N115)+SUMPRODUCT(Calibration!$G$35:$K$35,U115:Y115)+Calibration!$L$35*Z115</f>
        <v>0.0319350096165563</v>
      </c>
      <c r="AB115" s="24" t="n">
        <f aca="false">Calibration!$M$36+Calibration!$N$36+SUMPRODUCT(Calibration!$B$36:$F$36,J115:N115)+SUMPRODUCT(Calibration!$G$36:$K$36,U115:Y115)+Calibration!$L$36*Z115</f>
        <v>0.255826142081328</v>
      </c>
      <c r="AC115" s="24" t="n">
        <f aca="false">Calibration!$M$37+Calibration!$N$37+SUMPRODUCT(Calibration!$B$37:$F$37,J115:N115)+SUMPRODUCT(Calibration!$G$37:$K$37,U115:Y115)+Calibration!$L$37*Z115</f>
        <v>0.53723943572513</v>
      </c>
      <c r="AD115" s="27" t="n">
        <f aca="false">EXP(AC115)/(EXP(AA115)+EXP(AB115)+EXP(AC115))</f>
        <v>0.42408133438893</v>
      </c>
      <c r="AE115" s="7" t="str">
        <f aca="false">IF(AC115=MAX(AA115:AC115),"TVK",IF(AB115=MAX(AA115:AC115),"DMK+","AIADMK+"))</f>
        <v>TVK</v>
      </c>
      <c r="AF115" s="7" t="str">
        <f aca="false">IF(AE115=R115,"Yes","No")</f>
        <v>Yes</v>
      </c>
      <c r="AG115" s="7" t="str">
        <f aca="false">IF(AE115=P115,"No","Yes")</f>
        <v>Yes</v>
      </c>
      <c r="AH115" s="7" t="str">
        <f aca="false">IF(H115=MAX(D115,E115,H115),"TVK",IF(E115=MAX(D115,E115,H115),"DMK+","AIADMK+"))</f>
        <v>TVK</v>
      </c>
      <c r="AI115" s="27" t="n">
        <f aca="false">EXP(AA115)/(EXP(AA115)+EXP(AB115)+EXP(AC115))</f>
        <v>0.255857548163487</v>
      </c>
      <c r="AJ115" s="27" t="n">
        <f aca="false">EXP(AB115)/(EXP(AA115)+EXP(AB115)+EXP(AC115))</f>
        <v>0.320061117447583</v>
      </c>
      <c r="AK115" s="28" t="s">
        <v>5</v>
      </c>
      <c r="AL115" s="7" t="str">
        <f aca="false">IF(AK115=R115,"Yes","No")</f>
        <v>No</v>
      </c>
      <c r="AM115" s="27" t="n">
        <f aca="false">IF(AK115="TVK",AD115,IF(AK115="DMK+",AJ115,AI115))</f>
        <v>0.320061117447583</v>
      </c>
      <c r="AN115" s="7" t="str">
        <f aca="false">IF(AK115=P115,"No","Yes")</f>
        <v>No</v>
      </c>
    </row>
    <row r="116" customFormat="false" ht="15" hidden="false" customHeight="false" outlineLevel="0" collapsed="false">
      <c r="A116" s="0" t="n">
        <v>112</v>
      </c>
      <c r="B116" s="4" t="s">
        <v>302</v>
      </c>
      <c r="C116" s="5" t="s">
        <v>156</v>
      </c>
      <c r="D116" s="35" t="n">
        <v>14</v>
      </c>
      <c r="E116" s="35" t="n">
        <v>4</v>
      </c>
      <c r="F116" s="35"/>
      <c r="G116" s="35" t="n">
        <v>2</v>
      </c>
      <c r="H116" s="35" t="n">
        <v>29</v>
      </c>
      <c r="I116" s="5" t="n">
        <f aca="false">SUM(D116:H116)</f>
        <v>49</v>
      </c>
      <c r="J116" s="10" t="n">
        <f aca="false">IF($I116=0,0,D116/$I116)</f>
        <v>0.285714285714286</v>
      </c>
      <c r="K116" s="10" t="n">
        <f aca="false">IF($I116=0,0,E116/$I116)</f>
        <v>0.0816326530612245</v>
      </c>
      <c r="L116" s="10" t="n">
        <f aca="false">IF($I116=0,0,F116/$I116)</f>
        <v>0</v>
      </c>
      <c r="M116" s="10" t="n">
        <f aca="false">IF($I116=0,0,G116/$I116)</f>
        <v>0.0408163265306122</v>
      </c>
      <c r="N116" s="10" t="n">
        <f aca="false">IF($I116=0,0,H116/$I116)</f>
        <v>0.591836734693878</v>
      </c>
      <c r="O116" s="35" t="s">
        <v>3</v>
      </c>
      <c r="P116" s="0" t="str">
        <f aca="false">IF(O116="TVK","TVK",IF(O116="DMK","DMK+",IF(O116="ADMK","AIADMK+","")))</f>
        <v>TVK</v>
      </c>
      <c r="Q116" s="35" t="s">
        <v>3</v>
      </c>
      <c r="R116" s="36" t="s">
        <v>3</v>
      </c>
      <c r="S116" s="0" t="str">
        <f aca="false">IF(P116=R116,"Yes","No")</f>
        <v>Yes</v>
      </c>
      <c r="T116" s="2"/>
      <c r="U116" s="27" t="n">
        <f aca="false">IFERROR(SUMIFS($D$5:$D$238,$C$5:$C$238,$C116)/SUMIFS($I$5:$I$238,$C$5:$C$238,$C116),0)</f>
        <v>0.275862068965517</v>
      </c>
      <c r="V116" s="27" t="n">
        <f aca="false">IFERROR(SUMIFS($E$5:$E$238,$C$5:$C$238,$C116)/SUMIFS($I$5:$I$238,$C$5:$C$238,$C116),0)</f>
        <v>0.214854111405836</v>
      </c>
      <c r="W116" s="27" t="n">
        <f aca="false">IFERROR(SUMIFS($F$5:$F$238,$C$5:$C$238,$C116)/SUMIFS($I$5:$I$238,$C$5:$C$238,$C116),0)</f>
        <v>0.00530503978779841</v>
      </c>
      <c r="X116" s="27" t="n">
        <f aca="false">IFERROR(SUMIFS($G$5:$G$238,$C$5:$C$238,$C116)/SUMIFS($I$5:$I$238,$C$5:$C$238,$C116),0)</f>
        <v>0.0716180371352785</v>
      </c>
      <c r="Y116" s="27" t="n">
        <f aca="false">IFERROR(SUMIFS($H$5:$H$238,$C$5:$C$238,$C116)/SUMIFS($I$5:$I$238,$C$5:$C$238,$C116),0)</f>
        <v>0.43236074270557</v>
      </c>
      <c r="Z116" s="24" t="n">
        <f aca="false">LN(MAX(I116,1))</f>
        <v>3.89182029811063</v>
      </c>
      <c r="AA116" s="24" t="n">
        <f aca="false">Calibration!$M$35+Calibration!$N$35+SUMPRODUCT(Calibration!$B$35:$F$35,J116:N116)+SUMPRODUCT(Calibration!$G$35:$K$35,U116:Y116)+Calibration!$L$35*Z116</f>
        <v>0.229712797859052</v>
      </c>
      <c r="AB116" s="24" t="n">
        <f aca="false">Calibration!$M$36+Calibration!$N$36+SUMPRODUCT(Calibration!$B$36:$F$36,J116:N116)+SUMPRODUCT(Calibration!$G$36:$K$36,U116:Y116)+Calibration!$L$36*Z116</f>
        <v>-0.192585742957621</v>
      </c>
      <c r="AC116" s="24" t="n">
        <f aca="false">Calibration!$M$37+Calibration!$N$37+SUMPRODUCT(Calibration!$B$37:$F$37,J116:N116)+SUMPRODUCT(Calibration!$G$37:$K$37,U116:Y116)+Calibration!$L$37*Z116</f>
        <v>0.787873751789414</v>
      </c>
      <c r="AD116" s="27" t="n">
        <f aca="false">EXP(AC116)/(EXP(AA116)+EXP(AB116)+EXP(AC116))</f>
        <v>0.513505398630616</v>
      </c>
      <c r="AE116" s="7" t="str">
        <f aca="false">IF(AC116=MAX(AA116:AC116),"TVK",IF(AB116=MAX(AA116:AC116),"DMK+","AIADMK+"))</f>
        <v>TVK</v>
      </c>
      <c r="AF116" s="7" t="str">
        <f aca="false">IF(AE116=R116,"Yes","No")</f>
        <v>Yes</v>
      </c>
      <c r="AG116" s="7" t="str">
        <f aca="false">IF(AE116=P116,"No","Yes")</f>
        <v>No</v>
      </c>
      <c r="AH116" s="7" t="str">
        <f aca="false">IF(H116=MAX(D116,E116,H116),"TVK",IF(E116=MAX(D116,E116,H116),"DMK+","AIADMK+"))</f>
        <v>TVK</v>
      </c>
      <c r="AI116" s="27" t="n">
        <f aca="false">EXP(AA116)/(EXP(AA116)+EXP(AB116)+EXP(AC116))</f>
        <v>0.293858861393041</v>
      </c>
      <c r="AJ116" s="27" t="n">
        <f aca="false">EXP(AB116)/(EXP(AA116)+EXP(AB116)+EXP(AC116))</f>
        <v>0.192635739976343</v>
      </c>
      <c r="AK116" s="28" t="s">
        <v>3</v>
      </c>
      <c r="AL116" s="7" t="str">
        <f aca="false">IF(AK116=R116,"Yes","No")</f>
        <v>Yes</v>
      </c>
      <c r="AM116" s="27" t="n">
        <f aca="false">IF(AK116="TVK",AD116,IF(AK116="DMK+",AJ116,AI116))</f>
        <v>0.513505398630616</v>
      </c>
      <c r="AN116" s="7" t="str">
        <f aca="false">IF(AK116=P116,"No","Yes")</f>
        <v>No</v>
      </c>
    </row>
    <row r="117" customFormat="false" ht="15" hidden="false" customHeight="false" outlineLevel="0" collapsed="false">
      <c r="A117" s="0" t="n">
        <v>113</v>
      </c>
      <c r="B117" s="4" t="s">
        <v>303</v>
      </c>
      <c r="C117" s="5" t="s">
        <v>156</v>
      </c>
      <c r="D117" s="35" t="n">
        <v>25</v>
      </c>
      <c r="E117" s="35" t="n">
        <v>11</v>
      </c>
      <c r="F117" s="35"/>
      <c r="G117" s="35" t="n">
        <v>8</v>
      </c>
      <c r="H117" s="35" t="n">
        <v>32</v>
      </c>
      <c r="I117" s="5" t="n">
        <f aca="false">SUM(D117:H117)</f>
        <v>76</v>
      </c>
      <c r="J117" s="10" t="n">
        <f aca="false">IF($I117=0,0,D117/$I117)</f>
        <v>0.328947368421053</v>
      </c>
      <c r="K117" s="10" t="n">
        <f aca="false">IF($I117=0,0,E117/$I117)</f>
        <v>0.144736842105263</v>
      </c>
      <c r="L117" s="10" t="n">
        <f aca="false">IF($I117=0,0,F117/$I117)</f>
        <v>0</v>
      </c>
      <c r="M117" s="10" t="n">
        <f aca="false">IF($I117=0,0,G117/$I117)</f>
        <v>0.105263157894737</v>
      </c>
      <c r="N117" s="10" t="n">
        <f aca="false">IF($I117=0,0,H117/$I117)</f>
        <v>0.421052631578947</v>
      </c>
      <c r="O117" s="35" t="s">
        <v>3</v>
      </c>
      <c r="P117" s="0" t="str">
        <f aca="false">IF(O117="TVK","TVK",IF(O117="DMK","DMK+",IF(O117="ADMK","AIADMK+","")))</f>
        <v>TVK</v>
      </c>
      <c r="Q117" s="35" t="s">
        <v>3</v>
      </c>
      <c r="R117" s="36" t="s">
        <v>3</v>
      </c>
      <c r="S117" s="0" t="str">
        <f aca="false">IF(P117=R117,"Yes","No")</f>
        <v>Yes</v>
      </c>
      <c r="T117" s="2"/>
      <c r="U117" s="27" t="n">
        <f aca="false">IFERROR(SUMIFS($D$5:$D$238,$C$5:$C$238,$C117)/SUMIFS($I$5:$I$238,$C$5:$C$238,$C117),0)</f>
        <v>0.275862068965517</v>
      </c>
      <c r="V117" s="27" t="n">
        <f aca="false">IFERROR(SUMIFS($E$5:$E$238,$C$5:$C$238,$C117)/SUMIFS($I$5:$I$238,$C$5:$C$238,$C117),0)</f>
        <v>0.214854111405836</v>
      </c>
      <c r="W117" s="27" t="n">
        <f aca="false">IFERROR(SUMIFS($F$5:$F$238,$C$5:$C$238,$C117)/SUMIFS($I$5:$I$238,$C$5:$C$238,$C117),0)</f>
        <v>0.00530503978779841</v>
      </c>
      <c r="X117" s="27" t="n">
        <f aca="false">IFERROR(SUMIFS($G$5:$G$238,$C$5:$C$238,$C117)/SUMIFS($I$5:$I$238,$C$5:$C$238,$C117),0)</f>
        <v>0.0716180371352785</v>
      </c>
      <c r="Y117" s="27" t="n">
        <f aca="false">IFERROR(SUMIFS($H$5:$H$238,$C$5:$C$238,$C117)/SUMIFS($I$5:$I$238,$C$5:$C$238,$C117),0)</f>
        <v>0.43236074270557</v>
      </c>
      <c r="Z117" s="24" t="n">
        <f aca="false">LN(MAX(I117,1))</f>
        <v>4.33073334028633</v>
      </c>
      <c r="AA117" s="24" t="n">
        <f aca="false">Calibration!$M$35+Calibration!$N$35+SUMPRODUCT(Calibration!$B$35:$F$35,J117:N117)+SUMPRODUCT(Calibration!$G$35:$K$35,U117:Y117)+Calibration!$L$35*Z117</f>
        <v>0.0266224079458954</v>
      </c>
      <c r="AB117" s="24" t="n">
        <f aca="false">Calibration!$M$36+Calibration!$N$36+SUMPRODUCT(Calibration!$B$36:$F$36,J117:N117)+SUMPRODUCT(Calibration!$G$36:$K$36,U117:Y117)+Calibration!$L$36*Z117</f>
        <v>-0.365442148432202</v>
      </c>
      <c r="AC117" s="24" t="n">
        <f aca="false">Calibration!$M$37+Calibration!$N$37+SUMPRODUCT(Calibration!$B$37:$F$37,J117:N117)+SUMPRODUCT(Calibration!$G$37:$K$37,U117:Y117)+Calibration!$L$37*Z117</f>
        <v>1.16382037639305</v>
      </c>
      <c r="AD117" s="27" t="n">
        <f aca="false">EXP(AC117)/(EXP(AA117)+EXP(AB117)+EXP(AC117))</f>
        <v>0.650443801513669</v>
      </c>
      <c r="AE117" s="7" t="str">
        <f aca="false">IF(AC117=MAX(AA117:AC117),"TVK",IF(AB117=MAX(AA117:AC117),"DMK+","AIADMK+"))</f>
        <v>TVK</v>
      </c>
      <c r="AF117" s="7" t="str">
        <f aca="false">IF(AE117=R117,"Yes","No")</f>
        <v>Yes</v>
      </c>
      <c r="AG117" s="7" t="str">
        <f aca="false">IF(AE117=P117,"No","Yes")</f>
        <v>No</v>
      </c>
      <c r="AH117" s="7" t="str">
        <f aca="false">IF(H117=MAX(D117,E117,H117),"TVK",IF(E117=MAX(D117,E117,H117),"DMK+","AIADMK+"))</f>
        <v>TVK</v>
      </c>
      <c r="AI117" s="27" t="n">
        <f aca="false">EXP(AA117)/(EXP(AA117)+EXP(AB117)+EXP(AC117))</f>
        <v>0.208608008402195</v>
      </c>
      <c r="AJ117" s="27" t="n">
        <f aca="false">EXP(AB117)/(EXP(AA117)+EXP(AB117)+EXP(AC117))</f>
        <v>0.140948190084136</v>
      </c>
      <c r="AK117" s="28" t="s">
        <v>3</v>
      </c>
      <c r="AL117" s="7" t="str">
        <f aca="false">IF(AK117=R117,"Yes","No")</f>
        <v>Yes</v>
      </c>
      <c r="AM117" s="27" t="n">
        <f aca="false">IF(AK117="TVK",AD117,IF(AK117="DMK+",AJ117,AI117))</f>
        <v>0.650443801513669</v>
      </c>
      <c r="AN117" s="7" t="str">
        <f aca="false">IF(AK117=P117,"No","Yes")</f>
        <v>No</v>
      </c>
    </row>
    <row r="118" customFormat="false" ht="15" hidden="true" customHeight="false" outlineLevel="0" collapsed="false">
      <c r="A118" s="0" t="n">
        <v>114</v>
      </c>
      <c r="B118" s="4" t="s">
        <v>304</v>
      </c>
      <c r="C118" s="5" t="s">
        <v>156</v>
      </c>
      <c r="D118" s="35" t="n">
        <v>17</v>
      </c>
      <c r="E118" s="35" t="n">
        <v>35</v>
      </c>
      <c r="F118" s="35"/>
      <c r="G118" s="35" t="n">
        <v>8</v>
      </c>
      <c r="H118" s="35" t="n">
        <v>32</v>
      </c>
      <c r="I118" s="5" t="n">
        <f aca="false">SUM(D118:H118)</f>
        <v>92</v>
      </c>
      <c r="J118" s="10" t="n">
        <f aca="false">IF($I118=0,0,D118/$I118)</f>
        <v>0.184782608695652</v>
      </c>
      <c r="K118" s="10" t="n">
        <f aca="false">IF($I118=0,0,E118/$I118)</f>
        <v>0.380434782608696</v>
      </c>
      <c r="L118" s="10" t="n">
        <f aca="false">IF($I118=0,0,F118/$I118)</f>
        <v>0</v>
      </c>
      <c r="M118" s="10" t="n">
        <f aca="false">IF($I118=0,0,G118/$I118)</f>
        <v>0.0869565217391304</v>
      </c>
      <c r="N118" s="10" t="n">
        <f aca="false">IF($I118=0,0,H118/$I118)</f>
        <v>0.347826086956522</v>
      </c>
      <c r="O118" s="35" t="s">
        <v>197</v>
      </c>
      <c r="P118" s="0" t="str">
        <f aca="false">IF(O118="TVK","TVK",IF(O118="DMK","DMK+",IF(O118="ADMK","AIADMK+","")))</f>
        <v>DMK+</v>
      </c>
      <c r="Q118" s="35" t="s">
        <v>3</v>
      </c>
      <c r="R118" s="36" t="s">
        <v>3</v>
      </c>
      <c r="S118" s="0" t="str">
        <f aca="false">IF(P118=R118,"Yes","No")</f>
        <v>No</v>
      </c>
      <c r="T118" s="2"/>
      <c r="U118" s="27" t="n">
        <f aca="false">IFERROR(SUMIFS($D$5:$D$238,$C$5:$C$238,$C118)/SUMIFS($I$5:$I$238,$C$5:$C$238,$C118),0)</f>
        <v>0.275862068965517</v>
      </c>
      <c r="V118" s="27" t="n">
        <f aca="false">IFERROR(SUMIFS($E$5:$E$238,$C$5:$C$238,$C118)/SUMIFS($I$5:$I$238,$C$5:$C$238,$C118),0)</f>
        <v>0.214854111405836</v>
      </c>
      <c r="W118" s="27" t="n">
        <f aca="false">IFERROR(SUMIFS($F$5:$F$238,$C$5:$C$238,$C118)/SUMIFS($I$5:$I$238,$C$5:$C$238,$C118),0)</f>
        <v>0.00530503978779841</v>
      </c>
      <c r="X118" s="27" t="n">
        <f aca="false">IFERROR(SUMIFS($G$5:$G$238,$C$5:$C$238,$C118)/SUMIFS($I$5:$I$238,$C$5:$C$238,$C118),0)</f>
        <v>0.0716180371352785</v>
      </c>
      <c r="Y118" s="27" t="n">
        <f aca="false">IFERROR(SUMIFS($H$5:$H$238,$C$5:$C$238,$C118)/SUMIFS($I$5:$I$238,$C$5:$C$238,$C118),0)</f>
        <v>0.43236074270557</v>
      </c>
      <c r="Z118" s="24" t="n">
        <f aca="false">LN(MAX(I118,1))</f>
        <v>4.52178857704904</v>
      </c>
      <c r="AA118" s="24" t="n">
        <f aca="false">Calibration!$M$35+Calibration!$N$35+SUMPRODUCT(Calibration!$B$35:$F$35,J118:N118)+SUMPRODUCT(Calibration!$G$35:$K$35,U118:Y118)+Calibration!$L$35*Z118</f>
        <v>-0.361024779424495</v>
      </c>
      <c r="AB118" s="24" t="n">
        <f aca="false">Calibration!$M$36+Calibration!$N$36+SUMPRODUCT(Calibration!$B$36:$F$36,J118:N118)+SUMPRODUCT(Calibration!$G$36:$K$36,U118:Y118)+Calibration!$L$36*Z118</f>
        <v>-0.0881757016268976</v>
      </c>
      <c r="AC118" s="24" t="n">
        <f aca="false">Calibration!$M$37+Calibration!$N$37+SUMPRODUCT(Calibration!$B$37:$F$37,J118:N118)+SUMPRODUCT(Calibration!$G$37:$K$37,U118:Y118)+Calibration!$L$37*Z118</f>
        <v>1.27420104373159</v>
      </c>
      <c r="AD118" s="27" t="n">
        <f aca="false">EXP(AC118)/(EXP(AA118)+EXP(AB118)+EXP(AC118))</f>
        <v>0.689198953360769</v>
      </c>
      <c r="AE118" s="7" t="str">
        <f aca="false">IF(AC118=MAX(AA118:AC118),"TVK",IF(AB118=MAX(AA118:AC118),"DMK+","AIADMK+"))</f>
        <v>TVK</v>
      </c>
      <c r="AF118" s="7" t="str">
        <f aca="false">IF(AE118=R118,"Yes","No")</f>
        <v>Yes</v>
      </c>
      <c r="AG118" s="7" t="str">
        <f aca="false">IF(AE118=P118,"No","Yes")</f>
        <v>Yes</v>
      </c>
      <c r="AH118" s="7" t="str">
        <f aca="false">IF(H118=MAX(D118,E118,H118),"TVK",IF(E118=MAX(D118,E118,H118),"DMK+","AIADMK+"))</f>
        <v>DMK+</v>
      </c>
      <c r="AI118" s="27" t="n">
        <f aca="false">EXP(AA118)/(EXP(AA118)+EXP(AB118)+EXP(AC118))</f>
        <v>0.134330631861924</v>
      </c>
      <c r="AJ118" s="27" t="n">
        <f aca="false">EXP(AB118)/(EXP(AA118)+EXP(AB118)+EXP(AC118))</f>
        <v>0.176470414777307</v>
      </c>
      <c r="AK118" s="28" t="s">
        <v>3</v>
      </c>
      <c r="AL118" s="7" t="str">
        <f aca="false">IF(AK118=R118,"Yes","No")</f>
        <v>Yes</v>
      </c>
      <c r="AM118" s="27" t="n">
        <f aca="false">IF(AK118="TVK",AD118,IF(AK118="DMK+",AJ118,AI118))</f>
        <v>0.689198953360769</v>
      </c>
      <c r="AN118" s="7" t="str">
        <f aca="false">IF(AK118=P118,"No","Yes")</f>
        <v>Yes</v>
      </c>
    </row>
    <row r="119" customFormat="false" ht="15" hidden="true" customHeight="false" outlineLevel="0" collapsed="false">
      <c r="A119" s="0" t="n">
        <v>115</v>
      </c>
      <c r="B119" s="4" t="s">
        <v>305</v>
      </c>
      <c r="C119" s="5" t="s">
        <v>156</v>
      </c>
      <c r="D119" s="35" t="n">
        <v>22</v>
      </c>
      <c r="E119" s="35" t="n">
        <v>9</v>
      </c>
      <c r="F119" s="35"/>
      <c r="G119" s="35" t="n">
        <v>3</v>
      </c>
      <c r="H119" s="35" t="n">
        <v>20</v>
      </c>
      <c r="I119" s="5" t="n">
        <f aca="false">SUM(D119:H119)</f>
        <v>54</v>
      </c>
      <c r="J119" s="10" t="n">
        <f aca="false">IF($I119=0,0,D119/$I119)</f>
        <v>0.407407407407407</v>
      </c>
      <c r="K119" s="10" t="n">
        <f aca="false">IF($I119=0,0,E119/$I119)</f>
        <v>0.166666666666667</v>
      </c>
      <c r="L119" s="10" t="n">
        <f aca="false">IF($I119=0,0,F119/$I119)</f>
        <v>0</v>
      </c>
      <c r="M119" s="10" t="n">
        <f aca="false">IF($I119=0,0,G119/$I119)</f>
        <v>0.0555555555555556</v>
      </c>
      <c r="N119" s="10" t="n">
        <f aca="false">IF($I119=0,0,H119/$I119)</f>
        <v>0.37037037037037</v>
      </c>
      <c r="O119" s="35" t="s">
        <v>218</v>
      </c>
      <c r="P119" s="0" t="str">
        <f aca="false">IF(O119="TVK","TVK",IF(O119="DMK","DMK+",IF(O119="ADMK","AIADMK+","")))</f>
        <v>AIADMK+</v>
      </c>
      <c r="Q119" s="35" t="s">
        <v>3</v>
      </c>
      <c r="R119" s="36" t="s">
        <v>3</v>
      </c>
      <c r="S119" s="0" t="str">
        <f aca="false">IF(P119=R119,"Yes","No")</f>
        <v>No</v>
      </c>
      <c r="T119" s="2"/>
      <c r="U119" s="27" t="n">
        <f aca="false">IFERROR(SUMIFS($D$5:$D$238,$C$5:$C$238,$C119)/SUMIFS($I$5:$I$238,$C$5:$C$238,$C119),0)</f>
        <v>0.275862068965517</v>
      </c>
      <c r="V119" s="27" t="n">
        <f aca="false">IFERROR(SUMIFS($E$5:$E$238,$C$5:$C$238,$C119)/SUMIFS($I$5:$I$238,$C$5:$C$238,$C119),0)</f>
        <v>0.214854111405836</v>
      </c>
      <c r="W119" s="27" t="n">
        <f aca="false">IFERROR(SUMIFS($F$5:$F$238,$C$5:$C$238,$C119)/SUMIFS($I$5:$I$238,$C$5:$C$238,$C119),0)</f>
        <v>0.00530503978779841</v>
      </c>
      <c r="X119" s="27" t="n">
        <f aca="false">IFERROR(SUMIFS($G$5:$G$238,$C$5:$C$238,$C119)/SUMIFS($I$5:$I$238,$C$5:$C$238,$C119),0)</f>
        <v>0.0716180371352785</v>
      </c>
      <c r="Y119" s="27" t="n">
        <f aca="false">IFERROR(SUMIFS($H$5:$H$238,$C$5:$C$238,$C119)/SUMIFS($I$5:$I$238,$C$5:$C$238,$C119),0)</f>
        <v>0.43236074270557</v>
      </c>
      <c r="Z119" s="24" t="n">
        <f aca="false">LN(MAX(I119,1))</f>
        <v>3.98898404656427</v>
      </c>
      <c r="AA119" s="24" t="n">
        <f aca="false">Calibration!$M$35+Calibration!$N$35+SUMPRODUCT(Calibration!$B$35:$F$35,J119:N119)+SUMPRODUCT(Calibration!$G$35:$K$35,U119:Y119)+Calibration!$L$35*Z119</f>
        <v>0.266684061985972</v>
      </c>
      <c r="AB119" s="24" t="n">
        <f aca="false">Calibration!$M$36+Calibration!$N$36+SUMPRODUCT(Calibration!$B$36:$F$36,J119:N119)+SUMPRODUCT(Calibration!$G$36:$K$36,U119:Y119)+Calibration!$L$36*Z119</f>
        <v>-0.185060359996061</v>
      </c>
      <c r="AC119" s="24" t="n">
        <f aca="false">Calibration!$M$37+Calibration!$N$37+SUMPRODUCT(Calibration!$B$37:$F$37,J119:N119)+SUMPRODUCT(Calibration!$G$37:$K$37,U119:Y119)+Calibration!$L$37*Z119</f>
        <v>0.74337688323457</v>
      </c>
      <c r="AD119" s="27" t="n">
        <f aca="false">EXP(AC119)/(EXP(AA119)+EXP(AB119)+EXP(AC119))</f>
        <v>0.496030764139124</v>
      </c>
      <c r="AE119" s="7" t="str">
        <f aca="false">IF(AC119=MAX(AA119:AC119),"TVK",IF(AB119=MAX(AA119:AC119),"DMK+","AIADMK+"))</f>
        <v>TVK</v>
      </c>
      <c r="AF119" s="7" t="str">
        <f aca="false">IF(AE119=R119,"Yes","No")</f>
        <v>Yes</v>
      </c>
      <c r="AG119" s="7" t="str">
        <f aca="false">IF(AE119=P119,"No","Yes")</f>
        <v>Yes</v>
      </c>
      <c r="AH119" s="7" t="str">
        <f aca="false">IF(H119=MAX(D119,E119,H119),"TVK",IF(E119=MAX(D119,E119,H119),"DMK+","AIADMK+"))</f>
        <v>AIADMK+</v>
      </c>
      <c r="AI119" s="27" t="n">
        <f aca="false">EXP(AA119)/(EXP(AA119)+EXP(AB119)+EXP(AC119))</f>
        <v>0.307952369959639</v>
      </c>
      <c r="AJ119" s="27" t="n">
        <f aca="false">EXP(AB119)/(EXP(AA119)+EXP(AB119)+EXP(AC119))</f>
        <v>0.196016865901237</v>
      </c>
      <c r="AK119" s="28" t="s">
        <v>3</v>
      </c>
      <c r="AL119" s="7" t="str">
        <f aca="false">IF(AK119=R119,"Yes","No")</f>
        <v>Yes</v>
      </c>
      <c r="AM119" s="27" t="n">
        <f aca="false">IF(AK119="TVK",AD119,IF(AK119="DMK+",AJ119,AI119))</f>
        <v>0.496030764139124</v>
      </c>
      <c r="AN119" s="7" t="str">
        <f aca="false">IF(AK119=P119,"No","Yes")</f>
        <v>Yes</v>
      </c>
    </row>
    <row r="120" customFormat="false" ht="15" hidden="false" customHeight="false" outlineLevel="0" collapsed="false">
      <c r="A120" s="0" t="n">
        <v>116</v>
      </c>
      <c r="B120" s="4" t="s">
        <v>306</v>
      </c>
      <c r="C120" s="5" t="s">
        <v>98</v>
      </c>
      <c r="D120" s="35" t="n">
        <v>16</v>
      </c>
      <c r="E120" s="35" t="n">
        <v>17</v>
      </c>
      <c r="F120" s="35" t="n">
        <v>1</v>
      </c>
      <c r="G120" s="35" t="n">
        <v>3</v>
      </c>
      <c r="H120" s="35" t="n">
        <v>22</v>
      </c>
      <c r="I120" s="5" t="n">
        <f aca="false">SUM(D120:H120)</f>
        <v>59</v>
      </c>
      <c r="J120" s="10" t="n">
        <f aca="false">IF($I120=0,0,D120/$I120)</f>
        <v>0.271186440677966</v>
      </c>
      <c r="K120" s="10" t="n">
        <f aca="false">IF($I120=0,0,E120/$I120)</f>
        <v>0.288135593220339</v>
      </c>
      <c r="L120" s="10" t="n">
        <f aca="false">IF($I120=0,0,F120/$I120)</f>
        <v>0.0169491525423729</v>
      </c>
      <c r="M120" s="10" t="n">
        <f aca="false">IF($I120=0,0,G120/$I120)</f>
        <v>0.0508474576271187</v>
      </c>
      <c r="N120" s="10" t="n">
        <f aca="false">IF($I120=0,0,H120/$I120)</f>
        <v>0.372881355932203</v>
      </c>
      <c r="O120" s="35" t="s">
        <v>3</v>
      </c>
      <c r="P120" s="0" t="str">
        <f aca="false">IF(O120="TVK","TVK",IF(O120="DMK","DMK+",IF(O120="ADMK","AIADMK+","")))</f>
        <v>TVK</v>
      </c>
      <c r="Q120" s="35" t="s">
        <v>3</v>
      </c>
      <c r="R120" s="36" t="s">
        <v>3</v>
      </c>
      <c r="S120" s="0" t="str">
        <f aca="false">IF(P120=R120,"Yes","No")</f>
        <v>Yes</v>
      </c>
      <c r="T120" s="2"/>
      <c r="U120" s="27" t="n">
        <f aca="false">IFERROR(SUMIFS($D$5:$D$238,$C$5:$C$238,$C120)/SUMIFS($I$5:$I$238,$C$5:$C$238,$C120),0)</f>
        <v>0.273905996758509</v>
      </c>
      <c r="V120" s="27" t="n">
        <f aca="false">IFERROR(SUMIFS($E$5:$E$238,$C$5:$C$238,$C120)/SUMIFS($I$5:$I$238,$C$5:$C$238,$C120),0)</f>
        <v>0.26742301458671</v>
      </c>
      <c r="W120" s="27" t="n">
        <f aca="false">IFERROR(SUMIFS($F$5:$F$238,$C$5:$C$238,$C120)/SUMIFS($I$5:$I$238,$C$5:$C$238,$C120),0)</f>
        <v>0.00486223662884927</v>
      </c>
      <c r="X120" s="27" t="n">
        <f aca="false">IFERROR(SUMIFS($G$5:$G$238,$C$5:$C$238,$C120)/SUMIFS($I$5:$I$238,$C$5:$C$238,$C120),0)</f>
        <v>0.059967585089141</v>
      </c>
      <c r="Y120" s="27" t="n">
        <f aca="false">IFERROR(SUMIFS($H$5:$H$238,$C$5:$C$238,$C120)/SUMIFS($I$5:$I$238,$C$5:$C$238,$C120),0)</f>
        <v>0.393841166936791</v>
      </c>
      <c r="Z120" s="24" t="n">
        <f aca="false">LN(MAX(I120,1))</f>
        <v>4.07753744390572</v>
      </c>
      <c r="AA120" s="24" t="n">
        <f aca="false">Calibration!$M$35+Calibration!$N$35+SUMPRODUCT(Calibration!$B$35:$F$35,J120:N120)+SUMPRODUCT(Calibration!$G$35:$K$35,U120:Y120)+Calibration!$L$35*Z120</f>
        <v>-0.0143901785238265</v>
      </c>
      <c r="AB120" s="24" t="n">
        <f aca="false">Calibration!$M$36+Calibration!$N$36+SUMPRODUCT(Calibration!$B$36:$F$36,J120:N120)+SUMPRODUCT(Calibration!$G$36:$K$36,U120:Y120)+Calibration!$L$36*Z120</f>
        <v>0.0652647597380303</v>
      </c>
      <c r="AC120" s="24" t="n">
        <f aca="false">Calibration!$M$37+Calibration!$N$37+SUMPRODUCT(Calibration!$B$37:$F$37,J120:N120)+SUMPRODUCT(Calibration!$G$37:$K$37,U120:Y120)+Calibration!$L$37*Z120</f>
        <v>0.774126059090167</v>
      </c>
      <c r="AD120" s="27" t="n">
        <f aca="false">EXP(AC120)/(EXP(AA120)+EXP(AB120)+EXP(AC120))</f>
        <v>0.513683753141855</v>
      </c>
      <c r="AE120" s="7" t="str">
        <f aca="false">IF(AC120=MAX(AA120:AC120),"TVK",IF(AB120=MAX(AA120:AC120),"DMK+","AIADMK+"))</f>
        <v>TVK</v>
      </c>
      <c r="AF120" s="7" t="str">
        <f aca="false">IF(AE120=R120,"Yes","No")</f>
        <v>Yes</v>
      </c>
      <c r="AG120" s="7" t="str">
        <f aca="false">IF(AE120=P120,"No","Yes")</f>
        <v>No</v>
      </c>
      <c r="AH120" s="7" t="str">
        <f aca="false">IF(H120=MAX(D120,E120,H120),"TVK",IF(E120=MAX(D120,E120,H120),"DMK+","AIADMK+"))</f>
        <v>TVK</v>
      </c>
      <c r="AI120" s="27" t="n">
        <f aca="false">EXP(AA120)/(EXP(AA120)+EXP(AB120)+EXP(AC120))</f>
        <v>0.23347886806617</v>
      </c>
      <c r="AJ120" s="27" t="n">
        <f aca="false">EXP(AB120)/(EXP(AA120)+EXP(AB120)+EXP(AC120))</f>
        <v>0.252837378791975</v>
      </c>
      <c r="AK120" s="28" t="s">
        <v>3</v>
      </c>
      <c r="AL120" s="7" t="str">
        <f aca="false">IF(AK120=R120,"Yes","No")</f>
        <v>Yes</v>
      </c>
      <c r="AM120" s="27" t="n">
        <f aca="false">IF(AK120="TVK",AD120,IF(AK120="DMK+",AJ120,AI120))</f>
        <v>0.513683753141855</v>
      </c>
      <c r="AN120" s="7" t="str">
        <f aca="false">IF(AK120=P120,"No","Yes")</f>
        <v>No</v>
      </c>
    </row>
    <row r="121" customFormat="false" ht="15" hidden="false" customHeight="false" outlineLevel="0" collapsed="false">
      <c r="A121" s="0" t="n">
        <v>117</v>
      </c>
      <c r="B121" s="4" t="s">
        <v>307</v>
      </c>
      <c r="C121" s="5" t="s">
        <v>98</v>
      </c>
      <c r="D121" s="35" t="n">
        <v>25</v>
      </c>
      <c r="E121" s="35" t="n">
        <v>20</v>
      </c>
      <c r="F121" s="35"/>
      <c r="G121" s="35" t="n">
        <v>4</v>
      </c>
      <c r="H121" s="35" t="n">
        <v>34</v>
      </c>
      <c r="I121" s="5" t="n">
        <f aca="false">SUM(D121:H121)</f>
        <v>83</v>
      </c>
      <c r="J121" s="10" t="n">
        <f aca="false">IF($I121=0,0,D121/$I121)</f>
        <v>0.301204819277108</v>
      </c>
      <c r="K121" s="10" t="n">
        <f aca="false">IF($I121=0,0,E121/$I121)</f>
        <v>0.240963855421687</v>
      </c>
      <c r="L121" s="10" t="n">
        <f aca="false">IF($I121=0,0,F121/$I121)</f>
        <v>0</v>
      </c>
      <c r="M121" s="10" t="n">
        <f aca="false">IF($I121=0,0,G121/$I121)</f>
        <v>0.0481927710843374</v>
      </c>
      <c r="N121" s="10" t="n">
        <f aca="false">IF($I121=0,0,H121/$I121)</f>
        <v>0.409638554216867</v>
      </c>
      <c r="O121" s="35" t="s">
        <v>3</v>
      </c>
      <c r="P121" s="0" t="str">
        <f aca="false">IF(O121="TVK","TVK",IF(O121="DMK","DMK+",IF(O121="ADMK","AIADMK+","")))</f>
        <v>TVK</v>
      </c>
      <c r="Q121" s="35" t="s">
        <v>3</v>
      </c>
      <c r="R121" s="36" t="s">
        <v>3</v>
      </c>
      <c r="S121" s="0" t="str">
        <f aca="false">IF(P121=R121,"Yes","No")</f>
        <v>Yes</v>
      </c>
      <c r="T121" s="2"/>
      <c r="U121" s="27" t="n">
        <f aca="false">IFERROR(SUMIFS($D$5:$D$238,$C$5:$C$238,$C121)/SUMIFS($I$5:$I$238,$C$5:$C$238,$C121),0)</f>
        <v>0.273905996758509</v>
      </c>
      <c r="V121" s="27" t="n">
        <f aca="false">IFERROR(SUMIFS($E$5:$E$238,$C$5:$C$238,$C121)/SUMIFS($I$5:$I$238,$C$5:$C$238,$C121),0)</f>
        <v>0.26742301458671</v>
      </c>
      <c r="W121" s="27" t="n">
        <f aca="false">IFERROR(SUMIFS($F$5:$F$238,$C$5:$C$238,$C121)/SUMIFS($I$5:$I$238,$C$5:$C$238,$C121),0)</f>
        <v>0.00486223662884927</v>
      </c>
      <c r="X121" s="27" t="n">
        <f aca="false">IFERROR(SUMIFS($G$5:$G$238,$C$5:$C$238,$C121)/SUMIFS($I$5:$I$238,$C$5:$C$238,$C121),0)</f>
        <v>0.059967585089141</v>
      </c>
      <c r="Y121" s="27" t="n">
        <f aca="false">IFERROR(SUMIFS($H$5:$H$238,$C$5:$C$238,$C121)/SUMIFS($I$5:$I$238,$C$5:$C$238,$C121),0)</f>
        <v>0.393841166936791</v>
      </c>
      <c r="Z121" s="24" t="n">
        <f aca="false">LN(MAX(I121,1))</f>
        <v>4.4188406077966</v>
      </c>
      <c r="AA121" s="24" t="n">
        <f aca="false">Calibration!$M$35+Calibration!$N$35+SUMPRODUCT(Calibration!$B$35:$F$35,J121:N121)+SUMPRODUCT(Calibration!$G$35:$K$35,U121:Y121)+Calibration!$L$35*Z121</f>
        <v>-0.139917762333505</v>
      </c>
      <c r="AB121" s="24" t="n">
        <f aca="false">Calibration!$M$36+Calibration!$N$36+SUMPRODUCT(Calibration!$B$36:$F$36,J121:N121)+SUMPRODUCT(Calibration!$G$36:$K$36,U121:Y121)+Calibration!$L$36*Z121</f>
        <v>-0.233160628319307</v>
      </c>
      <c r="AC121" s="24" t="n">
        <f aca="false">Calibration!$M$37+Calibration!$N$37+SUMPRODUCT(Calibration!$B$37:$F$37,J121:N121)+SUMPRODUCT(Calibration!$G$37:$K$37,U121:Y121)+Calibration!$L$37*Z121</f>
        <v>1.19807906771438</v>
      </c>
      <c r="AD121" s="27" t="n">
        <f aca="false">EXP(AC121)/(EXP(AA121)+EXP(AB121)+EXP(AC121))</f>
        <v>0.66605249903744</v>
      </c>
      <c r="AE121" s="7" t="str">
        <f aca="false">IF(AC121=MAX(AA121:AC121),"TVK",IF(AB121=MAX(AA121:AC121),"DMK+","AIADMK+"))</f>
        <v>TVK</v>
      </c>
      <c r="AF121" s="7" t="str">
        <f aca="false">IF(AE121=R121,"Yes","No")</f>
        <v>Yes</v>
      </c>
      <c r="AG121" s="7" t="str">
        <f aca="false">IF(AE121=P121,"No","Yes")</f>
        <v>No</v>
      </c>
      <c r="AH121" s="7" t="str">
        <f aca="false">IF(H121=MAX(D121,E121,H121),"TVK",IF(E121=MAX(D121,E121,H121),"DMK+","AIADMK+"))</f>
        <v>TVK</v>
      </c>
      <c r="AI121" s="27" t="n">
        <f aca="false">EXP(AA121)/(EXP(AA121)+EXP(AB121)+EXP(AC121))</f>
        <v>0.174752670839193</v>
      </c>
      <c r="AJ121" s="27" t="n">
        <f aca="false">EXP(AB121)/(EXP(AA121)+EXP(AB121)+EXP(AC121))</f>
        <v>0.159194830123366</v>
      </c>
      <c r="AK121" s="28" t="s">
        <v>3</v>
      </c>
      <c r="AL121" s="7" t="str">
        <f aca="false">IF(AK121=R121,"Yes","No")</f>
        <v>Yes</v>
      </c>
      <c r="AM121" s="27" t="n">
        <f aca="false">IF(AK121="TVK",AD121,IF(AK121="DMK+",AJ121,AI121))</f>
        <v>0.66605249903744</v>
      </c>
      <c r="AN121" s="7" t="str">
        <f aca="false">IF(AK121=P121,"No","Yes")</f>
        <v>No</v>
      </c>
    </row>
    <row r="122" customFormat="false" ht="15" hidden="false" customHeight="false" outlineLevel="0" collapsed="false">
      <c r="A122" s="0" t="n">
        <v>118</v>
      </c>
      <c r="B122" s="4" t="s">
        <v>308</v>
      </c>
      <c r="C122" s="5" t="s">
        <v>98</v>
      </c>
      <c r="D122" s="35" t="n">
        <v>25</v>
      </c>
      <c r="E122" s="35" t="n">
        <v>16</v>
      </c>
      <c r="F122" s="35" t="n">
        <v>1</v>
      </c>
      <c r="G122" s="35" t="n">
        <v>9</v>
      </c>
      <c r="H122" s="35" t="n">
        <v>38</v>
      </c>
      <c r="I122" s="5" t="n">
        <f aca="false">SUM(D122:H122)</f>
        <v>89</v>
      </c>
      <c r="J122" s="10" t="n">
        <f aca="false">IF($I122=0,0,D122/$I122)</f>
        <v>0.280898876404494</v>
      </c>
      <c r="K122" s="10" t="n">
        <f aca="false">IF($I122=0,0,E122/$I122)</f>
        <v>0.179775280898876</v>
      </c>
      <c r="L122" s="10" t="n">
        <f aca="false">IF($I122=0,0,F122/$I122)</f>
        <v>0.0112359550561798</v>
      </c>
      <c r="M122" s="10" t="n">
        <f aca="false">IF($I122=0,0,G122/$I122)</f>
        <v>0.101123595505618</v>
      </c>
      <c r="N122" s="10" t="n">
        <f aca="false">IF($I122=0,0,H122/$I122)</f>
        <v>0.426966292134831</v>
      </c>
      <c r="O122" s="35" t="s">
        <v>3</v>
      </c>
      <c r="P122" s="0" t="str">
        <f aca="false">IF(O122="TVK","TVK",IF(O122="DMK","DMK+",IF(O122="ADMK","AIADMK+","")))</f>
        <v>TVK</v>
      </c>
      <c r="Q122" s="35" t="s">
        <v>3</v>
      </c>
      <c r="R122" s="36" t="s">
        <v>3</v>
      </c>
      <c r="S122" s="0" t="str">
        <f aca="false">IF(P122=R122,"Yes","No")</f>
        <v>Yes</v>
      </c>
      <c r="T122" s="2"/>
      <c r="U122" s="27" t="n">
        <f aca="false">IFERROR(SUMIFS($D$5:$D$238,$C$5:$C$238,$C122)/SUMIFS($I$5:$I$238,$C$5:$C$238,$C122),0)</f>
        <v>0.273905996758509</v>
      </c>
      <c r="V122" s="27" t="n">
        <f aca="false">IFERROR(SUMIFS($E$5:$E$238,$C$5:$C$238,$C122)/SUMIFS($I$5:$I$238,$C$5:$C$238,$C122),0)</f>
        <v>0.26742301458671</v>
      </c>
      <c r="W122" s="27" t="n">
        <f aca="false">IFERROR(SUMIFS($F$5:$F$238,$C$5:$C$238,$C122)/SUMIFS($I$5:$I$238,$C$5:$C$238,$C122),0)</f>
        <v>0.00486223662884927</v>
      </c>
      <c r="X122" s="27" t="n">
        <f aca="false">IFERROR(SUMIFS($G$5:$G$238,$C$5:$C$238,$C122)/SUMIFS($I$5:$I$238,$C$5:$C$238,$C122),0)</f>
        <v>0.059967585089141</v>
      </c>
      <c r="Y122" s="27" t="n">
        <f aca="false">IFERROR(SUMIFS($H$5:$H$238,$C$5:$C$238,$C122)/SUMIFS($I$5:$I$238,$C$5:$C$238,$C122),0)</f>
        <v>0.393841166936791</v>
      </c>
      <c r="Z122" s="24" t="n">
        <f aca="false">LN(MAX(I122,1))</f>
        <v>4.48863636973214</v>
      </c>
      <c r="AA122" s="24" t="n">
        <f aca="false">Calibration!$M$35+Calibration!$N$35+SUMPRODUCT(Calibration!$B$35:$F$35,J122:N122)+SUMPRODUCT(Calibration!$G$35:$K$35,U122:Y122)+Calibration!$L$35*Z122</f>
        <v>-0.150094926792415</v>
      </c>
      <c r="AB122" s="24" t="n">
        <f aca="false">Calibration!$M$36+Calibration!$N$36+SUMPRODUCT(Calibration!$B$36:$F$36,J122:N122)+SUMPRODUCT(Calibration!$G$36:$K$36,U122:Y122)+Calibration!$L$36*Z122</f>
        <v>-0.324776544804845</v>
      </c>
      <c r="AC122" s="24" t="n">
        <f aca="false">Calibration!$M$37+Calibration!$N$37+SUMPRODUCT(Calibration!$B$37:$F$37,J122:N122)+SUMPRODUCT(Calibration!$G$37:$K$37,U122:Y122)+Calibration!$L$37*Z122</f>
        <v>1.29987216598657</v>
      </c>
      <c r="AD122" s="27" t="n">
        <f aca="false">EXP(AC122)/(EXP(AA122)+EXP(AB122)+EXP(AC122))</f>
        <v>0.698539209701567</v>
      </c>
      <c r="AE122" s="7" t="str">
        <f aca="false">IF(AC122=MAX(AA122:AC122),"TVK",IF(AB122=MAX(AA122:AC122),"DMK+","AIADMK+"))</f>
        <v>TVK</v>
      </c>
      <c r="AF122" s="7" t="str">
        <f aca="false">IF(AE122=R122,"Yes","No")</f>
        <v>Yes</v>
      </c>
      <c r="AG122" s="7" t="str">
        <f aca="false">IF(AE122=P122,"No","Yes")</f>
        <v>No</v>
      </c>
      <c r="AH122" s="7" t="str">
        <f aca="false">IF(H122=MAX(D122,E122,H122),"TVK",IF(E122=MAX(D122,E122,H122),"DMK+","AIADMK+"))</f>
        <v>TVK</v>
      </c>
      <c r="AI122" s="27" t="n">
        <f aca="false">EXP(AA122)/(EXP(AA122)+EXP(AB122)+EXP(AC122))</f>
        <v>0.163861935816728</v>
      </c>
      <c r="AJ122" s="27" t="n">
        <f aca="false">EXP(AB122)/(EXP(AA122)+EXP(AB122)+EXP(AC122))</f>
        <v>0.137598854481705</v>
      </c>
      <c r="AK122" s="28" t="s">
        <v>3</v>
      </c>
      <c r="AL122" s="7" t="str">
        <f aca="false">IF(AK122=R122,"Yes","No")</f>
        <v>Yes</v>
      </c>
      <c r="AM122" s="27" t="n">
        <f aca="false">IF(AK122="TVK",AD122,IF(AK122="DMK+",AJ122,AI122))</f>
        <v>0.698539209701567</v>
      </c>
      <c r="AN122" s="7" t="str">
        <f aca="false">IF(AK122=P122,"No","Yes")</f>
        <v>No</v>
      </c>
    </row>
    <row r="123" customFormat="false" ht="15" hidden="false" customHeight="false" outlineLevel="0" collapsed="false">
      <c r="A123" s="0" t="n">
        <v>119</v>
      </c>
      <c r="B123" s="4" t="s">
        <v>309</v>
      </c>
      <c r="C123" s="5" t="s">
        <v>98</v>
      </c>
      <c r="D123" s="35" t="n">
        <v>14</v>
      </c>
      <c r="E123" s="35" t="n">
        <v>16</v>
      </c>
      <c r="F123" s="35"/>
      <c r="G123" s="35" t="n">
        <v>3</v>
      </c>
      <c r="H123" s="35" t="n">
        <v>24</v>
      </c>
      <c r="I123" s="5" t="n">
        <f aca="false">SUM(D123:H123)</f>
        <v>57</v>
      </c>
      <c r="J123" s="10" t="n">
        <f aca="false">IF($I123=0,0,D123/$I123)</f>
        <v>0.245614035087719</v>
      </c>
      <c r="K123" s="10" t="n">
        <f aca="false">IF($I123=0,0,E123/$I123)</f>
        <v>0.280701754385965</v>
      </c>
      <c r="L123" s="10" t="n">
        <f aca="false">IF($I123=0,0,F123/$I123)</f>
        <v>0</v>
      </c>
      <c r="M123" s="10" t="n">
        <f aca="false">IF($I123=0,0,G123/$I123)</f>
        <v>0.0526315789473684</v>
      </c>
      <c r="N123" s="10" t="n">
        <f aca="false">IF($I123=0,0,H123/$I123)</f>
        <v>0.421052631578947</v>
      </c>
      <c r="O123" s="35" t="s">
        <v>3</v>
      </c>
      <c r="P123" s="0" t="str">
        <f aca="false">IF(O123="TVK","TVK",IF(O123="DMK","DMK+",IF(O123="ADMK","AIADMK+","")))</f>
        <v>TVK</v>
      </c>
      <c r="Q123" s="35" t="s">
        <v>196</v>
      </c>
      <c r="R123" s="36" t="s">
        <v>4</v>
      </c>
      <c r="S123" s="0" t="str">
        <f aca="false">IF(P123=R123,"Yes","No")</f>
        <v>No</v>
      </c>
      <c r="T123" s="2"/>
      <c r="U123" s="27" t="n">
        <f aca="false">IFERROR(SUMIFS($D$5:$D$238,$C$5:$C$238,$C123)/SUMIFS($I$5:$I$238,$C$5:$C$238,$C123),0)</f>
        <v>0.273905996758509</v>
      </c>
      <c r="V123" s="27" t="n">
        <f aca="false">IFERROR(SUMIFS($E$5:$E$238,$C$5:$C$238,$C123)/SUMIFS($I$5:$I$238,$C$5:$C$238,$C123),0)</f>
        <v>0.26742301458671</v>
      </c>
      <c r="W123" s="27" t="n">
        <f aca="false">IFERROR(SUMIFS($F$5:$F$238,$C$5:$C$238,$C123)/SUMIFS($I$5:$I$238,$C$5:$C$238,$C123),0)</f>
        <v>0.00486223662884927</v>
      </c>
      <c r="X123" s="27" t="n">
        <f aca="false">IFERROR(SUMIFS($G$5:$G$238,$C$5:$C$238,$C123)/SUMIFS($I$5:$I$238,$C$5:$C$238,$C123),0)</f>
        <v>0.059967585089141</v>
      </c>
      <c r="Y123" s="27" t="n">
        <f aca="false">IFERROR(SUMIFS($H$5:$H$238,$C$5:$C$238,$C123)/SUMIFS($I$5:$I$238,$C$5:$C$238,$C123),0)</f>
        <v>0.393841166936791</v>
      </c>
      <c r="Z123" s="24" t="n">
        <f aca="false">LN(MAX(I123,1))</f>
        <v>4.04305126783455</v>
      </c>
      <c r="AA123" s="24" t="n">
        <f aca="false">Calibration!$M$35+Calibration!$N$35+SUMPRODUCT(Calibration!$B$35:$F$35,J123:N123)+SUMPRODUCT(Calibration!$G$35:$K$35,U123:Y123)+Calibration!$L$35*Z123</f>
        <v>-0.0239900355896054</v>
      </c>
      <c r="AB123" s="24" t="n">
        <f aca="false">Calibration!$M$36+Calibration!$N$36+SUMPRODUCT(Calibration!$B$36:$F$36,J123:N123)+SUMPRODUCT(Calibration!$G$36:$K$36,U123:Y123)+Calibration!$L$36*Z123</f>
        <v>0.0846964363728158</v>
      </c>
      <c r="AC123" s="24" t="n">
        <f aca="false">Calibration!$M$37+Calibration!$N$37+SUMPRODUCT(Calibration!$B$37:$F$37,J123:N123)+SUMPRODUCT(Calibration!$G$37:$K$37,U123:Y123)+Calibration!$L$37*Z123</f>
        <v>0.764294287692435</v>
      </c>
      <c r="AD123" s="27" t="n">
        <f aca="false">EXP(AC123)/(EXP(AA123)+EXP(AB123)+EXP(AC123))</f>
        <v>0.509828243726611</v>
      </c>
      <c r="AE123" s="7" t="str">
        <f aca="false">IF(AC123=MAX(AA123:AC123),"TVK",IF(AB123=MAX(AA123:AC123),"DMK+","AIADMK+"))</f>
        <v>TVK</v>
      </c>
      <c r="AF123" s="7" t="str">
        <f aca="false">IF(AE123=R123,"Yes","No")</f>
        <v>No</v>
      </c>
      <c r="AG123" s="7" t="str">
        <f aca="false">IF(AE123=P123,"No","Yes")</f>
        <v>No</v>
      </c>
      <c r="AH123" s="7" t="str">
        <f aca="false">IF(H123=MAX(D123,E123,H123),"TVK",IF(E123=MAX(D123,E123,H123),"DMK+","AIADMK+"))</f>
        <v>TVK</v>
      </c>
      <c r="AI123" s="27" t="n">
        <f aca="false">EXP(AA123)/(EXP(AA123)+EXP(AB123)+EXP(AC123))</f>
        <v>0.231780213886991</v>
      </c>
      <c r="AJ123" s="27" t="n">
        <f aca="false">EXP(AB123)/(EXP(AA123)+EXP(AB123)+EXP(AC123))</f>
        <v>0.258391542386399</v>
      </c>
      <c r="AK123" s="28" t="s">
        <v>3</v>
      </c>
      <c r="AL123" s="7" t="str">
        <f aca="false">IF(AK123=R123,"Yes","No")</f>
        <v>No</v>
      </c>
      <c r="AM123" s="27" t="n">
        <f aca="false">IF(AK123="TVK",AD123,IF(AK123="DMK+",AJ123,AI123))</f>
        <v>0.509828243726611</v>
      </c>
      <c r="AN123" s="7" t="str">
        <f aca="false">IF(AK123=P123,"No","Yes")</f>
        <v>No</v>
      </c>
    </row>
    <row r="124" customFormat="false" ht="15" hidden="true" customHeight="false" outlineLevel="0" collapsed="false">
      <c r="A124" s="0" t="n">
        <v>120</v>
      </c>
      <c r="B124" s="4" t="s">
        <v>310</v>
      </c>
      <c r="C124" s="5" t="s">
        <v>98</v>
      </c>
      <c r="D124" s="35" t="n">
        <v>18</v>
      </c>
      <c r="E124" s="35" t="n">
        <v>29</v>
      </c>
      <c r="F124" s="35"/>
      <c r="G124" s="35" t="n">
        <v>4</v>
      </c>
      <c r="H124" s="35" t="n">
        <v>22</v>
      </c>
      <c r="I124" s="5" t="n">
        <f aca="false">SUM(D124:H124)</f>
        <v>73</v>
      </c>
      <c r="J124" s="10" t="n">
        <f aca="false">IF($I124=0,0,D124/$I124)</f>
        <v>0.246575342465753</v>
      </c>
      <c r="K124" s="10" t="n">
        <f aca="false">IF($I124=0,0,E124/$I124)</f>
        <v>0.397260273972603</v>
      </c>
      <c r="L124" s="10" t="n">
        <f aca="false">IF($I124=0,0,F124/$I124)</f>
        <v>0</v>
      </c>
      <c r="M124" s="10" t="n">
        <f aca="false">IF($I124=0,0,G124/$I124)</f>
        <v>0.0547945205479452</v>
      </c>
      <c r="N124" s="10" t="n">
        <f aca="false">IF($I124=0,0,H124/$I124)</f>
        <v>0.301369863013699</v>
      </c>
      <c r="O124" s="35" t="s">
        <v>197</v>
      </c>
      <c r="P124" s="0" t="str">
        <f aca="false">IF(O124="TVK","TVK",IF(O124="DMK","DMK+",IF(O124="ADMK","AIADMK+","")))</f>
        <v>DMK+</v>
      </c>
      <c r="Q124" s="35" t="s">
        <v>197</v>
      </c>
      <c r="R124" s="36" t="s">
        <v>5</v>
      </c>
      <c r="S124" s="0" t="str">
        <f aca="false">IF(P124=R124,"Yes","No")</f>
        <v>Yes</v>
      </c>
      <c r="T124" s="2"/>
      <c r="U124" s="27" t="n">
        <f aca="false">IFERROR(SUMIFS($D$5:$D$238,$C$5:$C$238,$C124)/SUMIFS($I$5:$I$238,$C$5:$C$238,$C124),0)</f>
        <v>0.273905996758509</v>
      </c>
      <c r="V124" s="27" t="n">
        <f aca="false">IFERROR(SUMIFS($E$5:$E$238,$C$5:$C$238,$C124)/SUMIFS($I$5:$I$238,$C$5:$C$238,$C124),0)</f>
        <v>0.26742301458671</v>
      </c>
      <c r="W124" s="27" t="n">
        <f aca="false">IFERROR(SUMIFS($F$5:$F$238,$C$5:$C$238,$C124)/SUMIFS($I$5:$I$238,$C$5:$C$238,$C124),0)</f>
        <v>0.00486223662884927</v>
      </c>
      <c r="X124" s="27" t="n">
        <f aca="false">IFERROR(SUMIFS($G$5:$G$238,$C$5:$C$238,$C124)/SUMIFS($I$5:$I$238,$C$5:$C$238,$C124),0)</f>
        <v>0.059967585089141</v>
      </c>
      <c r="Y124" s="27" t="n">
        <f aca="false">IFERROR(SUMIFS($H$5:$H$238,$C$5:$C$238,$C124)/SUMIFS($I$5:$I$238,$C$5:$C$238,$C124),0)</f>
        <v>0.393841166936791</v>
      </c>
      <c r="Z124" s="24" t="n">
        <f aca="false">LN(MAX(I124,1))</f>
        <v>4.29045944114839</v>
      </c>
      <c r="AA124" s="24" t="n">
        <f aca="false">Calibration!$M$35+Calibration!$N$35+SUMPRODUCT(Calibration!$B$35:$F$35,J124:N124)+SUMPRODUCT(Calibration!$G$35:$K$35,U124:Y124)+Calibration!$L$35*Z124</f>
        <v>-0.215419732442851</v>
      </c>
      <c r="AB124" s="24" t="n">
        <f aca="false">Calibration!$M$36+Calibration!$N$36+SUMPRODUCT(Calibration!$B$36:$F$36,J124:N124)+SUMPRODUCT(Calibration!$G$36:$K$36,U124:Y124)+Calibration!$L$36*Z124</f>
        <v>0.0971567863525129</v>
      </c>
      <c r="AC124" s="24" t="n">
        <f aca="false">Calibration!$M$37+Calibration!$N$37+SUMPRODUCT(Calibration!$B$37:$F$37,J124:N124)+SUMPRODUCT(Calibration!$G$37:$K$37,U124:Y124)+Calibration!$L$37*Z124</f>
        <v>0.943263514883216</v>
      </c>
      <c r="AD124" s="27" t="n">
        <f aca="false">EXP(AC124)/(EXP(AA124)+EXP(AB124)+EXP(AC124))</f>
        <v>0.573729569819435</v>
      </c>
      <c r="AE124" s="7" t="str">
        <f aca="false">IF(AC124=MAX(AA124:AC124),"TVK",IF(AB124=MAX(AA124:AC124),"DMK+","AIADMK+"))</f>
        <v>TVK</v>
      </c>
      <c r="AF124" s="7" t="str">
        <f aca="false">IF(AE124=R124,"Yes","No")</f>
        <v>No</v>
      </c>
      <c r="AG124" s="7" t="str">
        <f aca="false">IF(AE124=P124,"No","Yes")</f>
        <v>Yes</v>
      </c>
      <c r="AH124" s="7" t="str">
        <f aca="false">IF(H124=MAX(D124,E124,H124),"TVK",IF(E124=MAX(D124,E124,H124),"DMK+","AIADMK+"))</f>
        <v>DMK+</v>
      </c>
      <c r="AI124" s="27" t="n">
        <f aca="false">EXP(AA124)/(EXP(AA124)+EXP(AB124)+EXP(AC124))</f>
        <v>0.180093273944397</v>
      </c>
      <c r="AJ124" s="27" t="n">
        <f aca="false">EXP(AB124)/(EXP(AA124)+EXP(AB124)+EXP(AC124))</f>
        <v>0.246177156236169</v>
      </c>
      <c r="AK124" s="28" t="s">
        <v>3</v>
      </c>
      <c r="AL124" s="7" t="str">
        <f aca="false">IF(AK124=R124,"Yes","No")</f>
        <v>No</v>
      </c>
      <c r="AM124" s="27" t="n">
        <f aca="false">IF(AK124="TVK",AD124,IF(AK124="DMK+",AJ124,AI124))</f>
        <v>0.573729569819435</v>
      </c>
      <c r="AN124" s="7" t="str">
        <f aca="false">IF(AK124=P124,"No","Yes")</f>
        <v>Yes</v>
      </c>
    </row>
    <row r="125" customFormat="false" ht="15" hidden="false" customHeight="false" outlineLevel="0" collapsed="false">
      <c r="A125" s="0" t="n">
        <v>121</v>
      </c>
      <c r="B125" s="4" t="s">
        <v>311</v>
      </c>
      <c r="C125" s="5" t="s">
        <v>98</v>
      </c>
      <c r="D125" s="35" t="n">
        <v>22</v>
      </c>
      <c r="E125" s="35" t="n">
        <v>19</v>
      </c>
      <c r="F125" s="35" t="n">
        <v>1</v>
      </c>
      <c r="G125" s="35" t="n">
        <v>2</v>
      </c>
      <c r="H125" s="35" t="n">
        <v>31</v>
      </c>
      <c r="I125" s="5" t="n">
        <f aca="false">SUM(D125:H125)</f>
        <v>75</v>
      </c>
      <c r="J125" s="10" t="n">
        <f aca="false">IF($I125=0,0,D125/$I125)</f>
        <v>0.293333333333333</v>
      </c>
      <c r="K125" s="10" t="n">
        <f aca="false">IF($I125=0,0,E125/$I125)</f>
        <v>0.253333333333333</v>
      </c>
      <c r="L125" s="10" t="n">
        <f aca="false">IF($I125=0,0,F125/$I125)</f>
        <v>0.0133333333333333</v>
      </c>
      <c r="M125" s="10" t="n">
        <f aca="false">IF($I125=0,0,G125/$I125)</f>
        <v>0.0266666666666667</v>
      </c>
      <c r="N125" s="10" t="n">
        <f aca="false">IF($I125=0,0,H125/$I125)</f>
        <v>0.413333333333333</v>
      </c>
      <c r="O125" s="35" t="s">
        <v>3</v>
      </c>
      <c r="P125" s="0" t="str">
        <f aca="false">IF(O125="TVK","TVK",IF(O125="DMK","DMK+",IF(O125="ADMK","AIADMK+","")))</f>
        <v>TVK</v>
      </c>
      <c r="Q125" s="35" t="s">
        <v>3</v>
      </c>
      <c r="R125" s="36" t="s">
        <v>3</v>
      </c>
      <c r="S125" s="0" t="str">
        <f aca="false">IF(P125=R125,"Yes","No")</f>
        <v>Yes</v>
      </c>
      <c r="T125" s="2"/>
      <c r="U125" s="27" t="n">
        <f aca="false">IFERROR(SUMIFS($D$5:$D$238,$C$5:$C$238,$C125)/SUMIFS($I$5:$I$238,$C$5:$C$238,$C125),0)</f>
        <v>0.273905996758509</v>
      </c>
      <c r="V125" s="27" t="n">
        <f aca="false">IFERROR(SUMIFS($E$5:$E$238,$C$5:$C$238,$C125)/SUMIFS($I$5:$I$238,$C$5:$C$238,$C125),0)</f>
        <v>0.26742301458671</v>
      </c>
      <c r="W125" s="27" t="n">
        <f aca="false">IFERROR(SUMIFS($F$5:$F$238,$C$5:$C$238,$C125)/SUMIFS($I$5:$I$238,$C$5:$C$238,$C125),0)</f>
        <v>0.00486223662884927</v>
      </c>
      <c r="X125" s="27" t="n">
        <f aca="false">IFERROR(SUMIFS($G$5:$G$238,$C$5:$C$238,$C125)/SUMIFS($I$5:$I$238,$C$5:$C$238,$C125),0)</f>
        <v>0.059967585089141</v>
      </c>
      <c r="Y125" s="27" t="n">
        <f aca="false">IFERROR(SUMIFS($H$5:$H$238,$C$5:$C$238,$C125)/SUMIFS($I$5:$I$238,$C$5:$C$238,$C125),0)</f>
        <v>0.393841166936791</v>
      </c>
      <c r="Z125" s="24" t="n">
        <f aca="false">LN(MAX(I125,1))</f>
        <v>4.31748811353631</v>
      </c>
      <c r="AA125" s="24" t="n">
        <f aca="false">Calibration!$M$35+Calibration!$N$35+SUMPRODUCT(Calibration!$B$35:$F$35,J125:N125)+SUMPRODUCT(Calibration!$G$35:$K$35,U125:Y125)+Calibration!$L$35*Z125</f>
        <v>-0.103329815957293</v>
      </c>
      <c r="AB125" s="24" t="n">
        <f aca="false">Calibration!$M$36+Calibration!$N$36+SUMPRODUCT(Calibration!$B$36:$F$36,J125:N125)+SUMPRODUCT(Calibration!$G$36:$K$36,U125:Y125)+Calibration!$L$36*Z125</f>
        <v>-0.155575540541788</v>
      </c>
      <c r="AC125" s="24" t="n">
        <f aca="false">Calibration!$M$37+Calibration!$N$37+SUMPRODUCT(Calibration!$B$37:$F$37,J125:N125)+SUMPRODUCT(Calibration!$G$37:$K$37,U125:Y125)+Calibration!$L$37*Z125</f>
        <v>1.08390603725543</v>
      </c>
      <c r="AD125" s="27" t="n">
        <f aca="false">EXP(AC125)/(EXP(AA125)+EXP(AB125)+EXP(AC125))</f>
        <v>0.627117454399631</v>
      </c>
      <c r="AE125" s="7" t="str">
        <f aca="false">IF(AC125=MAX(AA125:AC125),"TVK",IF(AB125=MAX(AA125:AC125),"DMK+","AIADMK+"))</f>
        <v>TVK</v>
      </c>
      <c r="AF125" s="7" t="str">
        <f aca="false">IF(AE125=R125,"Yes","No")</f>
        <v>Yes</v>
      </c>
      <c r="AG125" s="7" t="str">
        <f aca="false">IF(AE125=P125,"No","Yes")</f>
        <v>No</v>
      </c>
      <c r="AH125" s="7" t="str">
        <f aca="false">IF(H125=MAX(D125,E125,H125),"TVK",IF(E125=MAX(D125,E125,H125),"DMK+","AIADMK+"))</f>
        <v>TVK</v>
      </c>
      <c r="AI125" s="27" t="n">
        <f aca="false">EXP(AA125)/(EXP(AA125)+EXP(AB125)+EXP(AC125))</f>
        <v>0.191310544942032</v>
      </c>
      <c r="AJ125" s="27" t="n">
        <f aca="false">EXP(AB125)/(EXP(AA125)+EXP(AB125)+EXP(AC125))</f>
        <v>0.181572000658337</v>
      </c>
      <c r="AK125" s="28" t="s">
        <v>3</v>
      </c>
      <c r="AL125" s="7" t="str">
        <f aca="false">IF(AK125=R125,"Yes","No")</f>
        <v>Yes</v>
      </c>
      <c r="AM125" s="27" t="n">
        <f aca="false">IF(AK125="TVK",AD125,IF(AK125="DMK+",AJ125,AI125))</f>
        <v>0.627117454399631</v>
      </c>
      <c r="AN125" s="7" t="str">
        <f aca="false">IF(AK125=P125,"No","Yes")</f>
        <v>No</v>
      </c>
    </row>
    <row r="126" customFormat="false" ht="15" hidden="true" customHeight="false" outlineLevel="0" collapsed="false">
      <c r="A126" s="0" t="n">
        <v>122</v>
      </c>
      <c r="B126" s="4" t="s">
        <v>312</v>
      </c>
      <c r="C126" s="5" t="s">
        <v>98</v>
      </c>
      <c r="D126" s="35" t="n">
        <v>15</v>
      </c>
      <c r="E126" s="35" t="n">
        <v>23</v>
      </c>
      <c r="F126" s="35"/>
      <c r="G126" s="35" t="n">
        <v>3</v>
      </c>
      <c r="H126" s="35" t="n">
        <v>18</v>
      </c>
      <c r="I126" s="5" t="n">
        <f aca="false">SUM(D126:H126)</f>
        <v>59</v>
      </c>
      <c r="J126" s="10" t="n">
        <f aca="false">IF($I126=0,0,D126/$I126)</f>
        <v>0.254237288135593</v>
      </c>
      <c r="K126" s="10" t="n">
        <f aca="false">IF($I126=0,0,E126/$I126)</f>
        <v>0.389830508474576</v>
      </c>
      <c r="L126" s="10" t="n">
        <f aca="false">IF($I126=0,0,F126/$I126)</f>
        <v>0</v>
      </c>
      <c r="M126" s="10" t="n">
        <f aca="false">IF($I126=0,0,G126/$I126)</f>
        <v>0.0508474576271187</v>
      </c>
      <c r="N126" s="10" t="n">
        <f aca="false">IF($I126=0,0,H126/$I126)</f>
        <v>0.305084745762712</v>
      </c>
      <c r="O126" s="35" t="s">
        <v>197</v>
      </c>
      <c r="P126" s="0" t="str">
        <f aca="false">IF(O126="TVK","TVK",IF(O126="DMK","DMK+",IF(O126="ADMK","AIADMK+","")))</f>
        <v>DMK+</v>
      </c>
      <c r="Q126" s="35" t="s">
        <v>3</v>
      </c>
      <c r="R126" s="36" t="s">
        <v>3</v>
      </c>
      <c r="S126" s="0" t="str">
        <f aca="false">IF(P126=R126,"Yes","No")</f>
        <v>No</v>
      </c>
      <c r="T126" s="2"/>
      <c r="U126" s="27" t="n">
        <f aca="false">IFERROR(SUMIFS($D$5:$D$238,$C$5:$C$238,$C126)/SUMIFS($I$5:$I$238,$C$5:$C$238,$C126),0)</f>
        <v>0.273905996758509</v>
      </c>
      <c r="V126" s="27" t="n">
        <f aca="false">IFERROR(SUMIFS($E$5:$E$238,$C$5:$C$238,$C126)/SUMIFS($I$5:$I$238,$C$5:$C$238,$C126),0)</f>
        <v>0.26742301458671</v>
      </c>
      <c r="W126" s="27" t="n">
        <f aca="false">IFERROR(SUMIFS($F$5:$F$238,$C$5:$C$238,$C126)/SUMIFS($I$5:$I$238,$C$5:$C$238,$C126),0)</f>
        <v>0.00486223662884927</v>
      </c>
      <c r="X126" s="27" t="n">
        <f aca="false">IFERROR(SUMIFS($G$5:$G$238,$C$5:$C$238,$C126)/SUMIFS($I$5:$I$238,$C$5:$C$238,$C126),0)</f>
        <v>0.059967585089141</v>
      </c>
      <c r="Y126" s="27" t="n">
        <f aca="false">IFERROR(SUMIFS($H$5:$H$238,$C$5:$C$238,$C126)/SUMIFS($I$5:$I$238,$C$5:$C$238,$C126),0)</f>
        <v>0.393841166936791</v>
      </c>
      <c r="Z126" s="24" t="n">
        <f aca="false">LN(MAX(I126,1))</f>
        <v>4.07753744390572</v>
      </c>
      <c r="AA126" s="24" t="n">
        <f aca="false">Calibration!$M$35+Calibration!$N$35+SUMPRODUCT(Calibration!$B$35:$F$35,J126:N126)+SUMPRODUCT(Calibration!$G$35:$K$35,U126:Y126)+Calibration!$L$35*Z126</f>
        <v>-0.0926977378458602</v>
      </c>
      <c r="AB126" s="24" t="n">
        <f aca="false">Calibration!$M$36+Calibration!$N$36+SUMPRODUCT(Calibration!$B$36:$F$36,J126:N126)+SUMPRODUCT(Calibration!$G$36:$K$36,U126:Y126)+Calibration!$L$36*Z126</f>
        <v>0.212660403805827</v>
      </c>
      <c r="AC126" s="24" t="n">
        <f aca="false">Calibration!$M$37+Calibration!$N$37+SUMPRODUCT(Calibration!$B$37:$F$37,J126:N126)+SUMPRODUCT(Calibration!$G$37:$K$37,U126:Y126)+Calibration!$L$37*Z126</f>
        <v>0.705037906547794</v>
      </c>
      <c r="AD126" s="27" t="n">
        <f aca="false">EXP(AC126)/(EXP(AA126)+EXP(AB126)+EXP(AC126))</f>
        <v>0.485079168323499</v>
      </c>
      <c r="AE126" s="7" t="str">
        <f aca="false">IF(AC126=MAX(AA126:AC126),"TVK",IF(AB126=MAX(AA126:AC126),"DMK+","AIADMK+"))</f>
        <v>TVK</v>
      </c>
      <c r="AF126" s="7" t="str">
        <f aca="false">IF(AE126=R126,"Yes","No")</f>
        <v>Yes</v>
      </c>
      <c r="AG126" s="7" t="str">
        <f aca="false">IF(AE126=P126,"No","Yes")</f>
        <v>Yes</v>
      </c>
      <c r="AH126" s="7" t="str">
        <f aca="false">IF(H126=MAX(D126,E126,H126),"TVK",IF(E126=MAX(D126,E126,H126),"DMK+","AIADMK+"))</f>
        <v>DMK+</v>
      </c>
      <c r="AI126" s="27" t="n">
        <f aca="false">EXP(AA126)/(EXP(AA126)+EXP(AB126)+EXP(AC126))</f>
        <v>0.218454218633959</v>
      </c>
      <c r="AJ126" s="27" t="n">
        <f aca="false">EXP(AB126)/(EXP(AA126)+EXP(AB126)+EXP(AC126))</f>
        <v>0.296466613042542</v>
      </c>
      <c r="AK126" s="28" t="s">
        <v>5</v>
      </c>
      <c r="AL126" s="7" t="str">
        <f aca="false">IF(AK126=R126,"Yes","No")</f>
        <v>No</v>
      </c>
      <c r="AM126" s="27" t="n">
        <f aca="false">IF(AK126="TVK",AD126,IF(AK126="DMK+",AJ126,AI126))</f>
        <v>0.296466613042542</v>
      </c>
      <c r="AN126" s="7" t="str">
        <f aca="false">IF(AK126=P126,"No","Yes")</f>
        <v>No</v>
      </c>
    </row>
    <row r="127" customFormat="false" ht="15" hidden="false" customHeight="false" outlineLevel="0" collapsed="false">
      <c r="A127" s="0" t="n">
        <v>123</v>
      </c>
      <c r="B127" s="4" t="s">
        <v>313</v>
      </c>
      <c r="C127" s="5" t="s">
        <v>98</v>
      </c>
      <c r="D127" s="35" t="n">
        <v>18</v>
      </c>
      <c r="E127" s="35" t="n">
        <v>7</v>
      </c>
      <c r="F127" s="35"/>
      <c r="G127" s="35" t="n">
        <v>2</v>
      </c>
      <c r="H127" s="35" t="n">
        <v>24</v>
      </c>
      <c r="I127" s="5" t="n">
        <f aca="false">SUM(D127:H127)</f>
        <v>51</v>
      </c>
      <c r="J127" s="10" t="n">
        <f aca="false">IF($I127=0,0,D127/$I127)</f>
        <v>0.352941176470588</v>
      </c>
      <c r="K127" s="10" t="n">
        <f aca="false">IF($I127=0,0,E127/$I127)</f>
        <v>0.137254901960784</v>
      </c>
      <c r="L127" s="10" t="n">
        <f aca="false">IF($I127=0,0,F127/$I127)</f>
        <v>0</v>
      </c>
      <c r="M127" s="10" t="n">
        <f aca="false">IF($I127=0,0,G127/$I127)</f>
        <v>0.0392156862745098</v>
      </c>
      <c r="N127" s="10" t="n">
        <f aca="false">IF($I127=0,0,H127/$I127)</f>
        <v>0.470588235294118</v>
      </c>
      <c r="O127" s="35" t="s">
        <v>3</v>
      </c>
      <c r="P127" s="0" t="str">
        <f aca="false">IF(O127="TVK","TVK",IF(O127="DMK","DMK+",IF(O127="ADMK","AIADMK+","")))</f>
        <v>TVK</v>
      </c>
      <c r="Q127" s="35" t="s">
        <v>197</v>
      </c>
      <c r="R127" s="36" t="s">
        <v>5</v>
      </c>
      <c r="S127" s="0" t="str">
        <f aca="false">IF(P127=R127,"Yes","No")</f>
        <v>No</v>
      </c>
      <c r="T127" s="2"/>
      <c r="U127" s="27" t="n">
        <f aca="false">IFERROR(SUMIFS($D$5:$D$238,$C$5:$C$238,$C127)/SUMIFS($I$5:$I$238,$C$5:$C$238,$C127),0)</f>
        <v>0.273905996758509</v>
      </c>
      <c r="V127" s="27" t="n">
        <f aca="false">IFERROR(SUMIFS($E$5:$E$238,$C$5:$C$238,$C127)/SUMIFS($I$5:$I$238,$C$5:$C$238,$C127),0)</f>
        <v>0.26742301458671</v>
      </c>
      <c r="W127" s="27" t="n">
        <f aca="false">IFERROR(SUMIFS($F$5:$F$238,$C$5:$C$238,$C127)/SUMIFS($I$5:$I$238,$C$5:$C$238,$C127),0)</f>
        <v>0.00486223662884927</v>
      </c>
      <c r="X127" s="27" t="n">
        <f aca="false">IFERROR(SUMIFS($G$5:$G$238,$C$5:$C$238,$C127)/SUMIFS($I$5:$I$238,$C$5:$C$238,$C127),0)</f>
        <v>0.059967585089141</v>
      </c>
      <c r="Y127" s="27" t="n">
        <f aca="false">IFERROR(SUMIFS($H$5:$H$238,$C$5:$C$238,$C127)/SUMIFS($I$5:$I$238,$C$5:$C$238,$C127),0)</f>
        <v>0.393841166936791</v>
      </c>
      <c r="Z127" s="24" t="n">
        <f aca="false">LN(MAX(I127,1))</f>
        <v>3.93182563272433</v>
      </c>
      <c r="AA127" s="24" t="n">
        <f aca="false">Calibration!$M$35+Calibration!$N$35+SUMPRODUCT(Calibration!$B$35:$F$35,J127:N127)+SUMPRODUCT(Calibration!$G$35:$K$35,U127:Y127)+Calibration!$L$35*Z127</f>
        <v>0.224924980671043</v>
      </c>
      <c r="AB127" s="24" t="n">
        <f aca="false">Calibration!$M$36+Calibration!$N$36+SUMPRODUCT(Calibration!$B$36:$F$36,J127:N127)+SUMPRODUCT(Calibration!$G$36:$K$36,U127:Y127)+Calibration!$L$36*Z127</f>
        <v>-0.108360179752464</v>
      </c>
      <c r="AC127" s="24" t="n">
        <f aca="false">Calibration!$M$37+Calibration!$N$37+SUMPRODUCT(Calibration!$B$37:$F$37,J127:N127)+SUMPRODUCT(Calibration!$G$37:$K$37,U127:Y127)+Calibration!$L$37*Z127</f>
        <v>0.708435937092671</v>
      </c>
      <c r="AD127" s="27" t="n">
        <f aca="false">EXP(AC127)/(EXP(AA127)+EXP(AB127)+EXP(AC127))</f>
        <v>0.485800137615408</v>
      </c>
      <c r="AE127" s="7" t="str">
        <f aca="false">IF(AC127=MAX(AA127:AC127),"TVK",IF(AB127=MAX(AA127:AC127),"DMK+","AIADMK+"))</f>
        <v>TVK</v>
      </c>
      <c r="AF127" s="7" t="str">
        <f aca="false">IF(AE127=R127,"Yes","No")</f>
        <v>No</v>
      </c>
      <c r="AG127" s="7" t="str">
        <f aca="false">IF(AE127=P127,"No","Yes")</f>
        <v>No</v>
      </c>
      <c r="AH127" s="7" t="str">
        <f aca="false">IF(H127=MAX(D127,E127,H127),"TVK",IF(E127=MAX(D127,E127,H127),"DMK+","AIADMK+"))</f>
        <v>TVK</v>
      </c>
      <c r="AI127" s="27" t="n">
        <f aca="false">EXP(AA127)/(EXP(AA127)+EXP(AB127)+EXP(AC127))</f>
        <v>0.299551496223731</v>
      </c>
      <c r="AJ127" s="27" t="n">
        <f aca="false">EXP(AB127)/(EXP(AA127)+EXP(AB127)+EXP(AC127))</f>
        <v>0.214648366160861</v>
      </c>
      <c r="AK127" s="28" t="s">
        <v>4</v>
      </c>
      <c r="AL127" s="7" t="str">
        <f aca="false">IF(AK127=R127,"Yes","No")</f>
        <v>No</v>
      </c>
      <c r="AM127" s="27" t="n">
        <f aca="false">IF(AK127="TVK",AD127,IF(AK127="DMK+",AJ127,AI127))</f>
        <v>0.299551496223731</v>
      </c>
      <c r="AN127" s="7" t="str">
        <f aca="false">IF(AK127=P127,"No","Yes")</f>
        <v>Yes</v>
      </c>
    </row>
    <row r="128" customFormat="false" ht="15" hidden="false" customHeight="false" outlineLevel="0" collapsed="false">
      <c r="A128" s="0" t="n">
        <v>124</v>
      </c>
      <c r="B128" s="4" t="s">
        <v>314</v>
      </c>
      <c r="C128" s="5" t="s">
        <v>98</v>
      </c>
      <c r="D128" s="35" t="n">
        <v>4</v>
      </c>
      <c r="E128" s="35" t="n">
        <v>2</v>
      </c>
      <c r="F128" s="35"/>
      <c r="G128" s="35" t="n">
        <v>1</v>
      </c>
      <c r="H128" s="35" t="n">
        <v>14</v>
      </c>
      <c r="I128" s="5" t="n">
        <f aca="false">SUM(D128:H128)</f>
        <v>21</v>
      </c>
      <c r="J128" s="10" t="n">
        <f aca="false">IF($I128=0,0,D128/$I128)</f>
        <v>0.19047619047619</v>
      </c>
      <c r="K128" s="10" t="n">
        <f aca="false">IF($I128=0,0,E128/$I128)</f>
        <v>0.0952380952380952</v>
      </c>
      <c r="L128" s="10" t="n">
        <f aca="false">IF($I128=0,0,F128/$I128)</f>
        <v>0</v>
      </c>
      <c r="M128" s="10" t="n">
        <f aca="false">IF($I128=0,0,G128/$I128)</f>
        <v>0.0476190476190476</v>
      </c>
      <c r="N128" s="10" t="n">
        <f aca="false">IF($I128=0,0,H128/$I128)</f>
        <v>0.666666666666667</v>
      </c>
      <c r="O128" s="35" t="s">
        <v>3</v>
      </c>
      <c r="P128" s="0" t="str">
        <f aca="false">IF(O128="TVK","TVK",IF(O128="DMK","DMK+",IF(O128="ADMK","AIADMK+","")))</f>
        <v>TVK</v>
      </c>
      <c r="Q128" s="35" t="s">
        <v>197</v>
      </c>
      <c r="R128" s="36" t="s">
        <v>5</v>
      </c>
      <c r="S128" s="0" t="str">
        <f aca="false">IF(P128=R128,"Yes","No")</f>
        <v>No</v>
      </c>
      <c r="T128" s="2"/>
      <c r="U128" s="27" t="n">
        <f aca="false">IFERROR(SUMIFS($D$5:$D$238,$C$5:$C$238,$C128)/SUMIFS($I$5:$I$238,$C$5:$C$238,$C128),0)</f>
        <v>0.273905996758509</v>
      </c>
      <c r="V128" s="27" t="n">
        <f aca="false">IFERROR(SUMIFS($E$5:$E$238,$C$5:$C$238,$C128)/SUMIFS($I$5:$I$238,$C$5:$C$238,$C128),0)</f>
        <v>0.26742301458671</v>
      </c>
      <c r="W128" s="27" t="n">
        <f aca="false">IFERROR(SUMIFS($F$5:$F$238,$C$5:$C$238,$C128)/SUMIFS($I$5:$I$238,$C$5:$C$238,$C128),0)</f>
        <v>0.00486223662884927</v>
      </c>
      <c r="X128" s="27" t="n">
        <f aca="false">IFERROR(SUMIFS($G$5:$G$238,$C$5:$C$238,$C128)/SUMIFS($I$5:$I$238,$C$5:$C$238,$C128),0)</f>
        <v>0.059967585089141</v>
      </c>
      <c r="Y128" s="27" t="n">
        <f aca="false">IFERROR(SUMIFS($H$5:$H$238,$C$5:$C$238,$C128)/SUMIFS($I$5:$I$238,$C$5:$C$238,$C128),0)</f>
        <v>0.393841166936791</v>
      </c>
      <c r="Z128" s="24" t="n">
        <f aca="false">LN(MAX(I128,1))</f>
        <v>3.04452243772342</v>
      </c>
      <c r="AA128" s="24" t="n">
        <f aca="false">Calibration!$M$35+Calibration!$N$35+SUMPRODUCT(Calibration!$B$35:$F$35,J128:N128)+SUMPRODUCT(Calibration!$G$35:$K$35,U128:Y128)+Calibration!$L$35*Z128</f>
        <v>0.538765262320685</v>
      </c>
      <c r="AB128" s="24" t="n">
        <f aca="false">Calibration!$M$36+Calibration!$N$36+SUMPRODUCT(Calibration!$B$36:$F$36,J128:N128)+SUMPRODUCT(Calibration!$G$36:$K$36,U128:Y128)+Calibration!$L$36*Z128</f>
        <v>0.46432832375408</v>
      </c>
      <c r="AC128" s="24" t="n">
        <f aca="false">Calibration!$M$37+Calibration!$N$37+SUMPRODUCT(Calibration!$B$37:$F$37,J128:N128)+SUMPRODUCT(Calibration!$G$37:$K$37,U128:Y128)+Calibration!$L$37*Z128</f>
        <v>-0.178092651985084</v>
      </c>
      <c r="AD128" s="27" t="n">
        <f aca="false">EXP(AC128)/(EXP(AA128)+EXP(AB128)+EXP(AC128))</f>
        <v>0.202058331367036</v>
      </c>
      <c r="AE128" s="7" t="str">
        <f aca="false">IF(AC128=MAX(AA128:AC128),"TVK",IF(AB128=MAX(AA128:AC128),"DMK+","AIADMK+"))</f>
        <v>AIADMK+</v>
      </c>
      <c r="AF128" s="7" t="str">
        <f aca="false">IF(AE128=R128,"Yes","No")</f>
        <v>No</v>
      </c>
      <c r="AG128" s="7" t="str">
        <f aca="false">IF(AE128=P128,"No","Yes")</f>
        <v>Yes</v>
      </c>
      <c r="AH128" s="7" t="str">
        <f aca="false">IF(H128=MAX(D128,E128,H128),"TVK",IF(E128=MAX(D128,E128,H128),"DMK+","AIADMK+"))</f>
        <v>TVK</v>
      </c>
      <c r="AI128" s="27" t="n">
        <f aca="false">EXP(AA128)/(EXP(AA128)+EXP(AB128)+EXP(AC128))</f>
        <v>0.413813065466837</v>
      </c>
      <c r="AJ128" s="27" t="n">
        <f aca="false">EXP(AB128)/(EXP(AA128)+EXP(AB128)+EXP(AC128))</f>
        <v>0.384128603166127</v>
      </c>
      <c r="AK128" s="28" t="s">
        <v>5</v>
      </c>
      <c r="AL128" s="7" t="str">
        <f aca="false">IF(AK128=R128,"Yes","No")</f>
        <v>Yes</v>
      </c>
      <c r="AM128" s="27" t="n">
        <f aca="false">IF(AK128="TVK",AD128,IF(AK128="DMK+",AJ128,AI128))</f>
        <v>0.384128603166127</v>
      </c>
      <c r="AN128" s="7" t="str">
        <f aca="false">IF(AK128=P128,"No","Yes")</f>
        <v>Yes</v>
      </c>
    </row>
    <row r="129" customFormat="false" ht="15" hidden="false" customHeight="false" outlineLevel="0" collapsed="false">
      <c r="A129" s="0" t="n">
        <v>125</v>
      </c>
      <c r="B129" s="4" t="s">
        <v>315</v>
      </c>
      <c r="C129" s="5" t="s">
        <v>156</v>
      </c>
      <c r="D129" s="35" t="n">
        <v>4</v>
      </c>
      <c r="E129" s="35" t="n">
        <v>6</v>
      </c>
      <c r="F129" s="35"/>
      <c r="G129" s="35" t="n">
        <v>3</v>
      </c>
      <c r="H129" s="35" t="n">
        <v>18</v>
      </c>
      <c r="I129" s="5" t="n">
        <f aca="false">SUM(D129:H129)</f>
        <v>31</v>
      </c>
      <c r="J129" s="10" t="n">
        <f aca="false">IF($I129=0,0,D129/$I129)</f>
        <v>0.129032258064516</v>
      </c>
      <c r="K129" s="10" t="n">
        <f aca="false">IF($I129=0,0,E129/$I129)</f>
        <v>0.193548387096774</v>
      </c>
      <c r="L129" s="10" t="n">
        <f aca="false">IF($I129=0,0,F129/$I129)</f>
        <v>0</v>
      </c>
      <c r="M129" s="10" t="n">
        <f aca="false">IF($I129=0,0,G129/$I129)</f>
        <v>0.0967741935483871</v>
      </c>
      <c r="N129" s="10" t="n">
        <f aca="false">IF($I129=0,0,H129/$I129)</f>
        <v>0.580645161290323</v>
      </c>
      <c r="O129" s="35" t="s">
        <v>3</v>
      </c>
      <c r="P129" s="0" t="str">
        <f aca="false">IF(O129="TVK","TVK",IF(O129="DMK","DMK+",IF(O129="ADMK","AIADMK+","")))</f>
        <v>TVK</v>
      </c>
      <c r="Q129" s="35" t="s">
        <v>197</v>
      </c>
      <c r="R129" s="36" t="s">
        <v>5</v>
      </c>
      <c r="S129" s="0" t="str">
        <f aca="false">IF(P129=R129,"Yes","No")</f>
        <v>No</v>
      </c>
      <c r="T129" s="2"/>
      <c r="U129" s="27" t="n">
        <f aca="false">IFERROR(SUMIFS($D$5:$D$238,$C$5:$C$238,$C129)/SUMIFS($I$5:$I$238,$C$5:$C$238,$C129),0)</f>
        <v>0.275862068965517</v>
      </c>
      <c r="V129" s="27" t="n">
        <f aca="false">IFERROR(SUMIFS($E$5:$E$238,$C$5:$C$238,$C129)/SUMIFS($I$5:$I$238,$C$5:$C$238,$C129),0)</f>
        <v>0.214854111405836</v>
      </c>
      <c r="W129" s="27" t="n">
        <f aca="false">IFERROR(SUMIFS($F$5:$F$238,$C$5:$C$238,$C129)/SUMIFS($I$5:$I$238,$C$5:$C$238,$C129),0)</f>
        <v>0.00530503978779841</v>
      </c>
      <c r="X129" s="27" t="n">
        <f aca="false">IFERROR(SUMIFS($G$5:$G$238,$C$5:$C$238,$C129)/SUMIFS($I$5:$I$238,$C$5:$C$238,$C129),0)</f>
        <v>0.0716180371352785</v>
      </c>
      <c r="Y129" s="27" t="n">
        <f aca="false">IFERROR(SUMIFS($H$5:$H$238,$C$5:$C$238,$C129)/SUMIFS($I$5:$I$238,$C$5:$C$238,$C129),0)</f>
        <v>0.43236074270557</v>
      </c>
      <c r="Z129" s="24" t="n">
        <f aca="false">LN(MAX(I129,1))</f>
        <v>3.43398720448515</v>
      </c>
      <c r="AA129" s="24" t="n">
        <f aca="false">Calibration!$M$35+Calibration!$N$35+SUMPRODUCT(Calibration!$B$35:$F$35,J129:N129)+SUMPRODUCT(Calibration!$G$35:$K$35,U129:Y129)+Calibration!$L$35*Z129</f>
        <v>0.251797666671497</v>
      </c>
      <c r="AB129" s="24" t="n">
        <f aca="false">Calibration!$M$36+Calibration!$N$36+SUMPRODUCT(Calibration!$B$36:$F$36,J129:N129)+SUMPRODUCT(Calibration!$G$36:$K$36,U129:Y129)+Calibration!$L$36*Z129</f>
        <v>0.351931593027126</v>
      </c>
      <c r="AC129" s="24" t="n">
        <f aca="false">Calibration!$M$37+Calibration!$N$37+SUMPRODUCT(Calibration!$B$37:$F$37,J129:N129)+SUMPRODUCT(Calibration!$G$37:$K$37,U129:Y129)+Calibration!$L$37*Z129</f>
        <v>0.221271535800649</v>
      </c>
      <c r="AD129" s="27" t="n">
        <f aca="false">EXP(AC129)/(EXP(AA129)+EXP(AB129)+EXP(AC129))</f>
        <v>0.315399989168649</v>
      </c>
      <c r="AE129" s="7" t="str">
        <f aca="false">IF(AC129=MAX(AA129:AC129),"TVK",IF(AB129=MAX(AA129:AC129),"DMK+","AIADMK+"))</f>
        <v>DMK+</v>
      </c>
      <c r="AF129" s="7" t="str">
        <f aca="false">IF(AE129=R129,"Yes","No")</f>
        <v>Yes</v>
      </c>
      <c r="AG129" s="7" t="str">
        <f aca="false">IF(AE129=P129,"No","Yes")</f>
        <v>Yes</v>
      </c>
      <c r="AH129" s="7" t="str">
        <f aca="false">IF(H129=MAX(D129,E129,H129),"TVK",IF(E129=MAX(D129,E129,H129),"DMK+","AIADMK+"))</f>
        <v>TVK</v>
      </c>
      <c r="AI129" s="27" t="n">
        <f aca="false">EXP(AA129)/(EXP(AA129)+EXP(AB129)+EXP(AC129))</f>
        <v>0.325176389185799</v>
      </c>
      <c r="AJ129" s="27" t="n">
        <f aca="false">EXP(AB129)/(EXP(AA129)+EXP(AB129)+EXP(AC129))</f>
        <v>0.359423621645552</v>
      </c>
      <c r="AK129" s="28" t="s">
        <v>4</v>
      </c>
      <c r="AL129" s="7" t="str">
        <f aca="false">IF(AK129=R129,"Yes","No")</f>
        <v>No</v>
      </c>
      <c r="AM129" s="27" t="n">
        <f aca="false">IF(AK129="TVK",AD129,IF(AK129="DMK+",AJ129,AI129))</f>
        <v>0.325176389185799</v>
      </c>
      <c r="AN129" s="7" t="str">
        <f aca="false">IF(AK129=P129,"No","Yes")</f>
        <v>Yes</v>
      </c>
    </row>
    <row r="130" customFormat="false" ht="15" hidden="false" customHeight="false" outlineLevel="0" collapsed="false">
      <c r="A130" s="0" t="n">
        <v>126</v>
      </c>
      <c r="B130" s="4" t="s">
        <v>316</v>
      </c>
      <c r="C130" s="5" t="s">
        <v>156</v>
      </c>
      <c r="D130" s="35" t="n">
        <v>5</v>
      </c>
      <c r="E130" s="35" t="n">
        <v>7</v>
      </c>
      <c r="F130" s="35" t="n">
        <v>1</v>
      </c>
      <c r="G130" s="35" t="n">
        <v>1</v>
      </c>
      <c r="H130" s="35" t="n">
        <v>12</v>
      </c>
      <c r="I130" s="5" t="n">
        <f aca="false">SUM(D130:H130)</f>
        <v>26</v>
      </c>
      <c r="J130" s="10" t="n">
        <f aca="false">IF($I130=0,0,D130/$I130)</f>
        <v>0.192307692307692</v>
      </c>
      <c r="K130" s="10" t="n">
        <f aca="false">IF($I130=0,0,E130/$I130)</f>
        <v>0.269230769230769</v>
      </c>
      <c r="L130" s="10" t="n">
        <f aca="false">IF($I130=0,0,F130/$I130)</f>
        <v>0.0384615384615385</v>
      </c>
      <c r="M130" s="10" t="n">
        <f aca="false">IF($I130=0,0,G130/$I130)</f>
        <v>0.0384615384615385</v>
      </c>
      <c r="N130" s="10" t="n">
        <f aca="false">IF($I130=0,0,H130/$I130)</f>
        <v>0.461538461538462</v>
      </c>
      <c r="O130" s="35" t="s">
        <v>3</v>
      </c>
      <c r="P130" s="0" t="str">
        <f aca="false">IF(O130="TVK","TVK",IF(O130="DMK","DMK+",IF(O130="ADMK","AIADMK+","")))</f>
        <v>TVK</v>
      </c>
      <c r="Q130" s="35" t="s">
        <v>197</v>
      </c>
      <c r="R130" s="36" t="s">
        <v>5</v>
      </c>
      <c r="S130" s="0" t="str">
        <f aca="false">IF(P130=R130,"Yes","No")</f>
        <v>No</v>
      </c>
      <c r="T130" s="2"/>
      <c r="U130" s="27" t="n">
        <f aca="false">IFERROR(SUMIFS($D$5:$D$238,$C$5:$C$238,$C130)/SUMIFS($I$5:$I$238,$C$5:$C$238,$C130),0)</f>
        <v>0.275862068965517</v>
      </c>
      <c r="V130" s="27" t="n">
        <f aca="false">IFERROR(SUMIFS($E$5:$E$238,$C$5:$C$238,$C130)/SUMIFS($I$5:$I$238,$C$5:$C$238,$C130),0)</f>
        <v>0.214854111405836</v>
      </c>
      <c r="W130" s="27" t="n">
        <f aca="false">IFERROR(SUMIFS($F$5:$F$238,$C$5:$C$238,$C130)/SUMIFS($I$5:$I$238,$C$5:$C$238,$C130),0)</f>
        <v>0.00530503978779841</v>
      </c>
      <c r="X130" s="27" t="n">
        <f aca="false">IFERROR(SUMIFS($G$5:$G$238,$C$5:$C$238,$C130)/SUMIFS($I$5:$I$238,$C$5:$C$238,$C130),0)</f>
        <v>0.0716180371352785</v>
      </c>
      <c r="Y130" s="27" t="n">
        <f aca="false">IFERROR(SUMIFS($H$5:$H$238,$C$5:$C$238,$C130)/SUMIFS($I$5:$I$238,$C$5:$C$238,$C130),0)</f>
        <v>0.43236074270557</v>
      </c>
      <c r="Z130" s="24" t="n">
        <f aca="false">LN(MAX(I130,1))</f>
        <v>3.25809653802148</v>
      </c>
      <c r="AA130" s="24" t="n">
        <f aca="false">Calibration!$M$35+Calibration!$N$35+SUMPRODUCT(Calibration!$B$35:$F$35,J130:N130)+SUMPRODUCT(Calibration!$G$35:$K$35,U130:Y130)+Calibration!$L$35*Z130</f>
        <v>0.367954355616791</v>
      </c>
      <c r="AB130" s="24" t="n">
        <f aca="false">Calibration!$M$36+Calibration!$N$36+SUMPRODUCT(Calibration!$B$36:$F$36,J130:N130)+SUMPRODUCT(Calibration!$G$36:$K$36,U130:Y130)+Calibration!$L$36*Z130</f>
        <v>0.519958362597324</v>
      </c>
      <c r="AC130" s="24" t="n">
        <f aca="false">Calibration!$M$37+Calibration!$N$37+SUMPRODUCT(Calibration!$B$37:$F$37,J130:N130)+SUMPRODUCT(Calibration!$G$37:$K$37,U130:Y130)+Calibration!$L$37*Z130</f>
        <v>-0.0629120418215421</v>
      </c>
      <c r="AD130" s="27" t="n">
        <f aca="false">EXP(AC130)/(EXP(AA130)+EXP(AB130)+EXP(AC130))</f>
        <v>0.230959554330725</v>
      </c>
      <c r="AE130" s="7" t="str">
        <f aca="false">IF(AC130=MAX(AA130:AC130),"TVK",IF(AB130=MAX(AA130:AC130),"DMK+","AIADMK+"))</f>
        <v>DMK+</v>
      </c>
      <c r="AF130" s="7" t="str">
        <f aca="false">IF(AE130=R130,"Yes","No")</f>
        <v>Yes</v>
      </c>
      <c r="AG130" s="7" t="str">
        <f aca="false">IF(AE130=P130,"No","Yes")</f>
        <v>Yes</v>
      </c>
      <c r="AH130" s="7" t="str">
        <f aca="false">IF(H130=MAX(D130,E130,H130),"TVK",IF(E130=MAX(D130,E130,H130),"DMK+","AIADMK+"))</f>
        <v>TVK</v>
      </c>
      <c r="AI130" s="27" t="n">
        <f aca="false">EXP(AA130)/(EXP(AA130)+EXP(AB130)+EXP(AC130))</f>
        <v>0.355352055307663</v>
      </c>
      <c r="AJ130" s="27" t="n">
        <f aca="false">EXP(AB130)/(EXP(AA130)+EXP(AB130)+EXP(AC130))</f>
        <v>0.413688390361612</v>
      </c>
      <c r="AK130" s="28" t="s">
        <v>5</v>
      </c>
      <c r="AL130" s="7" t="str">
        <f aca="false">IF(AK130=R130,"Yes","No")</f>
        <v>Yes</v>
      </c>
      <c r="AM130" s="27" t="n">
        <f aca="false">IF(AK130="TVK",AD130,IF(AK130="DMK+",AJ130,AI130))</f>
        <v>0.413688390361612</v>
      </c>
      <c r="AN130" s="7" t="str">
        <f aca="false">IF(AK130=P130,"No","Yes")</f>
        <v>Yes</v>
      </c>
    </row>
    <row r="131" customFormat="false" ht="15" hidden="false" customHeight="false" outlineLevel="0" collapsed="false">
      <c r="A131" s="0" t="n">
        <v>127</v>
      </c>
      <c r="B131" s="4" t="s">
        <v>317</v>
      </c>
      <c r="C131" s="5" t="s">
        <v>104</v>
      </c>
      <c r="D131" s="35" t="n">
        <v>8</v>
      </c>
      <c r="E131" s="35" t="n">
        <v>5</v>
      </c>
      <c r="F131" s="35"/>
      <c r="G131" s="35" t="n">
        <v>4</v>
      </c>
      <c r="H131" s="35" t="n">
        <v>25</v>
      </c>
      <c r="I131" s="5" t="n">
        <f aca="false">SUM(D131:H131)</f>
        <v>42</v>
      </c>
      <c r="J131" s="10" t="n">
        <f aca="false">IF($I131=0,0,D131/$I131)</f>
        <v>0.19047619047619</v>
      </c>
      <c r="K131" s="10" t="n">
        <f aca="false">IF($I131=0,0,E131/$I131)</f>
        <v>0.119047619047619</v>
      </c>
      <c r="L131" s="10" t="n">
        <f aca="false">IF($I131=0,0,F131/$I131)</f>
        <v>0</v>
      </c>
      <c r="M131" s="10" t="n">
        <f aca="false">IF($I131=0,0,G131/$I131)</f>
        <v>0.0952380952380952</v>
      </c>
      <c r="N131" s="10" t="n">
        <f aca="false">IF($I131=0,0,H131/$I131)</f>
        <v>0.595238095238095</v>
      </c>
      <c r="O131" s="35" t="s">
        <v>3</v>
      </c>
      <c r="P131" s="0" t="str">
        <f aca="false">IF(O131="TVK","TVK",IF(O131="DMK","DMK+",IF(O131="ADMK","AIADMK+","")))</f>
        <v>TVK</v>
      </c>
      <c r="Q131" s="35" t="s">
        <v>196</v>
      </c>
      <c r="R131" s="36" t="s">
        <v>4</v>
      </c>
      <c r="S131" s="0" t="str">
        <f aca="false">IF(P131=R131,"Yes","No")</f>
        <v>No</v>
      </c>
      <c r="T131" s="2"/>
      <c r="U131" s="27" t="n">
        <f aca="false">IFERROR(SUMIFS($D$5:$D$238,$C$5:$C$238,$C131)/SUMIFS($I$5:$I$238,$C$5:$C$238,$C131),0)</f>
        <v>0.214285714285714</v>
      </c>
      <c r="V131" s="27" t="n">
        <f aca="false">IFERROR(SUMIFS($E$5:$E$238,$C$5:$C$238,$C131)/SUMIFS($I$5:$I$238,$C$5:$C$238,$C131),0)</f>
        <v>0.263975155279503</v>
      </c>
      <c r="W131" s="27" t="n">
        <f aca="false">IFERROR(SUMIFS($F$5:$F$238,$C$5:$C$238,$C131)/SUMIFS($I$5:$I$238,$C$5:$C$238,$C131),0)</f>
        <v>0.0062111801242236</v>
      </c>
      <c r="X131" s="27" t="n">
        <f aca="false">IFERROR(SUMIFS($G$5:$G$238,$C$5:$C$238,$C131)/SUMIFS($I$5:$I$238,$C$5:$C$238,$C131),0)</f>
        <v>0.0652173913043478</v>
      </c>
      <c r="Y131" s="27" t="n">
        <f aca="false">IFERROR(SUMIFS($H$5:$H$238,$C$5:$C$238,$C131)/SUMIFS($I$5:$I$238,$C$5:$C$238,$C131),0)</f>
        <v>0.450310559006211</v>
      </c>
      <c r="Z131" s="24" t="n">
        <f aca="false">LN(MAX(I131,1))</f>
        <v>3.73766961828337</v>
      </c>
      <c r="AA131" s="24" t="n">
        <f aca="false">Calibration!$M$35+Calibration!$N$35+SUMPRODUCT(Calibration!$B$35:$F$35,J131:N131)+SUMPRODUCT(Calibration!$G$35:$K$35,U131:Y131)+Calibration!$L$35*Z131</f>
        <v>0.138570907340336</v>
      </c>
      <c r="AB131" s="24" t="n">
        <f aca="false">Calibration!$M$36+Calibration!$N$36+SUMPRODUCT(Calibration!$B$36:$F$36,J131:N131)+SUMPRODUCT(Calibration!$G$36:$K$36,U131:Y131)+Calibration!$L$36*Z131</f>
        <v>0.0736154426675859</v>
      </c>
      <c r="AC131" s="24" t="n">
        <f aca="false">Calibration!$M$37+Calibration!$N$37+SUMPRODUCT(Calibration!$B$37:$F$37,J131:N131)+SUMPRODUCT(Calibration!$G$37:$K$37,U131:Y131)+Calibration!$L$37*Z131</f>
        <v>0.612814509205329</v>
      </c>
      <c r="AD131" s="27" t="n">
        <f aca="false">EXP(AC131)/(EXP(AA131)+EXP(AB131)+EXP(AC131))</f>
        <v>0.45339736811395</v>
      </c>
      <c r="AE131" s="7" t="str">
        <f aca="false">IF(AC131=MAX(AA131:AC131),"TVK",IF(AB131=MAX(AA131:AC131),"DMK+","AIADMK+"))</f>
        <v>TVK</v>
      </c>
      <c r="AF131" s="7" t="str">
        <f aca="false">IF(AE131=R131,"Yes","No")</f>
        <v>No</v>
      </c>
      <c r="AG131" s="7" t="str">
        <f aca="false">IF(AE131=P131,"No","Yes")</f>
        <v>No</v>
      </c>
      <c r="AH131" s="7" t="str">
        <f aca="false">IF(H131=MAX(D131,E131,H131),"TVK",IF(E131=MAX(D131,E131,H131),"DMK+","AIADMK+"))</f>
        <v>TVK</v>
      </c>
      <c r="AI131" s="27" t="n">
        <f aca="false">EXP(AA131)/(EXP(AA131)+EXP(AB131)+EXP(AC131))</f>
        <v>0.282174403362065</v>
      </c>
      <c r="AJ131" s="27" t="n">
        <f aca="false">EXP(AB131)/(EXP(AA131)+EXP(AB131)+EXP(AC131))</f>
        <v>0.264428228523985</v>
      </c>
      <c r="AK131" s="28" t="s">
        <v>4</v>
      </c>
      <c r="AL131" s="7" t="str">
        <f aca="false">IF(AK131=R131,"Yes","No")</f>
        <v>Yes</v>
      </c>
      <c r="AM131" s="27" t="n">
        <f aca="false">IF(AK131="TVK",AD131,IF(AK131="DMK+",AJ131,AI131))</f>
        <v>0.282174403362065</v>
      </c>
      <c r="AN131" s="7" t="str">
        <f aca="false">IF(AK131=P131,"No","Yes")</f>
        <v>Yes</v>
      </c>
    </row>
    <row r="132" customFormat="false" ht="15" hidden="false" customHeight="false" outlineLevel="0" collapsed="false">
      <c r="A132" s="0" t="n">
        <v>128</v>
      </c>
      <c r="B132" s="4" t="s">
        <v>318</v>
      </c>
      <c r="C132" s="5" t="s">
        <v>104</v>
      </c>
      <c r="D132" s="35" t="n">
        <v>17</v>
      </c>
      <c r="E132" s="35" t="n">
        <v>11</v>
      </c>
      <c r="F132" s="35" t="n">
        <v>1</v>
      </c>
      <c r="G132" s="35"/>
      <c r="H132" s="35" t="n">
        <v>20</v>
      </c>
      <c r="I132" s="5" t="n">
        <f aca="false">SUM(D132:H132)</f>
        <v>49</v>
      </c>
      <c r="J132" s="10" t="n">
        <f aca="false">IF($I132=0,0,D132/$I132)</f>
        <v>0.346938775510204</v>
      </c>
      <c r="K132" s="10" t="n">
        <f aca="false">IF($I132=0,0,E132/$I132)</f>
        <v>0.224489795918367</v>
      </c>
      <c r="L132" s="10" t="n">
        <f aca="false">IF($I132=0,0,F132/$I132)</f>
        <v>0.0204081632653061</v>
      </c>
      <c r="M132" s="10" t="n">
        <f aca="false">IF($I132=0,0,G132/$I132)</f>
        <v>0</v>
      </c>
      <c r="N132" s="10" t="n">
        <f aca="false">IF($I132=0,0,H132/$I132)</f>
        <v>0.408163265306122</v>
      </c>
      <c r="O132" s="35" t="s">
        <v>3</v>
      </c>
      <c r="P132" s="0" t="str">
        <f aca="false">IF(O132="TVK","TVK",IF(O132="DMK","DMK+",IF(O132="ADMK","AIADMK+","")))</f>
        <v>TVK</v>
      </c>
      <c r="Q132" s="35" t="s">
        <v>197</v>
      </c>
      <c r="R132" s="36" t="s">
        <v>5</v>
      </c>
      <c r="S132" s="0" t="str">
        <f aca="false">IF(P132=R132,"Yes","No")</f>
        <v>No</v>
      </c>
      <c r="T132" s="2"/>
      <c r="U132" s="27" t="n">
        <f aca="false">IFERROR(SUMIFS($D$5:$D$238,$C$5:$C$238,$C132)/SUMIFS($I$5:$I$238,$C$5:$C$238,$C132),0)</f>
        <v>0.214285714285714</v>
      </c>
      <c r="V132" s="27" t="n">
        <f aca="false">IFERROR(SUMIFS($E$5:$E$238,$C$5:$C$238,$C132)/SUMIFS($I$5:$I$238,$C$5:$C$238,$C132),0)</f>
        <v>0.263975155279503</v>
      </c>
      <c r="W132" s="27" t="n">
        <f aca="false">IFERROR(SUMIFS($F$5:$F$238,$C$5:$C$238,$C132)/SUMIFS($I$5:$I$238,$C$5:$C$238,$C132),0)</f>
        <v>0.0062111801242236</v>
      </c>
      <c r="X132" s="27" t="n">
        <f aca="false">IFERROR(SUMIFS($G$5:$G$238,$C$5:$C$238,$C132)/SUMIFS($I$5:$I$238,$C$5:$C$238,$C132),0)</f>
        <v>0.0652173913043478</v>
      </c>
      <c r="Y132" s="27" t="n">
        <f aca="false">IFERROR(SUMIFS($H$5:$H$238,$C$5:$C$238,$C132)/SUMIFS($I$5:$I$238,$C$5:$C$238,$C132),0)</f>
        <v>0.450310559006211</v>
      </c>
      <c r="Z132" s="24" t="n">
        <f aca="false">LN(MAX(I132,1))</f>
        <v>3.89182029811063</v>
      </c>
      <c r="AA132" s="24" t="n">
        <f aca="false">Calibration!$M$35+Calibration!$N$35+SUMPRODUCT(Calibration!$B$35:$F$35,J132:N132)+SUMPRODUCT(Calibration!$G$35:$K$35,U132:Y132)+Calibration!$L$35*Z132</f>
        <v>0.153161186972188</v>
      </c>
      <c r="AB132" s="24" t="n">
        <f aca="false">Calibration!$M$36+Calibration!$N$36+SUMPRODUCT(Calibration!$B$36:$F$36,J132:N132)+SUMPRODUCT(Calibration!$G$36:$K$36,U132:Y132)+Calibration!$L$36*Z132</f>
        <v>0.0115526287187864</v>
      </c>
      <c r="AC132" s="24" t="n">
        <f aca="false">Calibration!$M$37+Calibration!$N$37+SUMPRODUCT(Calibration!$B$37:$F$37,J132:N132)+SUMPRODUCT(Calibration!$G$37:$K$37,U132:Y132)+Calibration!$L$37*Z132</f>
        <v>0.660286856447446</v>
      </c>
      <c r="AD132" s="27" t="n">
        <f aca="false">EXP(AC132)/(EXP(AA132)+EXP(AB132)+EXP(AC132))</f>
        <v>0.470603500397301</v>
      </c>
      <c r="AE132" s="7" t="str">
        <f aca="false">IF(AC132=MAX(AA132:AC132),"TVK",IF(AB132=MAX(AA132:AC132),"DMK+","AIADMK+"))</f>
        <v>TVK</v>
      </c>
      <c r="AF132" s="7" t="str">
        <f aca="false">IF(AE132=R132,"Yes","No")</f>
        <v>No</v>
      </c>
      <c r="AG132" s="7" t="str">
        <f aca="false">IF(AE132=P132,"No","Yes")</f>
        <v>No</v>
      </c>
      <c r="AH132" s="7" t="str">
        <f aca="false">IF(H132=MAX(D132,E132,H132),"TVK",IF(E132=MAX(D132,E132,H132),"DMK+","AIADMK+"))</f>
        <v>TVK</v>
      </c>
      <c r="AI132" s="27" t="n">
        <f aca="false">EXP(AA132)/(EXP(AA132)+EXP(AB132)+EXP(AC132))</f>
        <v>0.283408762209386</v>
      </c>
      <c r="AJ132" s="27" t="n">
        <f aca="false">EXP(AB132)/(EXP(AA132)+EXP(AB132)+EXP(AC132))</f>
        <v>0.245987737393313</v>
      </c>
      <c r="AK132" s="28" t="s">
        <v>4</v>
      </c>
      <c r="AL132" s="7" t="str">
        <f aca="false">IF(AK132=R132,"Yes","No")</f>
        <v>No</v>
      </c>
      <c r="AM132" s="27" t="n">
        <f aca="false">IF(AK132="TVK",AD132,IF(AK132="DMK+",AJ132,AI132))</f>
        <v>0.283408762209386</v>
      </c>
      <c r="AN132" s="7" t="str">
        <f aca="false">IF(AK132=P132,"No","Yes")</f>
        <v>Yes</v>
      </c>
    </row>
    <row r="133" customFormat="false" ht="15" hidden="true" customHeight="false" outlineLevel="0" collapsed="false">
      <c r="A133" s="0" t="n">
        <v>129</v>
      </c>
      <c r="B133" s="4" t="s">
        <v>319</v>
      </c>
      <c r="C133" s="5" t="s">
        <v>104</v>
      </c>
      <c r="D133" s="35" t="n">
        <v>9</v>
      </c>
      <c r="E133" s="35" t="n">
        <v>24</v>
      </c>
      <c r="F133" s="35"/>
      <c r="G133" s="35" t="n">
        <v>4</v>
      </c>
      <c r="H133" s="35" t="n">
        <v>22</v>
      </c>
      <c r="I133" s="5" t="n">
        <f aca="false">SUM(D133:H133)</f>
        <v>59</v>
      </c>
      <c r="J133" s="10" t="n">
        <f aca="false">IF($I133=0,0,D133/$I133)</f>
        <v>0.152542372881356</v>
      </c>
      <c r="K133" s="10" t="n">
        <f aca="false">IF($I133=0,0,E133/$I133)</f>
        <v>0.406779661016949</v>
      </c>
      <c r="L133" s="10" t="n">
        <f aca="false">IF($I133=0,0,F133/$I133)</f>
        <v>0</v>
      </c>
      <c r="M133" s="10" t="n">
        <f aca="false">IF($I133=0,0,G133/$I133)</f>
        <v>0.0677966101694915</v>
      </c>
      <c r="N133" s="10" t="n">
        <f aca="false">IF($I133=0,0,H133/$I133)</f>
        <v>0.372881355932203</v>
      </c>
      <c r="O133" s="35" t="s">
        <v>197</v>
      </c>
      <c r="P133" s="0" t="str">
        <f aca="false">IF(O133="TVK","TVK",IF(O133="DMK","DMK+",IF(O133="ADMK","AIADMK+","")))</f>
        <v>DMK+</v>
      </c>
      <c r="Q133" s="35" t="s">
        <v>197</v>
      </c>
      <c r="R133" s="36" t="s">
        <v>5</v>
      </c>
      <c r="S133" s="0" t="str">
        <f aca="false">IF(P133=R133,"Yes","No")</f>
        <v>Yes</v>
      </c>
      <c r="T133" s="2"/>
      <c r="U133" s="27" t="n">
        <f aca="false">IFERROR(SUMIFS($D$5:$D$238,$C$5:$C$238,$C133)/SUMIFS($I$5:$I$238,$C$5:$C$238,$C133),0)</f>
        <v>0.214285714285714</v>
      </c>
      <c r="V133" s="27" t="n">
        <f aca="false">IFERROR(SUMIFS($E$5:$E$238,$C$5:$C$238,$C133)/SUMIFS($I$5:$I$238,$C$5:$C$238,$C133),0)</f>
        <v>0.263975155279503</v>
      </c>
      <c r="W133" s="27" t="n">
        <f aca="false">IFERROR(SUMIFS($F$5:$F$238,$C$5:$C$238,$C133)/SUMIFS($I$5:$I$238,$C$5:$C$238,$C133),0)</f>
        <v>0.0062111801242236</v>
      </c>
      <c r="X133" s="27" t="n">
        <f aca="false">IFERROR(SUMIFS($G$5:$G$238,$C$5:$C$238,$C133)/SUMIFS($I$5:$I$238,$C$5:$C$238,$C133),0)</f>
        <v>0.0652173913043478</v>
      </c>
      <c r="Y133" s="27" t="n">
        <f aca="false">IFERROR(SUMIFS($H$5:$H$238,$C$5:$C$238,$C133)/SUMIFS($I$5:$I$238,$C$5:$C$238,$C133),0)</f>
        <v>0.450310559006211</v>
      </c>
      <c r="Z133" s="24" t="n">
        <f aca="false">LN(MAX(I133,1))</f>
        <v>4.07753744390572</v>
      </c>
      <c r="AA133" s="24" t="n">
        <f aca="false">Calibration!$M$35+Calibration!$N$35+SUMPRODUCT(Calibration!$B$35:$F$35,J133:N133)+SUMPRODUCT(Calibration!$G$35:$K$35,U133:Y133)+Calibration!$L$35*Z133</f>
        <v>-0.243012667031104</v>
      </c>
      <c r="AB133" s="24" t="n">
        <f aca="false">Calibration!$M$36+Calibration!$N$36+SUMPRODUCT(Calibration!$B$36:$F$36,J133:N133)+SUMPRODUCT(Calibration!$G$36:$K$36,U133:Y133)+Calibration!$L$36*Z133</f>
        <v>0.27611307976259</v>
      </c>
      <c r="AC133" s="24" t="n">
        <f aca="false">Calibration!$M$37+Calibration!$N$37+SUMPRODUCT(Calibration!$B$37:$F$37,J133:N133)+SUMPRODUCT(Calibration!$G$37:$K$37,U133:Y133)+Calibration!$L$37*Z133</f>
        <v>0.791900224125026</v>
      </c>
      <c r="AD133" s="27" t="n">
        <f aca="false">EXP(AC133)/(EXP(AA133)+EXP(AB133)+EXP(AC133))</f>
        <v>0.512219564722591</v>
      </c>
      <c r="AE133" s="7" t="str">
        <f aca="false">IF(AC133=MAX(AA133:AC133),"TVK",IF(AB133=MAX(AA133:AC133),"DMK+","AIADMK+"))</f>
        <v>TVK</v>
      </c>
      <c r="AF133" s="7" t="str">
        <f aca="false">IF(AE133=R133,"Yes","No")</f>
        <v>No</v>
      </c>
      <c r="AG133" s="7" t="str">
        <f aca="false">IF(AE133=P133,"No","Yes")</f>
        <v>Yes</v>
      </c>
      <c r="AH133" s="7" t="str">
        <f aca="false">IF(H133=MAX(D133,E133,H133),"TVK",IF(E133=MAX(D133,E133,H133),"DMK+","AIADMK+"))</f>
        <v>DMK+</v>
      </c>
      <c r="AI133" s="27" t="n">
        <f aca="false">EXP(AA133)/(EXP(AA133)+EXP(AB133)+EXP(AC133))</f>
        <v>0.181969752699768</v>
      </c>
      <c r="AJ133" s="27" t="n">
        <f aca="false">EXP(AB133)/(EXP(AA133)+EXP(AB133)+EXP(AC133))</f>
        <v>0.305810682577641</v>
      </c>
      <c r="AK133" s="28" t="s">
        <v>5</v>
      </c>
      <c r="AL133" s="7" t="str">
        <f aca="false">IF(AK133=R133,"Yes","No")</f>
        <v>Yes</v>
      </c>
      <c r="AM133" s="27" t="n">
        <f aca="false">IF(AK133="TVK",AD133,IF(AK133="DMK+",AJ133,AI133))</f>
        <v>0.305810682577641</v>
      </c>
      <c r="AN133" s="7" t="str">
        <f aca="false">IF(AK133=P133,"No","Yes")</f>
        <v>No</v>
      </c>
    </row>
    <row r="134" customFormat="false" ht="15" hidden="false" customHeight="false" outlineLevel="0" collapsed="false">
      <c r="A134" s="0" t="n">
        <v>130</v>
      </c>
      <c r="B134" s="4" t="s">
        <v>320</v>
      </c>
      <c r="C134" s="5" t="s">
        <v>104</v>
      </c>
      <c r="D134" s="35" t="n">
        <v>6</v>
      </c>
      <c r="E134" s="35" t="n">
        <v>7</v>
      </c>
      <c r="F134" s="35"/>
      <c r="G134" s="35" t="n">
        <v>3</v>
      </c>
      <c r="H134" s="35" t="n">
        <v>16</v>
      </c>
      <c r="I134" s="5" t="n">
        <f aca="false">SUM(D134:H134)</f>
        <v>32</v>
      </c>
      <c r="J134" s="10" t="n">
        <f aca="false">IF($I134=0,0,D134/$I134)</f>
        <v>0.1875</v>
      </c>
      <c r="K134" s="10" t="n">
        <f aca="false">IF($I134=0,0,E134/$I134)</f>
        <v>0.21875</v>
      </c>
      <c r="L134" s="10" t="n">
        <f aca="false">IF($I134=0,0,F134/$I134)</f>
        <v>0</v>
      </c>
      <c r="M134" s="10" t="n">
        <f aca="false">IF($I134=0,0,G134/$I134)</f>
        <v>0.09375</v>
      </c>
      <c r="N134" s="10" t="n">
        <f aca="false">IF($I134=0,0,H134/$I134)</f>
        <v>0.5</v>
      </c>
      <c r="O134" s="35" t="s">
        <v>3</v>
      </c>
      <c r="P134" s="0" t="str">
        <f aca="false">IF(O134="TVK","TVK",IF(O134="DMK","DMK+",IF(O134="ADMK","AIADMK+","")))</f>
        <v>TVK</v>
      </c>
      <c r="Q134" s="35" t="s">
        <v>3</v>
      </c>
      <c r="R134" s="36" t="s">
        <v>3</v>
      </c>
      <c r="S134" s="0" t="str">
        <f aca="false">IF(P134=R134,"Yes","No")</f>
        <v>Yes</v>
      </c>
      <c r="T134" s="2"/>
      <c r="U134" s="27" t="n">
        <f aca="false">IFERROR(SUMIFS($D$5:$D$238,$C$5:$C$238,$C134)/SUMIFS($I$5:$I$238,$C$5:$C$238,$C134),0)</f>
        <v>0.214285714285714</v>
      </c>
      <c r="V134" s="27" t="n">
        <f aca="false">IFERROR(SUMIFS($E$5:$E$238,$C$5:$C$238,$C134)/SUMIFS($I$5:$I$238,$C$5:$C$238,$C134),0)</f>
        <v>0.263975155279503</v>
      </c>
      <c r="W134" s="27" t="n">
        <f aca="false">IFERROR(SUMIFS($F$5:$F$238,$C$5:$C$238,$C134)/SUMIFS($I$5:$I$238,$C$5:$C$238,$C134),0)</f>
        <v>0.0062111801242236</v>
      </c>
      <c r="X134" s="27" t="n">
        <f aca="false">IFERROR(SUMIFS($G$5:$G$238,$C$5:$C$238,$C134)/SUMIFS($I$5:$I$238,$C$5:$C$238,$C134),0)</f>
        <v>0.0652173913043478</v>
      </c>
      <c r="Y134" s="27" t="n">
        <f aca="false">IFERROR(SUMIFS($H$5:$H$238,$C$5:$C$238,$C134)/SUMIFS($I$5:$I$238,$C$5:$C$238,$C134),0)</f>
        <v>0.450310559006211</v>
      </c>
      <c r="Z134" s="24" t="n">
        <f aca="false">LN(MAX(I134,1))</f>
        <v>3.46573590279973</v>
      </c>
      <c r="AA134" s="24" t="n">
        <f aca="false">Calibration!$M$35+Calibration!$N$35+SUMPRODUCT(Calibration!$B$35:$F$35,J134:N134)+SUMPRODUCT(Calibration!$G$35:$K$35,U134:Y134)+Calibration!$L$35*Z134</f>
        <v>0.222768337905852</v>
      </c>
      <c r="AB134" s="24" t="n">
        <f aca="false">Calibration!$M$36+Calibration!$N$36+SUMPRODUCT(Calibration!$B$36:$F$36,J134:N134)+SUMPRODUCT(Calibration!$G$36:$K$36,U134:Y134)+Calibration!$L$36*Z134</f>
        <v>0.383501340931867</v>
      </c>
      <c r="AC134" s="24" t="n">
        <f aca="false">Calibration!$M$37+Calibration!$N$37+SUMPRODUCT(Calibration!$B$37:$F$37,J134:N134)+SUMPRODUCT(Calibration!$G$37:$K$37,U134:Y134)+Calibration!$L$37*Z134</f>
        <v>0.218731085137437</v>
      </c>
      <c r="AD134" s="27" t="n">
        <f aca="false">EXP(AC134)/(EXP(AA134)+EXP(AB134)+EXP(AC134))</f>
        <v>0.31415248087162</v>
      </c>
      <c r="AE134" s="7" t="str">
        <f aca="false">IF(AC134=MAX(AA134:AC134),"TVK",IF(AB134=MAX(AA134:AC134),"DMK+","AIADMK+"))</f>
        <v>DMK+</v>
      </c>
      <c r="AF134" s="7" t="str">
        <f aca="false">IF(AE134=R134,"Yes","No")</f>
        <v>No</v>
      </c>
      <c r="AG134" s="7" t="str">
        <f aca="false">IF(AE134=P134,"No","Yes")</f>
        <v>Yes</v>
      </c>
      <c r="AH134" s="7" t="str">
        <f aca="false">IF(H134=MAX(D134,E134,H134),"TVK",IF(E134=MAX(D134,E134,H134),"DMK+","AIADMK+"))</f>
        <v>TVK</v>
      </c>
      <c r="AI134" s="27" t="n">
        <f aca="false">EXP(AA134)/(EXP(AA134)+EXP(AB134)+EXP(AC134))</f>
        <v>0.315423357543694</v>
      </c>
      <c r="AJ134" s="27" t="n">
        <f aca="false">EXP(AB134)/(EXP(AA134)+EXP(AB134)+EXP(AC134))</f>
        <v>0.370424161584686</v>
      </c>
      <c r="AK134" s="28" t="s">
        <v>5</v>
      </c>
      <c r="AL134" s="7" t="str">
        <f aca="false">IF(AK134=R134,"Yes","No")</f>
        <v>No</v>
      </c>
      <c r="AM134" s="27" t="n">
        <f aca="false">IF(AK134="TVK",AD134,IF(AK134="DMK+",AJ134,AI134))</f>
        <v>0.370424161584686</v>
      </c>
      <c r="AN134" s="7" t="str">
        <f aca="false">IF(AK134=P134,"No","Yes")</f>
        <v>Yes</v>
      </c>
    </row>
    <row r="135" customFormat="false" ht="15" hidden="true" customHeight="false" outlineLevel="0" collapsed="false">
      <c r="A135" s="0" t="n">
        <v>131</v>
      </c>
      <c r="B135" s="4" t="s">
        <v>321</v>
      </c>
      <c r="C135" s="5" t="s">
        <v>104</v>
      </c>
      <c r="D135" s="35" t="n">
        <v>3</v>
      </c>
      <c r="E135" s="35" t="n">
        <v>11</v>
      </c>
      <c r="F135" s="35"/>
      <c r="G135" s="35" t="n">
        <v>4</v>
      </c>
      <c r="H135" s="35" t="n">
        <v>10</v>
      </c>
      <c r="I135" s="5" t="n">
        <f aca="false">SUM(D135:H135)</f>
        <v>28</v>
      </c>
      <c r="J135" s="10" t="n">
        <f aca="false">IF($I135=0,0,D135/$I135)</f>
        <v>0.107142857142857</v>
      </c>
      <c r="K135" s="10" t="n">
        <f aca="false">IF($I135=0,0,E135/$I135)</f>
        <v>0.392857142857143</v>
      </c>
      <c r="L135" s="10" t="n">
        <f aca="false">IF($I135=0,0,F135/$I135)</f>
        <v>0</v>
      </c>
      <c r="M135" s="10" t="n">
        <f aca="false">IF($I135=0,0,G135/$I135)</f>
        <v>0.142857142857143</v>
      </c>
      <c r="N135" s="10" t="n">
        <f aca="false">IF($I135=0,0,H135/$I135)</f>
        <v>0.357142857142857</v>
      </c>
      <c r="O135" s="35" t="s">
        <v>197</v>
      </c>
      <c r="P135" s="0" t="str">
        <f aca="false">IF(O135="TVK","TVK",IF(O135="DMK","DMK+",IF(O135="ADMK","AIADMK+","")))</f>
        <v>DMK+</v>
      </c>
      <c r="Q135" s="35" t="s">
        <v>196</v>
      </c>
      <c r="R135" s="36" t="s">
        <v>4</v>
      </c>
      <c r="S135" s="0" t="str">
        <f aca="false">IF(P135=R135,"Yes","No")</f>
        <v>No</v>
      </c>
      <c r="T135" s="2"/>
      <c r="U135" s="27" t="n">
        <f aca="false">IFERROR(SUMIFS($D$5:$D$238,$C$5:$C$238,$C135)/SUMIFS($I$5:$I$238,$C$5:$C$238,$C135),0)</f>
        <v>0.214285714285714</v>
      </c>
      <c r="V135" s="27" t="n">
        <f aca="false">IFERROR(SUMIFS($E$5:$E$238,$C$5:$C$238,$C135)/SUMIFS($I$5:$I$238,$C$5:$C$238,$C135),0)</f>
        <v>0.263975155279503</v>
      </c>
      <c r="W135" s="27" t="n">
        <f aca="false">IFERROR(SUMIFS($F$5:$F$238,$C$5:$C$238,$C135)/SUMIFS($I$5:$I$238,$C$5:$C$238,$C135),0)</f>
        <v>0.0062111801242236</v>
      </c>
      <c r="X135" s="27" t="n">
        <f aca="false">IFERROR(SUMIFS($G$5:$G$238,$C$5:$C$238,$C135)/SUMIFS($I$5:$I$238,$C$5:$C$238,$C135),0)</f>
        <v>0.0652173913043478</v>
      </c>
      <c r="Y135" s="27" t="n">
        <f aca="false">IFERROR(SUMIFS($H$5:$H$238,$C$5:$C$238,$C135)/SUMIFS($I$5:$I$238,$C$5:$C$238,$C135),0)</f>
        <v>0.450310559006211</v>
      </c>
      <c r="Z135" s="24" t="n">
        <f aca="false">LN(MAX(I135,1))</f>
        <v>3.3322045101752</v>
      </c>
      <c r="AA135" s="24" t="n">
        <f aca="false">Calibration!$M$35+Calibration!$N$35+SUMPRODUCT(Calibration!$B$35:$F$35,J135:N135)+SUMPRODUCT(Calibration!$G$35:$K$35,U135:Y135)+Calibration!$L$35*Z135</f>
        <v>0.121976415771327</v>
      </c>
      <c r="AB135" s="24" t="n">
        <f aca="false">Calibration!$M$36+Calibration!$N$36+SUMPRODUCT(Calibration!$B$36:$F$36,J135:N135)+SUMPRODUCT(Calibration!$G$36:$K$36,U135:Y135)+Calibration!$L$36*Z135</f>
        <v>0.774861119576416</v>
      </c>
      <c r="AC135" s="24" t="n">
        <f aca="false">Calibration!$M$37+Calibration!$N$37+SUMPRODUCT(Calibration!$B$37:$F$37,J135:N135)+SUMPRODUCT(Calibration!$G$37:$K$37,U135:Y135)+Calibration!$L$37*Z135</f>
        <v>-0.0718369142297322</v>
      </c>
      <c r="AD135" s="27" t="n">
        <f aca="false">EXP(AC135)/(EXP(AA135)+EXP(AB135)+EXP(AC135))</f>
        <v>0.21998309610083</v>
      </c>
      <c r="AE135" s="7" t="str">
        <f aca="false">IF(AC135=MAX(AA135:AC135),"TVK",IF(AB135=MAX(AA135:AC135),"DMK+","AIADMK+"))</f>
        <v>DMK+</v>
      </c>
      <c r="AF135" s="7" t="str">
        <f aca="false">IF(AE135=R135,"Yes","No")</f>
        <v>No</v>
      </c>
      <c r="AG135" s="7" t="str">
        <f aca="false">IF(AE135=P135,"No","Yes")</f>
        <v>No</v>
      </c>
      <c r="AH135" s="7" t="str">
        <f aca="false">IF(H135=MAX(D135,E135,H135),"TVK",IF(E135=MAX(D135,E135,H135),"DMK+","AIADMK+"))</f>
        <v>DMK+</v>
      </c>
      <c r="AI135" s="27" t="n">
        <f aca="false">EXP(AA135)/(EXP(AA135)+EXP(AB135)+EXP(AC135))</f>
        <v>0.26703080799585</v>
      </c>
      <c r="AJ135" s="27" t="n">
        <f aca="false">EXP(AB135)/(EXP(AA135)+EXP(AB135)+EXP(AC135))</f>
        <v>0.51298609590332</v>
      </c>
      <c r="AK135" s="28" t="s">
        <v>5</v>
      </c>
      <c r="AL135" s="7" t="str">
        <f aca="false">IF(AK135=R135,"Yes","No")</f>
        <v>No</v>
      </c>
      <c r="AM135" s="27" t="n">
        <f aca="false">IF(AK135="TVK",AD135,IF(AK135="DMK+",AJ135,AI135))</f>
        <v>0.51298609590332</v>
      </c>
      <c r="AN135" s="7" t="str">
        <f aca="false">IF(AK135=P135,"No","Yes")</f>
        <v>No</v>
      </c>
    </row>
    <row r="136" customFormat="false" ht="15" hidden="false" customHeight="false" outlineLevel="0" collapsed="false">
      <c r="A136" s="0" t="n">
        <v>132</v>
      </c>
      <c r="B136" s="4" t="s">
        <v>104</v>
      </c>
      <c r="C136" s="5" t="s">
        <v>104</v>
      </c>
      <c r="D136" s="35" t="n">
        <v>17</v>
      </c>
      <c r="E136" s="35" t="n">
        <v>14</v>
      </c>
      <c r="F136" s="35" t="n">
        <v>1</v>
      </c>
      <c r="G136" s="35" t="n">
        <v>2</v>
      </c>
      <c r="H136" s="35" t="n">
        <v>34</v>
      </c>
      <c r="I136" s="5" t="n">
        <f aca="false">SUM(D136:H136)</f>
        <v>68</v>
      </c>
      <c r="J136" s="10" t="n">
        <f aca="false">IF($I136=0,0,D136/$I136)</f>
        <v>0.25</v>
      </c>
      <c r="K136" s="10" t="n">
        <f aca="false">IF($I136=0,0,E136/$I136)</f>
        <v>0.205882352941176</v>
      </c>
      <c r="L136" s="10" t="n">
        <f aca="false">IF($I136=0,0,F136/$I136)</f>
        <v>0.0147058823529412</v>
      </c>
      <c r="M136" s="10" t="n">
        <f aca="false">IF($I136=0,0,G136/$I136)</f>
        <v>0.0294117647058824</v>
      </c>
      <c r="N136" s="10" t="n">
        <f aca="false">IF($I136=0,0,H136/$I136)</f>
        <v>0.5</v>
      </c>
      <c r="O136" s="35" t="s">
        <v>3</v>
      </c>
      <c r="P136" s="0" t="str">
        <f aca="false">IF(O136="TVK","TVK",IF(O136="DMK","DMK+",IF(O136="ADMK","AIADMK+","")))</f>
        <v>TVK</v>
      </c>
      <c r="Q136" s="35" t="s">
        <v>197</v>
      </c>
      <c r="R136" s="36" t="s">
        <v>5</v>
      </c>
      <c r="S136" s="0" t="str">
        <f aca="false">IF(P136=R136,"Yes","No")</f>
        <v>No</v>
      </c>
      <c r="T136" s="2"/>
      <c r="U136" s="27" t="n">
        <f aca="false">IFERROR(SUMIFS($D$5:$D$238,$C$5:$C$238,$C136)/SUMIFS($I$5:$I$238,$C$5:$C$238,$C136),0)</f>
        <v>0.214285714285714</v>
      </c>
      <c r="V136" s="27" t="n">
        <f aca="false">IFERROR(SUMIFS($E$5:$E$238,$C$5:$C$238,$C136)/SUMIFS($I$5:$I$238,$C$5:$C$238,$C136),0)</f>
        <v>0.263975155279503</v>
      </c>
      <c r="W136" s="27" t="n">
        <f aca="false">IFERROR(SUMIFS($F$5:$F$238,$C$5:$C$238,$C136)/SUMIFS($I$5:$I$238,$C$5:$C$238,$C136),0)</f>
        <v>0.0062111801242236</v>
      </c>
      <c r="X136" s="27" t="n">
        <f aca="false">IFERROR(SUMIFS($G$5:$G$238,$C$5:$C$238,$C136)/SUMIFS($I$5:$I$238,$C$5:$C$238,$C136),0)</f>
        <v>0.0652173913043478</v>
      </c>
      <c r="Y136" s="27" t="n">
        <f aca="false">IFERROR(SUMIFS($H$5:$H$238,$C$5:$C$238,$C136)/SUMIFS($I$5:$I$238,$C$5:$C$238,$C136),0)</f>
        <v>0.450310559006211</v>
      </c>
      <c r="Z136" s="24" t="n">
        <f aca="false">LN(MAX(I136,1))</f>
        <v>4.21950770517611</v>
      </c>
      <c r="AA136" s="24" t="n">
        <f aca="false">Calibration!$M$35+Calibration!$N$35+SUMPRODUCT(Calibration!$B$35:$F$35,J136:N136)+SUMPRODUCT(Calibration!$G$35:$K$35,U136:Y136)+Calibration!$L$35*Z136</f>
        <v>-0.107274279043581</v>
      </c>
      <c r="AB136" s="24" t="n">
        <f aca="false">Calibration!$M$36+Calibration!$N$36+SUMPRODUCT(Calibration!$B$36:$F$36,J136:N136)+SUMPRODUCT(Calibration!$G$36:$K$36,U136:Y136)+Calibration!$L$36*Z136</f>
        <v>-0.157556650736849</v>
      </c>
      <c r="AC136" s="24" t="n">
        <f aca="false">Calibration!$M$37+Calibration!$N$37+SUMPRODUCT(Calibration!$B$37:$F$37,J136:N136)+SUMPRODUCT(Calibration!$G$37:$K$37,U136:Y136)+Calibration!$L$37*Z136</f>
        <v>1.08983169375559</v>
      </c>
      <c r="AD136" s="27" t="n">
        <f aca="false">EXP(AC136)/(EXP(AA136)+EXP(AB136)+EXP(AC136))</f>
        <v>0.629199448057287</v>
      </c>
      <c r="AE136" s="7" t="str">
        <f aca="false">IF(AC136=MAX(AA136:AC136),"TVK",IF(AB136=MAX(AA136:AC136),"DMK+","AIADMK+"))</f>
        <v>TVK</v>
      </c>
      <c r="AF136" s="7" t="str">
        <f aca="false">IF(AE136=R136,"Yes","No")</f>
        <v>No</v>
      </c>
      <c r="AG136" s="7" t="str">
        <f aca="false">IF(AE136=P136,"No","Yes")</f>
        <v>No</v>
      </c>
      <c r="AH136" s="7" t="str">
        <f aca="false">IF(H136=MAX(D136,E136,H136),"TVK",IF(E136=MAX(D136,E136,H136),"DMK+","AIADMK+"))</f>
        <v>TVK</v>
      </c>
      <c r="AI136" s="27" t="n">
        <f aca="false">EXP(AA136)/(EXP(AA136)+EXP(AB136)+EXP(AC136))</f>
        <v>0.190060476934869</v>
      </c>
      <c r="AJ136" s="27" t="n">
        <f aca="false">EXP(AB136)/(EXP(AA136)+EXP(AB136)+EXP(AC136))</f>
        <v>0.180740075007843</v>
      </c>
      <c r="AK136" s="28" t="s">
        <v>3</v>
      </c>
      <c r="AL136" s="7" t="str">
        <f aca="false">IF(AK136=R136,"Yes","No")</f>
        <v>No</v>
      </c>
      <c r="AM136" s="27" t="n">
        <f aca="false">IF(AK136="TVK",AD136,IF(AK136="DMK+",AJ136,AI136))</f>
        <v>0.629199448057287</v>
      </c>
      <c r="AN136" s="7" t="str">
        <f aca="false">IF(AK136=P136,"No","Yes")</f>
        <v>No</v>
      </c>
    </row>
    <row r="137" customFormat="false" ht="15" hidden="false" customHeight="false" outlineLevel="0" collapsed="false">
      <c r="A137" s="0" t="n">
        <v>133</v>
      </c>
      <c r="B137" s="4" t="s">
        <v>322</v>
      </c>
      <c r="C137" s="5" t="s">
        <v>104</v>
      </c>
      <c r="D137" s="35" t="n">
        <v>9</v>
      </c>
      <c r="E137" s="35" t="n">
        <v>13</v>
      </c>
      <c r="F137" s="35"/>
      <c r="G137" s="35" t="n">
        <v>4</v>
      </c>
      <c r="H137" s="35" t="n">
        <v>18</v>
      </c>
      <c r="I137" s="5" t="n">
        <f aca="false">SUM(D137:H137)</f>
        <v>44</v>
      </c>
      <c r="J137" s="10" t="n">
        <f aca="false">IF($I137=0,0,D137/$I137)</f>
        <v>0.204545454545455</v>
      </c>
      <c r="K137" s="10" t="n">
        <f aca="false">IF($I137=0,0,E137/$I137)</f>
        <v>0.295454545454545</v>
      </c>
      <c r="L137" s="10" t="n">
        <f aca="false">IF($I137=0,0,F137/$I137)</f>
        <v>0</v>
      </c>
      <c r="M137" s="10" t="n">
        <f aca="false">IF($I137=0,0,G137/$I137)</f>
        <v>0.0909090909090909</v>
      </c>
      <c r="N137" s="10" t="n">
        <f aca="false">IF($I137=0,0,H137/$I137)</f>
        <v>0.409090909090909</v>
      </c>
      <c r="O137" s="35" t="s">
        <v>3</v>
      </c>
      <c r="P137" s="0" t="str">
        <f aca="false">IF(O137="TVK","TVK",IF(O137="DMK","DMK+",IF(O137="ADMK","AIADMK+","")))</f>
        <v>TVK</v>
      </c>
      <c r="Q137" s="35" t="s">
        <v>197</v>
      </c>
      <c r="R137" s="36" t="s">
        <v>5</v>
      </c>
      <c r="S137" s="0" t="str">
        <f aca="false">IF(P137=R137,"Yes","No")</f>
        <v>No</v>
      </c>
      <c r="T137" s="2"/>
      <c r="U137" s="27" t="n">
        <f aca="false">IFERROR(SUMIFS($D$5:$D$238,$C$5:$C$238,$C137)/SUMIFS($I$5:$I$238,$C$5:$C$238,$C137),0)</f>
        <v>0.214285714285714</v>
      </c>
      <c r="V137" s="27" t="n">
        <f aca="false">IFERROR(SUMIFS($E$5:$E$238,$C$5:$C$238,$C137)/SUMIFS($I$5:$I$238,$C$5:$C$238,$C137),0)</f>
        <v>0.263975155279503</v>
      </c>
      <c r="W137" s="27" t="n">
        <f aca="false">IFERROR(SUMIFS($F$5:$F$238,$C$5:$C$238,$C137)/SUMIFS($I$5:$I$238,$C$5:$C$238,$C137),0)</f>
        <v>0.0062111801242236</v>
      </c>
      <c r="X137" s="27" t="n">
        <f aca="false">IFERROR(SUMIFS($G$5:$G$238,$C$5:$C$238,$C137)/SUMIFS($I$5:$I$238,$C$5:$C$238,$C137),0)</f>
        <v>0.0652173913043478</v>
      </c>
      <c r="Y137" s="27" t="n">
        <f aca="false">IFERROR(SUMIFS($H$5:$H$238,$C$5:$C$238,$C137)/SUMIFS($I$5:$I$238,$C$5:$C$238,$C137),0)</f>
        <v>0.450310559006211</v>
      </c>
      <c r="Z137" s="24" t="n">
        <f aca="false">LN(MAX(I137,1))</f>
        <v>3.78418963391826</v>
      </c>
      <c r="AA137" s="24" t="n">
        <f aca="false">Calibration!$M$35+Calibration!$N$35+SUMPRODUCT(Calibration!$B$35:$F$35,J137:N137)+SUMPRODUCT(Calibration!$G$35:$K$35,U137:Y137)+Calibration!$L$35*Z137</f>
        <v>0.032147393372655</v>
      </c>
      <c r="AB137" s="24" t="n">
        <f aca="false">Calibration!$M$36+Calibration!$N$36+SUMPRODUCT(Calibration!$B$36:$F$36,J137:N137)+SUMPRODUCT(Calibration!$G$36:$K$36,U137:Y137)+Calibration!$L$36*Z137</f>
        <v>0.285428217154729</v>
      </c>
      <c r="AC137" s="24" t="n">
        <f aca="false">Calibration!$M$37+Calibration!$N$37+SUMPRODUCT(Calibration!$B$37:$F$37,J137:N137)+SUMPRODUCT(Calibration!$G$37:$K$37,U137:Y137)+Calibration!$L$37*Z137</f>
        <v>0.507425062538681</v>
      </c>
      <c r="AD137" s="27" t="n">
        <f aca="false">EXP(AC137)/(EXP(AA137)+EXP(AB137)+EXP(AC137))</f>
        <v>0.412774496739565</v>
      </c>
      <c r="AE137" s="7" t="str">
        <f aca="false">IF(AC137=MAX(AA137:AC137),"TVK",IF(AB137=MAX(AA137:AC137),"DMK+","AIADMK+"))</f>
        <v>TVK</v>
      </c>
      <c r="AF137" s="7" t="str">
        <f aca="false">IF(AE137=R137,"Yes","No")</f>
        <v>No</v>
      </c>
      <c r="AG137" s="7" t="str">
        <f aca="false">IF(AE137=P137,"No","Yes")</f>
        <v>No</v>
      </c>
      <c r="AH137" s="7" t="str">
        <f aca="false">IF(H137=MAX(D137,E137,H137),"TVK",IF(E137=MAX(D137,E137,H137),"DMK+","AIADMK+"))</f>
        <v>TVK</v>
      </c>
      <c r="AI137" s="27" t="n">
        <f aca="false">EXP(AA137)/(EXP(AA137)+EXP(AB137)+EXP(AC137))</f>
        <v>0.256627023906588</v>
      </c>
      <c r="AJ137" s="27" t="n">
        <f aca="false">EXP(AB137)/(EXP(AA137)+EXP(AB137)+EXP(AC137))</f>
        <v>0.330598479353847</v>
      </c>
      <c r="AK137" s="28" t="s">
        <v>5</v>
      </c>
      <c r="AL137" s="7" t="str">
        <f aca="false">IF(AK137=R137,"Yes","No")</f>
        <v>Yes</v>
      </c>
      <c r="AM137" s="27" t="n">
        <f aca="false">IF(AK137="TVK",AD137,IF(AK137="DMK+",AJ137,AI137))</f>
        <v>0.330598479353847</v>
      </c>
      <c r="AN137" s="7" t="str">
        <f aca="false">IF(AK137=P137,"No","Yes")</f>
        <v>Yes</v>
      </c>
    </row>
    <row r="138" customFormat="false" ht="15" hidden="false" customHeight="false" outlineLevel="0" collapsed="false">
      <c r="A138" s="0" t="n">
        <v>134</v>
      </c>
      <c r="B138" s="4" t="s">
        <v>323</v>
      </c>
      <c r="C138" s="5" t="s">
        <v>114</v>
      </c>
      <c r="D138" s="35" t="n">
        <v>9</v>
      </c>
      <c r="E138" s="35" t="n">
        <v>9</v>
      </c>
      <c r="F138" s="35"/>
      <c r="G138" s="35" t="n">
        <v>1</v>
      </c>
      <c r="H138" s="35" t="n">
        <v>16</v>
      </c>
      <c r="I138" s="5" t="n">
        <f aca="false">SUM(D138:H138)</f>
        <v>35</v>
      </c>
      <c r="J138" s="10" t="n">
        <f aca="false">IF($I138=0,0,D138/$I138)</f>
        <v>0.257142857142857</v>
      </c>
      <c r="K138" s="10" t="n">
        <f aca="false">IF($I138=0,0,E138/$I138)</f>
        <v>0.257142857142857</v>
      </c>
      <c r="L138" s="10" t="n">
        <f aca="false">IF($I138=0,0,F138/$I138)</f>
        <v>0</v>
      </c>
      <c r="M138" s="10" t="n">
        <f aca="false">IF($I138=0,0,G138/$I138)</f>
        <v>0.0285714285714286</v>
      </c>
      <c r="N138" s="10" t="n">
        <f aca="false">IF($I138=0,0,H138/$I138)</f>
        <v>0.457142857142857</v>
      </c>
      <c r="O138" s="35" t="s">
        <v>3</v>
      </c>
      <c r="P138" s="0" t="str">
        <f aca="false">IF(O138="TVK","TVK",IF(O138="DMK","DMK+",IF(O138="ADMK","AIADMK+","")))</f>
        <v>TVK</v>
      </c>
      <c r="Q138" s="35" t="s">
        <v>197</v>
      </c>
      <c r="R138" s="36" t="s">
        <v>5</v>
      </c>
      <c r="S138" s="0" t="str">
        <f aca="false">IF(P138=R138,"Yes","No")</f>
        <v>No</v>
      </c>
      <c r="T138" s="2"/>
      <c r="U138" s="27" t="n">
        <f aca="false">IFERROR(SUMIFS($D$5:$D$238,$C$5:$C$238,$C138)/SUMIFS($I$5:$I$238,$C$5:$C$238,$C138),0)</f>
        <v>0.266990291262136</v>
      </c>
      <c r="V138" s="27" t="n">
        <f aca="false">IFERROR(SUMIFS($E$5:$E$238,$C$5:$C$238,$C138)/SUMIFS($I$5:$I$238,$C$5:$C$238,$C138),0)</f>
        <v>0.169902912621359</v>
      </c>
      <c r="W138" s="27" t="n">
        <f aca="false">IFERROR(SUMIFS($F$5:$F$238,$C$5:$C$238,$C138)/SUMIFS($I$5:$I$238,$C$5:$C$238,$C138),0)</f>
        <v>0.029126213592233</v>
      </c>
      <c r="X138" s="27" t="n">
        <f aca="false">IFERROR(SUMIFS($G$5:$G$238,$C$5:$C$238,$C138)/SUMIFS($I$5:$I$238,$C$5:$C$238,$C138),0)</f>
        <v>0.0776699029126214</v>
      </c>
      <c r="Y138" s="27" t="n">
        <f aca="false">IFERROR(SUMIFS($H$5:$H$238,$C$5:$C$238,$C138)/SUMIFS($I$5:$I$238,$C$5:$C$238,$C138),0)</f>
        <v>0.456310679611651</v>
      </c>
      <c r="Z138" s="24" t="n">
        <f aca="false">LN(MAX(I138,1))</f>
        <v>3.55534806148941</v>
      </c>
      <c r="AA138" s="24" t="n">
        <f aca="false">Calibration!$M$35+Calibration!$N$35+SUMPRODUCT(Calibration!$B$35:$F$35,J138:N138)+SUMPRODUCT(Calibration!$G$35:$K$35,U138:Y138)+Calibration!$L$35*Z138</f>
        <v>0.291954262668705</v>
      </c>
      <c r="AB138" s="24" t="n">
        <f aca="false">Calibration!$M$36+Calibration!$N$36+SUMPRODUCT(Calibration!$B$36:$F$36,J138:N138)+SUMPRODUCT(Calibration!$G$36:$K$36,U138:Y138)+Calibration!$L$36*Z138</f>
        <v>0.227498931527725</v>
      </c>
      <c r="AC138" s="24" t="n">
        <f aca="false">Calibration!$M$37+Calibration!$N$37+SUMPRODUCT(Calibration!$B$37:$F$37,J138:N138)+SUMPRODUCT(Calibration!$G$37:$K$37,U138:Y138)+Calibration!$L$37*Z138</f>
        <v>0.30554743284934</v>
      </c>
      <c r="AD138" s="27" t="n">
        <f aca="false">EXP(AC138)/(EXP(AA138)+EXP(AB138)+EXP(AC138))</f>
        <v>0.343475198166176</v>
      </c>
      <c r="AE138" s="7" t="str">
        <f aca="false">IF(AC138=MAX(AA138:AC138),"TVK",IF(AB138=MAX(AA138:AC138),"DMK+","AIADMK+"))</f>
        <v>TVK</v>
      </c>
      <c r="AF138" s="7" t="str">
        <f aca="false">IF(AE138=R138,"Yes","No")</f>
        <v>No</v>
      </c>
      <c r="AG138" s="7" t="str">
        <f aca="false">IF(AE138=P138,"No","Yes")</f>
        <v>No</v>
      </c>
      <c r="AH138" s="7" t="str">
        <f aca="false">IF(H138=MAX(D138,E138,H138),"TVK",IF(E138=MAX(D138,E138,H138),"DMK+","AIADMK+"))</f>
        <v>TVK</v>
      </c>
      <c r="AI138" s="27" t="n">
        <f aca="false">EXP(AA138)/(EXP(AA138)+EXP(AB138)+EXP(AC138))</f>
        <v>0.338837870739802</v>
      </c>
      <c r="AJ138" s="27" t="n">
        <f aca="false">EXP(AB138)/(EXP(AA138)+EXP(AB138)+EXP(AC138))</f>
        <v>0.317686931094022</v>
      </c>
      <c r="AK138" s="28" t="s">
        <v>5</v>
      </c>
      <c r="AL138" s="7" t="str">
        <f aca="false">IF(AK138=R138,"Yes","No")</f>
        <v>Yes</v>
      </c>
      <c r="AM138" s="27" t="n">
        <f aca="false">IF(AK138="TVK",AD138,IF(AK138="DMK+",AJ138,AI138))</f>
        <v>0.317686931094022</v>
      </c>
      <c r="AN138" s="7" t="str">
        <f aca="false">IF(AK138=P138,"No","Yes")</f>
        <v>Yes</v>
      </c>
    </row>
    <row r="139" customFormat="false" ht="15" hidden="false" customHeight="false" outlineLevel="0" collapsed="false">
      <c r="A139" s="0" t="n">
        <v>135</v>
      </c>
      <c r="B139" s="4" t="s">
        <v>114</v>
      </c>
      <c r="C139" s="5" t="s">
        <v>114</v>
      </c>
      <c r="D139" s="35" t="n">
        <v>24</v>
      </c>
      <c r="E139" s="35" t="n">
        <v>14</v>
      </c>
      <c r="F139" s="35" t="n">
        <v>3</v>
      </c>
      <c r="G139" s="35" t="n">
        <v>9</v>
      </c>
      <c r="H139" s="35" t="n">
        <v>50</v>
      </c>
      <c r="I139" s="5" t="n">
        <f aca="false">SUM(D139:H139)</f>
        <v>100</v>
      </c>
      <c r="J139" s="10" t="n">
        <f aca="false">IF($I139=0,0,D139/$I139)</f>
        <v>0.24</v>
      </c>
      <c r="K139" s="10" t="n">
        <f aca="false">IF($I139=0,0,E139/$I139)</f>
        <v>0.14</v>
      </c>
      <c r="L139" s="10" t="n">
        <f aca="false">IF($I139=0,0,F139/$I139)</f>
        <v>0.03</v>
      </c>
      <c r="M139" s="10" t="n">
        <f aca="false">IF($I139=0,0,G139/$I139)</f>
        <v>0.09</v>
      </c>
      <c r="N139" s="10" t="n">
        <f aca="false">IF($I139=0,0,H139/$I139)</f>
        <v>0.5</v>
      </c>
      <c r="O139" s="35" t="s">
        <v>3</v>
      </c>
      <c r="P139" s="0" t="str">
        <f aca="false">IF(O139="TVK","TVK",IF(O139="DMK","DMK+",IF(O139="ADMK","AIADMK+","")))</f>
        <v>TVK</v>
      </c>
      <c r="Q139" s="35" t="s">
        <v>196</v>
      </c>
      <c r="R139" s="36" t="s">
        <v>4</v>
      </c>
      <c r="S139" s="0" t="str">
        <f aca="false">IF(P139=R139,"Yes","No")</f>
        <v>No</v>
      </c>
      <c r="T139" s="2"/>
      <c r="U139" s="27" t="n">
        <f aca="false">IFERROR(SUMIFS($D$5:$D$238,$C$5:$C$238,$C139)/SUMIFS($I$5:$I$238,$C$5:$C$238,$C139),0)</f>
        <v>0.266990291262136</v>
      </c>
      <c r="V139" s="27" t="n">
        <f aca="false">IFERROR(SUMIFS($E$5:$E$238,$C$5:$C$238,$C139)/SUMIFS($I$5:$I$238,$C$5:$C$238,$C139),0)</f>
        <v>0.169902912621359</v>
      </c>
      <c r="W139" s="27" t="n">
        <f aca="false">IFERROR(SUMIFS($F$5:$F$238,$C$5:$C$238,$C139)/SUMIFS($I$5:$I$238,$C$5:$C$238,$C139),0)</f>
        <v>0.029126213592233</v>
      </c>
      <c r="X139" s="27" t="n">
        <f aca="false">IFERROR(SUMIFS($G$5:$G$238,$C$5:$C$238,$C139)/SUMIFS($I$5:$I$238,$C$5:$C$238,$C139),0)</f>
        <v>0.0776699029126214</v>
      </c>
      <c r="Y139" s="27" t="n">
        <f aca="false">IFERROR(SUMIFS($H$5:$H$238,$C$5:$C$238,$C139)/SUMIFS($I$5:$I$238,$C$5:$C$238,$C139),0)</f>
        <v>0.456310679611651</v>
      </c>
      <c r="Z139" s="24" t="n">
        <f aca="false">LN(MAX(I139,1))</f>
        <v>4.60517018598809</v>
      </c>
      <c r="AA139" s="24" t="n">
        <f aca="false">Calibration!$M$35+Calibration!$N$35+SUMPRODUCT(Calibration!$B$35:$F$35,J139:N139)+SUMPRODUCT(Calibration!$G$35:$K$35,U139:Y139)+Calibration!$L$35*Z139</f>
        <v>-0.189620076464922</v>
      </c>
      <c r="AB139" s="24" t="n">
        <f aca="false">Calibration!$M$36+Calibration!$N$36+SUMPRODUCT(Calibration!$B$36:$F$36,J139:N139)+SUMPRODUCT(Calibration!$G$36:$K$36,U139:Y139)+Calibration!$L$36*Z139</f>
        <v>-0.541401050484391</v>
      </c>
      <c r="AC139" s="24" t="n">
        <f aca="false">Calibration!$M$37+Calibration!$N$37+SUMPRODUCT(Calibration!$B$37:$F$37,J139:N139)+SUMPRODUCT(Calibration!$G$37:$K$37,U139:Y139)+Calibration!$L$37*Z139</f>
        <v>1.55602179685223</v>
      </c>
      <c r="AD139" s="27" t="n">
        <f aca="false">EXP(AC139)/(EXP(AA139)+EXP(AB139)+EXP(AC139))</f>
        <v>0.770828549080235</v>
      </c>
      <c r="AE139" s="7" t="str">
        <f aca="false">IF(AC139=MAX(AA139:AC139),"TVK",IF(AB139=MAX(AA139:AC139),"DMK+","AIADMK+"))</f>
        <v>TVK</v>
      </c>
      <c r="AF139" s="7" t="str">
        <f aca="false">IF(AE139=R139,"Yes","No")</f>
        <v>No</v>
      </c>
      <c r="AG139" s="7" t="str">
        <f aca="false">IF(AE139=P139,"No","Yes")</f>
        <v>No</v>
      </c>
      <c r="AH139" s="7" t="str">
        <f aca="false">IF(H139=MAX(D139,E139,H139),"TVK",IF(E139=MAX(D139,E139,H139),"DMK+","AIADMK+"))</f>
        <v>TVK</v>
      </c>
      <c r="AI139" s="27" t="n">
        <f aca="false">EXP(AA139)/(EXP(AA139)+EXP(AB139)+EXP(AC139))</f>
        <v>0.134534961327297</v>
      </c>
      <c r="AJ139" s="27" t="n">
        <f aca="false">EXP(AB139)/(EXP(AA139)+EXP(AB139)+EXP(AC139))</f>
        <v>0.0946364895924677</v>
      </c>
      <c r="AK139" s="28" t="s">
        <v>3</v>
      </c>
      <c r="AL139" s="7" t="str">
        <f aca="false">IF(AK139=R139,"Yes","No")</f>
        <v>No</v>
      </c>
      <c r="AM139" s="27" t="n">
        <f aca="false">IF(AK139="TVK",AD139,IF(AK139="DMK+",AJ139,AI139))</f>
        <v>0.770828549080235</v>
      </c>
      <c r="AN139" s="7" t="str">
        <f aca="false">IF(AK139=P139,"No","Yes")</f>
        <v>No</v>
      </c>
    </row>
    <row r="140" customFormat="false" ht="15" hidden="false" customHeight="false" outlineLevel="0" collapsed="false">
      <c r="A140" s="0" t="n">
        <v>136</v>
      </c>
      <c r="B140" s="4" t="s">
        <v>324</v>
      </c>
      <c r="C140" s="5" t="s">
        <v>114</v>
      </c>
      <c r="D140" s="35" t="n">
        <v>11</v>
      </c>
      <c r="E140" s="35" t="n">
        <v>9</v>
      </c>
      <c r="F140" s="35" t="n">
        <v>2</v>
      </c>
      <c r="G140" s="35" t="n">
        <v>3</v>
      </c>
      <c r="H140" s="35" t="n">
        <v>14</v>
      </c>
      <c r="I140" s="5" t="n">
        <f aca="false">SUM(D140:H140)</f>
        <v>39</v>
      </c>
      <c r="J140" s="10" t="n">
        <f aca="false">IF($I140=0,0,D140/$I140)</f>
        <v>0.282051282051282</v>
      </c>
      <c r="K140" s="10" t="n">
        <f aca="false">IF($I140=0,0,E140/$I140)</f>
        <v>0.230769230769231</v>
      </c>
      <c r="L140" s="10" t="n">
        <f aca="false">IF($I140=0,0,F140/$I140)</f>
        <v>0.0512820512820513</v>
      </c>
      <c r="M140" s="10" t="n">
        <f aca="false">IF($I140=0,0,G140/$I140)</f>
        <v>0.0769230769230769</v>
      </c>
      <c r="N140" s="10" t="n">
        <f aca="false">IF($I140=0,0,H140/$I140)</f>
        <v>0.358974358974359</v>
      </c>
      <c r="O140" s="35" t="s">
        <v>3</v>
      </c>
      <c r="P140" s="0" t="str">
        <f aca="false">IF(O140="TVK","TVK",IF(O140="DMK","DMK+",IF(O140="ADMK","AIADMK+","")))</f>
        <v>TVK</v>
      </c>
      <c r="Q140" s="35" t="s">
        <v>3</v>
      </c>
      <c r="R140" s="36" t="s">
        <v>3</v>
      </c>
      <c r="S140" s="0" t="str">
        <f aca="false">IF(P140=R140,"Yes","No")</f>
        <v>Yes</v>
      </c>
      <c r="T140" s="2"/>
      <c r="U140" s="27" t="n">
        <f aca="false">IFERROR(SUMIFS($D$5:$D$238,$C$5:$C$238,$C140)/SUMIFS($I$5:$I$238,$C$5:$C$238,$C140),0)</f>
        <v>0.266990291262136</v>
      </c>
      <c r="V140" s="27" t="n">
        <f aca="false">IFERROR(SUMIFS($E$5:$E$238,$C$5:$C$238,$C140)/SUMIFS($I$5:$I$238,$C$5:$C$238,$C140),0)</f>
        <v>0.169902912621359</v>
      </c>
      <c r="W140" s="27" t="n">
        <f aca="false">IFERROR(SUMIFS($F$5:$F$238,$C$5:$C$238,$C140)/SUMIFS($I$5:$I$238,$C$5:$C$238,$C140),0)</f>
        <v>0.029126213592233</v>
      </c>
      <c r="X140" s="27" t="n">
        <f aca="false">IFERROR(SUMIFS($G$5:$G$238,$C$5:$C$238,$C140)/SUMIFS($I$5:$I$238,$C$5:$C$238,$C140),0)</f>
        <v>0.0776699029126214</v>
      </c>
      <c r="Y140" s="27" t="n">
        <f aca="false">IFERROR(SUMIFS($H$5:$H$238,$C$5:$C$238,$C140)/SUMIFS($I$5:$I$238,$C$5:$C$238,$C140),0)</f>
        <v>0.456310679611651</v>
      </c>
      <c r="Z140" s="24" t="n">
        <f aca="false">LN(MAX(I140,1))</f>
        <v>3.66356164612965</v>
      </c>
      <c r="AA140" s="24" t="n">
        <f aca="false">Calibration!$M$35+Calibration!$N$35+SUMPRODUCT(Calibration!$B$35:$F$35,J140:N140)+SUMPRODUCT(Calibration!$G$35:$K$35,U140:Y140)+Calibration!$L$35*Z140</f>
        <v>0.301115561424913</v>
      </c>
      <c r="AB140" s="24" t="n">
        <f aca="false">Calibration!$M$36+Calibration!$N$36+SUMPRODUCT(Calibration!$B$36:$F$36,J140:N140)+SUMPRODUCT(Calibration!$G$36:$K$36,U140:Y140)+Calibration!$L$36*Z140</f>
        <v>0.148272943122723</v>
      </c>
      <c r="AC140" s="24" t="n">
        <f aca="false">Calibration!$M$37+Calibration!$N$37+SUMPRODUCT(Calibration!$B$37:$F$37,J140:N140)+SUMPRODUCT(Calibration!$G$37:$K$37,U140:Y140)+Calibration!$L$37*Z140</f>
        <v>0.375612024329635</v>
      </c>
      <c r="AD140" s="27" t="n">
        <f aca="false">EXP(AC140)/(EXP(AA140)+EXP(AB140)+EXP(AC140))</f>
        <v>0.366991147895664</v>
      </c>
      <c r="AE140" s="7" t="str">
        <f aca="false">IF(AC140=MAX(AA140:AC140),"TVK",IF(AB140=MAX(AA140:AC140),"DMK+","AIADMK+"))</f>
        <v>TVK</v>
      </c>
      <c r="AF140" s="7" t="str">
        <f aca="false">IF(AE140=R140,"Yes","No")</f>
        <v>Yes</v>
      </c>
      <c r="AG140" s="7" t="str">
        <f aca="false">IF(AE140=P140,"No","Yes")</f>
        <v>No</v>
      </c>
      <c r="AH140" s="7" t="str">
        <f aca="false">IF(H140=MAX(D140,E140,H140),"TVK",IF(E140=MAX(D140,E140,H140),"DMK+","AIADMK+"))</f>
        <v>TVK</v>
      </c>
      <c r="AI140" s="27" t="n">
        <f aca="false">EXP(AA140)/(EXP(AA140)+EXP(AB140)+EXP(AC140))</f>
        <v>0.340645131282396</v>
      </c>
      <c r="AJ140" s="27" t="n">
        <f aca="false">EXP(AB140)/(EXP(AA140)+EXP(AB140)+EXP(AC140))</f>
        <v>0.292363720821941</v>
      </c>
      <c r="AK140" s="28" t="s">
        <v>5</v>
      </c>
      <c r="AL140" s="7" t="str">
        <f aca="false">IF(AK140=R140,"Yes","No")</f>
        <v>No</v>
      </c>
      <c r="AM140" s="27" t="n">
        <f aca="false">IF(AK140="TVK",AD140,IF(AK140="DMK+",AJ140,AI140))</f>
        <v>0.292363720821941</v>
      </c>
      <c r="AN140" s="7" t="str">
        <f aca="false">IF(AK140=P140,"No","Yes")</f>
        <v>Yes</v>
      </c>
    </row>
    <row r="141" customFormat="false" ht="15" hidden="false" customHeight="false" outlineLevel="0" collapsed="false">
      <c r="A141" s="0" t="n">
        <v>137</v>
      </c>
      <c r="B141" s="4" t="s">
        <v>325</v>
      </c>
      <c r="C141" s="5" t="s">
        <v>114</v>
      </c>
      <c r="D141" s="35" t="n">
        <v>11</v>
      </c>
      <c r="E141" s="35" t="n">
        <v>3</v>
      </c>
      <c r="F141" s="35" t="n">
        <v>1</v>
      </c>
      <c r="G141" s="35" t="n">
        <v>3</v>
      </c>
      <c r="H141" s="35" t="n">
        <v>14</v>
      </c>
      <c r="I141" s="5" t="n">
        <f aca="false">SUM(D141:H141)</f>
        <v>32</v>
      </c>
      <c r="J141" s="10" t="n">
        <f aca="false">IF($I141=0,0,D141/$I141)</f>
        <v>0.34375</v>
      </c>
      <c r="K141" s="10" t="n">
        <f aca="false">IF($I141=0,0,E141/$I141)</f>
        <v>0.09375</v>
      </c>
      <c r="L141" s="10" t="n">
        <f aca="false">IF($I141=0,0,F141/$I141)</f>
        <v>0.03125</v>
      </c>
      <c r="M141" s="10" t="n">
        <f aca="false">IF($I141=0,0,G141/$I141)</f>
        <v>0.09375</v>
      </c>
      <c r="N141" s="10" t="n">
        <f aca="false">IF($I141=0,0,H141/$I141)</f>
        <v>0.4375</v>
      </c>
      <c r="O141" s="35" t="s">
        <v>3</v>
      </c>
      <c r="P141" s="0" t="str">
        <f aca="false">IF(O141="TVK","TVK",IF(O141="DMK","DMK+",IF(O141="ADMK","AIADMK+","")))</f>
        <v>TVK</v>
      </c>
      <c r="Q141" s="35" t="s">
        <v>197</v>
      </c>
      <c r="R141" s="36" t="s">
        <v>5</v>
      </c>
      <c r="S141" s="0" t="str">
        <f aca="false">IF(P141=R141,"Yes","No")</f>
        <v>No</v>
      </c>
      <c r="T141" s="2"/>
      <c r="U141" s="27" t="n">
        <f aca="false">IFERROR(SUMIFS($D$5:$D$238,$C$5:$C$238,$C141)/SUMIFS($I$5:$I$238,$C$5:$C$238,$C141),0)</f>
        <v>0.266990291262136</v>
      </c>
      <c r="V141" s="27" t="n">
        <f aca="false">IFERROR(SUMIFS($E$5:$E$238,$C$5:$C$238,$C141)/SUMIFS($I$5:$I$238,$C$5:$C$238,$C141),0)</f>
        <v>0.169902912621359</v>
      </c>
      <c r="W141" s="27" t="n">
        <f aca="false">IFERROR(SUMIFS($F$5:$F$238,$C$5:$C$238,$C141)/SUMIFS($I$5:$I$238,$C$5:$C$238,$C141),0)</f>
        <v>0.029126213592233</v>
      </c>
      <c r="X141" s="27" t="n">
        <f aca="false">IFERROR(SUMIFS($G$5:$G$238,$C$5:$C$238,$C141)/SUMIFS($I$5:$I$238,$C$5:$C$238,$C141),0)</f>
        <v>0.0776699029126214</v>
      </c>
      <c r="Y141" s="27" t="n">
        <f aca="false">IFERROR(SUMIFS($H$5:$H$238,$C$5:$C$238,$C141)/SUMIFS($I$5:$I$238,$C$5:$C$238,$C141),0)</f>
        <v>0.456310679611651</v>
      </c>
      <c r="Z141" s="24" t="n">
        <f aca="false">LN(MAX(I141,1))</f>
        <v>3.46573590279973</v>
      </c>
      <c r="AA141" s="24" t="n">
        <f aca="false">Calibration!$M$35+Calibration!$N$35+SUMPRODUCT(Calibration!$B$35:$F$35,J141:N141)+SUMPRODUCT(Calibration!$G$35:$K$35,U141:Y141)+Calibration!$L$35*Z141</f>
        <v>0.544003762161867</v>
      </c>
      <c r="AB141" s="24" t="n">
        <f aca="false">Calibration!$M$36+Calibration!$N$36+SUMPRODUCT(Calibration!$B$36:$F$36,J141:N141)+SUMPRODUCT(Calibration!$G$36:$K$36,U141:Y141)+Calibration!$L$36*Z141</f>
        <v>0.048865994988355</v>
      </c>
      <c r="AC141" s="24" t="n">
        <f aca="false">Calibration!$M$37+Calibration!$N$37+SUMPRODUCT(Calibration!$B$37:$F$37,J141:N141)+SUMPRODUCT(Calibration!$G$37:$K$37,U141:Y141)+Calibration!$L$37*Z141</f>
        <v>0.23213085025269</v>
      </c>
      <c r="AD141" s="27" t="n">
        <f aca="false">EXP(AC141)/(EXP(AA141)+EXP(AB141)+EXP(AC141))</f>
        <v>0.312643747343806</v>
      </c>
      <c r="AE141" s="7" t="str">
        <f aca="false">IF(AC141=MAX(AA141:AC141),"TVK",IF(AB141=MAX(AA141:AC141),"DMK+","AIADMK+"))</f>
        <v>AIADMK+</v>
      </c>
      <c r="AF141" s="7" t="str">
        <f aca="false">IF(AE141=R141,"Yes","No")</f>
        <v>No</v>
      </c>
      <c r="AG141" s="7" t="str">
        <f aca="false">IF(AE141=P141,"No","Yes")</f>
        <v>Yes</v>
      </c>
      <c r="AH141" s="7" t="str">
        <f aca="false">IF(H141=MAX(D141,E141,H141),"TVK",IF(E141=MAX(D141,E141,H141),"DMK+","AIADMK+"))</f>
        <v>TVK</v>
      </c>
      <c r="AI141" s="27" t="n">
        <f aca="false">EXP(AA141)/(EXP(AA141)+EXP(AB141)+EXP(AC141))</f>
        <v>0.427065444299097</v>
      </c>
      <c r="AJ141" s="27" t="n">
        <f aca="false">EXP(AB141)/(EXP(AA141)+EXP(AB141)+EXP(AC141))</f>
        <v>0.260290808357097</v>
      </c>
      <c r="AK141" s="28" t="s">
        <v>4</v>
      </c>
      <c r="AL141" s="7" t="str">
        <f aca="false">IF(AK141=R141,"Yes","No")</f>
        <v>No</v>
      </c>
      <c r="AM141" s="27" t="n">
        <f aca="false">IF(AK141="TVK",AD141,IF(AK141="DMK+",AJ141,AI141))</f>
        <v>0.427065444299097</v>
      </c>
      <c r="AN141" s="7" t="str">
        <f aca="false">IF(AK141=P141,"No","Yes")</f>
        <v>Yes</v>
      </c>
    </row>
    <row r="142" customFormat="false" ht="15" hidden="true" customHeight="false" outlineLevel="0" collapsed="false">
      <c r="A142" s="0" t="n">
        <v>138</v>
      </c>
      <c r="B142" s="4" t="s">
        <v>326</v>
      </c>
      <c r="C142" s="5" t="s">
        <v>150</v>
      </c>
      <c r="D142" s="35" t="n">
        <v>9</v>
      </c>
      <c r="E142" s="35" t="n">
        <v>11</v>
      </c>
      <c r="F142" s="35" t="n">
        <v>2</v>
      </c>
      <c r="G142" s="35" t="n">
        <v>3</v>
      </c>
      <c r="H142" s="35" t="n">
        <v>11</v>
      </c>
      <c r="I142" s="5" t="n">
        <f aca="false">SUM(D142:H142)</f>
        <v>36</v>
      </c>
      <c r="J142" s="10" t="n">
        <f aca="false">IF($I142=0,0,D142/$I142)</f>
        <v>0.25</v>
      </c>
      <c r="K142" s="10" t="n">
        <f aca="false">IF($I142=0,0,E142/$I142)</f>
        <v>0.305555555555556</v>
      </c>
      <c r="L142" s="10" t="n">
        <f aca="false">IF($I142=0,0,F142/$I142)</f>
        <v>0.0555555555555556</v>
      </c>
      <c r="M142" s="10" t="n">
        <f aca="false">IF($I142=0,0,G142/$I142)</f>
        <v>0.0833333333333333</v>
      </c>
      <c r="N142" s="10" t="n">
        <f aca="false">IF($I142=0,0,H142/$I142)</f>
        <v>0.305555555555556</v>
      </c>
      <c r="O142" s="35" t="s">
        <v>197</v>
      </c>
      <c r="P142" s="0" t="str">
        <f aca="false">IF(O142="TVK","TVK",IF(O142="DMK","DMK+",IF(O142="ADMK","AIADMK+","")))</f>
        <v>DMK+</v>
      </c>
      <c r="Q142" s="35" t="s">
        <v>3</v>
      </c>
      <c r="R142" s="36" t="s">
        <v>3</v>
      </c>
      <c r="S142" s="0" t="str">
        <f aca="false">IF(P142=R142,"Yes","No")</f>
        <v>No</v>
      </c>
      <c r="T142" s="2"/>
      <c r="U142" s="27" t="n">
        <f aca="false">IFERROR(SUMIFS($D$5:$D$238,$C$5:$C$238,$C142)/SUMIFS($I$5:$I$238,$C$5:$C$238,$C142),0)</f>
        <v>0.274703557312253</v>
      </c>
      <c r="V142" s="27" t="n">
        <f aca="false">IFERROR(SUMIFS($E$5:$E$238,$C$5:$C$238,$C142)/SUMIFS($I$5:$I$238,$C$5:$C$238,$C142),0)</f>
        <v>0.274703557312253</v>
      </c>
      <c r="W142" s="27" t="n">
        <f aca="false">IFERROR(SUMIFS($F$5:$F$238,$C$5:$C$238,$C142)/SUMIFS($I$5:$I$238,$C$5:$C$238,$C142),0)</f>
        <v>0.00988142292490119</v>
      </c>
      <c r="X142" s="27" t="n">
        <f aca="false">IFERROR(SUMIFS($G$5:$G$238,$C$5:$C$238,$C142)/SUMIFS($I$5:$I$238,$C$5:$C$238,$C142),0)</f>
        <v>0.075098814229249</v>
      </c>
      <c r="Y142" s="27" t="n">
        <f aca="false">IFERROR(SUMIFS($H$5:$H$238,$C$5:$C$238,$C142)/SUMIFS($I$5:$I$238,$C$5:$C$238,$C142),0)</f>
        <v>0.365612648221344</v>
      </c>
      <c r="Z142" s="24" t="n">
        <f aca="false">LN(MAX(I142,1))</f>
        <v>3.58351893845611</v>
      </c>
      <c r="AA142" s="24" t="n">
        <f aca="false">Calibration!$M$35+Calibration!$N$35+SUMPRODUCT(Calibration!$B$35:$F$35,J142:N142)+SUMPRODUCT(Calibration!$G$35:$K$35,U142:Y142)+Calibration!$L$35*Z142</f>
        <v>0.223871038419407</v>
      </c>
      <c r="AB142" s="24" t="n">
        <f aca="false">Calibration!$M$36+Calibration!$N$36+SUMPRODUCT(Calibration!$B$36:$F$36,J142:N142)+SUMPRODUCT(Calibration!$G$36:$K$36,U142:Y142)+Calibration!$L$36*Z142</f>
        <v>0.467105529758186</v>
      </c>
      <c r="AC142" s="24" t="n">
        <f aca="false">Calibration!$M$37+Calibration!$N$37+SUMPRODUCT(Calibration!$B$37:$F$37,J142:N142)+SUMPRODUCT(Calibration!$G$37:$K$37,U142:Y142)+Calibration!$L$37*Z142</f>
        <v>0.134024012081519</v>
      </c>
      <c r="AD142" s="27" t="n">
        <f aca="false">EXP(AC142)/(EXP(AA142)+EXP(AB142)+EXP(AC142))</f>
        <v>0.286593066120422</v>
      </c>
      <c r="AE142" s="7" t="str">
        <f aca="false">IF(AC142=MAX(AA142:AC142),"TVK",IF(AB142=MAX(AA142:AC142),"DMK+","AIADMK+"))</f>
        <v>DMK+</v>
      </c>
      <c r="AF142" s="7" t="str">
        <f aca="false">IF(AE142=R142,"Yes","No")</f>
        <v>No</v>
      </c>
      <c r="AG142" s="7" t="str">
        <f aca="false">IF(AE142=P142,"No","Yes")</f>
        <v>No</v>
      </c>
      <c r="AH142" s="7" t="str">
        <f aca="false">IF(H142=MAX(D142,E142,H142),"TVK",IF(E142=MAX(D142,E142,H142),"DMK+","AIADMK+"))</f>
        <v>TVK</v>
      </c>
      <c r="AI142" s="27" t="n">
        <f aca="false">EXP(AA142)/(EXP(AA142)+EXP(AB142)+EXP(AC142))</f>
        <v>0.313534796602465</v>
      </c>
      <c r="AJ142" s="27" t="n">
        <f aca="false">EXP(AB142)/(EXP(AA142)+EXP(AB142)+EXP(AC142))</f>
        <v>0.399872137277113</v>
      </c>
      <c r="AK142" s="28" t="s">
        <v>5</v>
      </c>
      <c r="AL142" s="7" t="str">
        <f aca="false">IF(AK142=R142,"Yes","No")</f>
        <v>No</v>
      </c>
      <c r="AM142" s="27" t="n">
        <f aca="false">IF(AK142="TVK",AD142,IF(AK142="DMK+",AJ142,AI142))</f>
        <v>0.399872137277113</v>
      </c>
      <c r="AN142" s="7" t="str">
        <f aca="false">IF(AK142=P142,"No","Yes")</f>
        <v>No</v>
      </c>
    </row>
    <row r="143" customFormat="false" ht="15" hidden="true" customHeight="false" outlineLevel="0" collapsed="false">
      <c r="A143" s="0" t="n">
        <v>139</v>
      </c>
      <c r="B143" s="4" t="s">
        <v>327</v>
      </c>
      <c r="C143" s="5" t="s">
        <v>150</v>
      </c>
      <c r="D143" s="35" t="n">
        <v>41</v>
      </c>
      <c r="E143" s="35" t="n">
        <v>17</v>
      </c>
      <c r="F143" s="35"/>
      <c r="G143" s="35" t="n">
        <v>3</v>
      </c>
      <c r="H143" s="35" t="n">
        <v>14</v>
      </c>
      <c r="I143" s="5" t="n">
        <f aca="false">SUM(D143:H143)</f>
        <v>75</v>
      </c>
      <c r="J143" s="10" t="n">
        <f aca="false">IF($I143=0,0,D143/$I143)</f>
        <v>0.546666666666667</v>
      </c>
      <c r="K143" s="10" t="n">
        <f aca="false">IF($I143=0,0,E143/$I143)</f>
        <v>0.226666666666667</v>
      </c>
      <c r="L143" s="10" t="n">
        <f aca="false">IF($I143=0,0,F143/$I143)</f>
        <v>0</v>
      </c>
      <c r="M143" s="10" t="n">
        <f aca="false">IF($I143=0,0,G143/$I143)</f>
        <v>0.04</v>
      </c>
      <c r="N143" s="10" t="n">
        <f aca="false">IF($I143=0,0,H143/$I143)</f>
        <v>0.186666666666667</v>
      </c>
      <c r="O143" s="35" t="s">
        <v>218</v>
      </c>
      <c r="P143" s="0" t="str">
        <f aca="false">IF(O143="TVK","TVK",IF(O143="DMK","DMK+",IF(O143="ADMK","AIADMK+","")))</f>
        <v>AIADMK+</v>
      </c>
      <c r="Q143" s="35" t="s">
        <v>3</v>
      </c>
      <c r="R143" s="36" t="s">
        <v>3</v>
      </c>
      <c r="S143" s="0" t="str">
        <f aca="false">IF(P143=R143,"Yes","No")</f>
        <v>No</v>
      </c>
      <c r="T143" s="2"/>
      <c r="U143" s="27" t="n">
        <f aca="false">IFERROR(SUMIFS($D$5:$D$238,$C$5:$C$238,$C143)/SUMIFS($I$5:$I$238,$C$5:$C$238,$C143),0)</f>
        <v>0.274703557312253</v>
      </c>
      <c r="V143" s="27" t="n">
        <f aca="false">IFERROR(SUMIFS($E$5:$E$238,$C$5:$C$238,$C143)/SUMIFS($I$5:$I$238,$C$5:$C$238,$C143),0)</f>
        <v>0.274703557312253</v>
      </c>
      <c r="W143" s="27" t="n">
        <f aca="false">IFERROR(SUMIFS($F$5:$F$238,$C$5:$C$238,$C143)/SUMIFS($I$5:$I$238,$C$5:$C$238,$C143),0)</f>
        <v>0.00988142292490119</v>
      </c>
      <c r="X143" s="27" t="n">
        <f aca="false">IFERROR(SUMIFS($G$5:$G$238,$C$5:$C$238,$C143)/SUMIFS($I$5:$I$238,$C$5:$C$238,$C143),0)</f>
        <v>0.075098814229249</v>
      </c>
      <c r="Y143" s="27" t="n">
        <f aca="false">IFERROR(SUMIFS($H$5:$H$238,$C$5:$C$238,$C143)/SUMIFS($I$5:$I$238,$C$5:$C$238,$C143),0)</f>
        <v>0.365612648221344</v>
      </c>
      <c r="Z143" s="24" t="n">
        <f aca="false">LN(MAX(I143,1))</f>
        <v>4.31748811353631</v>
      </c>
      <c r="AA143" s="24" t="n">
        <f aca="false">Calibration!$M$35+Calibration!$N$35+SUMPRODUCT(Calibration!$B$35:$F$35,J143:N143)+SUMPRODUCT(Calibration!$G$35:$K$35,U143:Y143)+Calibration!$L$35*Z143</f>
        <v>0.177817419949802</v>
      </c>
      <c r="AB143" s="24" t="n">
        <f aca="false">Calibration!$M$36+Calibration!$N$36+SUMPRODUCT(Calibration!$B$36:$F$36,J143:N143)+SUMPRODUCT(Calibration!$G$36:$K$36,U143:Y143)+Calibration!$L$36*Z143</f>
        <v>-0.279608383647</v>
      </c>
      <c r="AC143" s="24" t="n">
        <f aca="false">Calibration!$M$37+Calibration!$N$37+SUMPRODUCT(Calibration!$B$37:$F$37,J143:N143)+SUMPRODUCT(Calibration!$G$37:$K$37,U143:Y143)+Calibration!$L$37*Z143</f>
        <v>0.926791425067422</v>
      </c>
      <c r="AD143" s="27" t="n">
        <f aca="false">EXP(AC143)/(EXP(AA143)+EXP(AB143)+EXP(AC143))</f>
        <v>0.564294525090959</v>
      </c>
      <c r="AE143" s="7" t="str">
        <f aca="false">IF(AC143=MAX(AA143:AC143),"TVK",IF(AB143=MAX(AA143:AC143),"DMK+","AIADMK+"))</f>
        <v>TVK</v>
      </c>
      <c r="AF143" s="7" t="str">
        <f aca="false">IF(AE143=R143,"Yes","No")</f>
        <v>Yes</v>
      </c>
      <c r="AG143" s="7" t="str">
        <f aca="false">IF(AE143=P143,"No","Yes")</f>
        <v>Yes</v>
      </c>
      <c r="AH143" s="7" t="str">
        <f aca="false">IF(H143=MAX(D143,E143,H143),"TVK",IF(E143=MAX(D143,E143,H143),"DMK+","AIADMK+"))</f>
        <v>AIADMK+</v>
      </c>
      <c r="AI143" s="27" t="n">
        <f aca="false">EXP(AA143)/(EXP(AA143)+EXP(AB143)+EXP(AC143))</f>
        <v>0.266827482787638</v>
      </c>
      <c r="AJ143" s="27" t="n">
        <f aca="false">EXP(AB143)/(EXP(AA143)+EXP(AB143)+EXP(AC143))</f>
        <v>0.168877992121403</v>
      </c>
      <c r="AK143" s="28" t="s">
        <v>3</v>
      </c>
      <c r="AL143" s="7" t="str">
        <f aca="false">IF(AK143=R143,"Yes","No")</f>
        <v>Yes</v>
      </c>
      <c r="AM143" s="27" t="n">
        <f aca="false">IF(AK143="TVK",AD143,IF(AK143="DMK+",AJ143,AI143))</f>
        <v>0.564294525090959</v>
      </c>
      <c r="AN143" s="7" t="str">
        <f aca="false">IF(AK143=P143,"No","Yes")</f>
        <v>Yes</v>
      </c>
    </row>
    <row r="144" customFormat="false" ht="15" hidden="false" customHeight="false" outlineLevel="0" collapsed="false">
      <c r="A144" s="0" t="n">
        <v>140</v>
      </c>
      <c r="B144" s="4" t="s">
        <v>328</v>
      </c>
      <c r="C144" s="5" t="s">
        <v>150</v>
      </c>
      <c r="D144" s="35" t="n">
        <v>14</v>
      </c>
      <c r="E144" s="35" t="n">
        <v>18</v>
      </c>
      <c r="F144" s="35" t="n">
        <v>2</v>
      </c>
      <c r="G144" s="35" t="n">
        <v>8</v>
      </c>
      <c r="H144" s="35" t="n">
        <v>36</v>
      </c>
      <c r="I144" s="5" t="n">
        <f aca="false">SUM(D144:H144)</f>
        <v>78</v>
      </c>
      <c r="J144" s="10" t="n">
        <f aca="false">IF($I144=0,0,D144/$I144)</f>
        <v>0.17948717948718</v>
      </c>
      <c r="K144" s="10" t="n">
        <f aca="false">IF($I144=0,0,E144/$I144)</f>
        <v>0.230769230769231</v>
      </c>
      <c r="L144" s="10" t="n">
        <f aca="false">IF($I144=0,0,F144/$I144)</f>
        <v>0.0256410256410256</v>
      </c>
      <c r="M144" s="10" t="n">
        <f aca="false">IF($I144=0,0,G144/$I144)</f>
        <v>0.102564102564103</v>
      </c>
      <c r="N144" s="10" t="n">
        <f aca="false">IF($I144=0,0,H144/$I144)</f>
        <v>0.461538461538462</v>
      </c>
      <c r="O144" s="35" t="s">
        <v>3</v>
      </c>
      <c r="P144" s="0" t="str">
        <f aca="false">IF(O144="TVK","TVK",IF(O144="DMK","DMK+",IF(O144="ADMK","AIADMK+","")))</f>
        <v>TVK</v>
      </c>
      <c r="Q144" s="35" t="s">
        <v>197</v>
      </c>
      <c r="R144" s="36" t="s">
        <v>5</v>
      </c>
      <c r="S144" s="0" t="str">
        <f aca="false">IF(P144=R144,"Yes","No")</f>
        <v>No</v>
      </c>
      <c r="T144" s="2"/>
      <c r="U144" s="27" t="n">
        <f aca="false">IFERROR(SUMIFS($D$5:$D$238,$C$5:$C$238,$C144)/SUMIFS($I$5:$I$238,$C$5:$C$238,$C144),0)</f>
        <v>0.274703557312253</v>
      </c>
      <c r="V144" s="27" t="n">
        <f aca="false">IFERROR(SUMIFS($E$5:$E$238,$C$5:$C$238,$C144)/SUMIFS($I$5:$I$238,$C$5:$C$238,$C144),0)</f>
        <v>0.274703557312253</v>
      </c>
      <c r="W144" s="27" t="n">
        <f aca="false">IFERROR(SUMIFS($F$5:$F$238,$C$5:$C$238,$C144)/SUMIFS($I$5:$I$238,$C$5:$C$238,$C144),0)</f>
        <v>0.00988142292490119</v>
      </c>
      <c r="X144" s="27" t="n">
        <f aca="false">IFERROR(SUMIFS($G$5:$G$238,$C$5:$C$238,$C144)/SUMIFS($I$5:$I$238,$C$5:$C$238,$C144),0)</f>
        <v>0.075098814229249</v>
      </c>
      <c r="Y144" s="27" t="n">
        <f aca="false">IFERROR(SUMIFS($H$5:$H$238,$C$5:$C$238,$C144)/SUMIFS($I$5:$I$238,$C$5:$C$238,$C144),0)</f>
        <v>0.365612648221344</v>
      </c>
      <c r="Z144" s="24" t="n">
        <f aca="false">LN(MAX(I144,1))</f>
        <v>4.35670882668959</v>
      </c>
      <c r="AA144" s="24" t="n">
        <f aca="false">Calibration!$M$35+Calibration!$N$35+SUMPRODUCT(Calibration!$B$35:$F$35,J144:N144)+SUMPRODUCT(Calibration!$G$35:$K$35,U144:Y144)+Calibration!$L$35*Z144</f>
        <v>-0.21913319172239</v>
      </c>
      <c r="AB144" s="24" t="n">
        <f aca="false">Calibration!$M$36+Calibration!$N$36+SUMPRODUCT(Calibration!$B$36:$F$36,J144:N144)+SUMPRODUCT(Calibration!$G$36:$K$36,U144:Y144)+Calibration!$L$36*Z144</f>
        <v>-0.081411083329817</v>
      </c>
      <c r="AC144" s="24" t="n">
        <f aca="false">Calibration!$M$37+Calibration!$N$37+SUMPRODUCT(Calibration!$B$37:$F$37,J144:N144)+SUMPRODUCT(Calibration!$G$37:$K$37,U144:Y144)+Calibration!$L$37*Z144</f>
        <v>1.12554501129423</v>
      </c>
      <c r="AD144" s="27" t="n">
        <f aca="false">EXP(AC144)/(EXP(AA144)+EXP(AB144)+EXP(AC144))</f>
        <v>0.641136644452644</v>
      </c>
      <c r="AE144" s="7" t="str">
        <f aca="false">IF(AC144=MAX(AA144:AC144),"TVK",IF(AB144=MAX(AA144:AC144),"DMK+","AIADMK+"))</f>
        <v>TVK</v>
      </c>
      <c r="AF144" s="7" t="str">
        <f aca="false">IF(AE144=R144,"Yes","No")</f>
        <v>No</v>
      </c>
      <c r="AG144" s="7" t="str">
        <f aca="false">IF(AE144=P144,"No","Yes")</f>
        <v>No</v>
      </c>
      <c r="AH144" s="7" t="str">
        <f aca="false">IF(H144=MAX(D144,E144,H144),"TVK",IF(E144=MAX(D144,E144,H144),"DMK+","AIADMK+"))</f>
        <v>TVK</v>
      </c>
      <c r="AI144" s="27" t="n">
        <f aca="false">EXP(AA144)/(EXP(AA144)+EXP(AB144)+EXP(AC144))</f>
        <v>0.167095316161988</v>
      </c>
      <c r="AJ144" s="27" t="n">
        <f aca="false">EXP(AB144)/(EXP(AA144)+EXP(AB144)+EXP(AC144))</f>
        <v>0.191768039385369</v>
      </c>
      <c r="AK144" s="28" t="s">
        <v>3</v>
      </c>
      <c r="AL144" s="7" t="str">
        <f aca="false">IF(AK144=R144,"Yes","No")</f>
        <v>No</v>
      </c>
      <c r="AM144" s="27" t="n">
        <f aca="false">IF(AK144="TVK",AD144,IF(AK144="DMK+",AJ144,AI144))</f>
        <v>0.641136644452644</v>
      </c>
      <c r="AN144" s="7" t="str">
        <f aca="false">IF(AK144=P144,"No","Yes")</f>
        <v>No</v>
      </c>
    </row>
    <row r="145" customFormat="false" ht="15" hidden="false" customHeight="false" outlineLevel="0" collapsed="false">
      <c r="A145" s="0" t="n">
        <v>141</v>
      </c>
      <c r="B145" s="4" t="s">
        <v>329</v>
      </c>
      <c r="C145" s="5" t="s">
        <v>150</v>
      </c>
      <c r="D145" s="35" t="n">
        <v>22</v>
      </c>
      <c r="E145" s="35" t="n">
        <v>24</v>
      </c>
      <c r="F145" s="35"/>
      <c r="G145" s="35" t="n">
        <v>4</v>
      </c>
      <c r="H145" s="35" t="n">
        <v>42</v>
      </c>
      <c r="I145" s="5" t="n">
        <f aca="false">SUM(D145:H145)</f>
        <v>92</v>
      </c>
      <c r="J145" s="10" t="n">
        <f aca="false">IF($I145=0,0,D145/$I145)</f>
        <v>0.239130434782609</v>
      </c>
      <c r="K145" s="10" t="n">
        <f aca="false">IF($I145=0,0,E145/$I145)</f>
        <v>0.260869565217391</v>
      </c>
      <c r="L145" s="10" t="n">
        <f aca="false">IF($I145=0,0,F145/$I145)</f>
        <v>0</v>
      </c>
      <c r="M145" s="10" t="n">
        <f aca="false">IF($I145=0,0,G145/$I145)</f>
        <v>0.0434782608695652</v>
      </c>
      <c r="N145" s="10" t="n">
        <f aca="false">IF($I145=0,0,H145/$I145)</f>
        <v>0.456521739130435</v>
      </c>
      <c r="O145" s="35" t="s">
        <v>3</v>
      </c>
      <c r="P145" s="0" t="str">
        <f aca="false">IF(O145="TVK","TVK",IF(O145="DMK","DMK+",IF(O145="ADMK","AIADMK+","")))</f>
        <v>TVK</v>
      </c>
      <c r="Q145" s="35" t="s">
        <v>3</v>
      </c>
      <c r="R145" s="36" t="s">
        <v>3</v>
      </c>
      <c r="S145" s="0" t="str">
        <f aca="false">IF(P145=R145,"Yes","No")</f>
        <v>Yes</v>
      </c>
      <c r="T145" s="2"/>
      <c r="U145" s="27" t="n">
        <f aca="false">IFERROR(SUMIFS($D$5:$D$238,$C$5:$C$238,$C145)/SUMIFS($I$5:$I$238,$C$5:$C$238,$C145),0)</f>
        <v>0.274703557312253</v>
      </c>
      <c r="V145" s="27" t="n">
        <f aca="false">IFERROR(SUMIFS($E$5:$E$238,$C$5:$C$238,$C145)/SUMIFS($I$5:$I$238,$C$5:$C$238,$C145),0)</f>
        <v>0.274703557312253</v>
      </c>
      <c r="W145" s="27" t="n">
        <f aca="false">IFERROR(SUMIFS($F$5:$F$238,$C$5:$C$238,$C145)/SUMIFS($I$5:$I$238,$C$5:$C$238,$C145),0)</f>
        <v>0.00988142292490119</v>
      </c>
      <c r="X145" s="27" t="n">
        <f aca="false">IFERROR(SUMIFS($G$5:$G$238,$C$5:$C$238,$C145)/SUMIFS($I$5:$I$238,$C$5:$C$238,$C145),0)</f>
        <v>0.075098814229249</v>
      </c>
      <c r="Y145" s="27" t="n">
        <f aca="false">IFERROR(SUMIFS($H$5:$H$238,$C$5:$C$238,$C145)/SUMIFS($I$5:$I$238,$C$5:$C$238,$C145),0)</f>
        <v>0.365612648221344</v>
      </c>
      <c r="Z145" s="24" t="n">
        <f aca="false">LN(MAX(I145,1))</f>
        <v>4.52178857704904</v>
      </c>
      <c r="AA145" s="24" t="n">
        <f aca="false">Calibration!$M$35+Calibration!$N$35+SUMPRODUCT(Calibration!$B$35:$F$35,J145:N145)+SUMPRODUCT(Calibration!$G$35:$K$35,U145:Y145)+Calibration!$L$35*Z145</f>
        <v>-0.277694582010964</v>
      </c>
      <c r="AB145" s="24" t="n">
        <f aca="false">Calibration!$M$36+Calibration!$N$36+SUMPRODUCT(Calibration!$B$36:$F$36,J145:N145)+SUMPRODUCT(Calibration!$G$36:$K$36,U145:Y145)+Calibration!$L$36*Z145</f>
        <v>-0.205183949616539</v>
      </c>
      <c r="AC145" s="24" t="n">
        <f aca="false">Calibration!$M$37+Calibration!$N$37+SUMPRODUCT(Calibration!$B$37:$F$37,J145:N145)+SUMPRODUCT(Calibration!$G$37:$K$37,U145:Y145)+Calibration!$L$37*Z145</f>
        <v>1.3078792628528</v>
      </c>
      <c r="AD145" s="27" t="n">
        <f aca="false">EXP(AC145)/(EXP(AA145)+EXP(AB145)+EXP(AC145))</f>
        <v>0.701722605195201</v>
      </c>
      <c r="AE145" s="7" t="str">
        <f aca="false">IF(AC145=MAX(AA145:AC145),"TVK",IF(AB145=MAX(AA145:AC145),"DMK+","AIADMK+"))</f>
        <v>TVK</v>
      </c>
      <c r="AF145" s="7" t="str">
        <f aca="false">IF(AE145=R145,"Yes","No")</f>
        <v>Yes</v>
      </c>
      <c r="AG145" s="7" t="str">
        <f aca="false">IF(AE145=P145,"No","Yes")</f>
        <v>No</v>
      </c>
      <c r="AH145" s="7" t="str">
        <f aca="false">IF(H145=MAX(D145,E145,H145),"TVK",IF(E145=MAX(D145,E145,H145),"DMK+","AIADMK+"))</f>
        <v>TVK</v>
      </c>
      <c r="AI145" s="27" t="n">
        <f aca="false">EXP(AA145)/(EXP(AA145)+EXP(AB145)+EXP(AC145))</f>
        <v>0.143733994630179</v>
      </c>
      <c r="AJ145" s="27" t="n">
        <f aca="false">EXP(AB145)/(EXP(AA145)+EXP(AB145)+EXP(AC145))</f>
        <v>0.15454340017462</v>
      </c>
      <c r="AK145" s="28" t="s">
        <v>3</v>
      </c>
      <c r="AL145" s="7" t="str">
        <f aca="false">IF(AK145=R145,"Yes","No")</f>
        <v>Yes</v>
      </c>
      <c r="AM145" s="27" t="n">
        <f aca="false">IF(AK145="TVK",AD145,IF(AK145="DMK+",AJ145,AI145))</f>
        <v>0.701722605195201</v>
      </c>
      <c r="AN145" s="7" t="str">
        <f aca="false">IF(AK145=P145,"No","Yes")</f>
        <v>No</v>
      </c>
    </row>
    <row r="146" customFormat="false" ht="15" hidden="true" customHeight="false" outlineLevel="0" collapsed="false">
      <c r="A146" s="0" t="n">
        <v>142</v>
      </c>
      <c r="B146" s="4" t="s">
        <v>330</v>
      </c>
      <c r="C146" s="5" t="s">
        <v>150</v>
      </c>
      <c r="D146" s="35" t="n">
        <v>15</v>
      </c>
      <c r="E146" s="35" t="n">
        <v>26</v>
      </c>
      <c r="F146" s="35"/>
      <c r="G146" s="35" t="n">
        <v>4</v>
      </c>
      <c r="H146" s="35" t="n">
        <v>24</v>
      </c>
      <c r="I146" s="5" t="n">
        <f aca="false">SUM(D146:H146)</f>
        <v>69</v>
      </c>
      <c r="J146" s="10" t="n">
        <f aca="false">IF($I146=0,0,D146/$I146)</f>
        <v>0.217391304347826</v>
      </c>
      <c r="K146" s="10" t="n">
        <f aca="false">IF($I146=0,0,E146/$I146)</f>
        <v>0.376811594202899</v>
      </c>
      <c r="L146" s="10" t="n">
        <f aca="false">IF($I146=0,0,F146/$I146)</f>
        <v>0</v>
      </c>
      <c r="M146" s="10" t="n">
        <f aca="false">IF($I146=0,0,G146/$I146)</f>
        <v>0.0579710144927536</v>
      </c>
      <c r="N146" s="10" t="n">
        <f aca="false">IF($I146=0,0,H146/$I146)</f>
        <v>0.347826086956522</v>
      </c>
      <c r="O146" s="35" t="s">
        <v>197</v>
      </c>
      <c r="P146" s="0" t="str">
        <f aca="false">IF(O146="TVK","TVK",IF(O146="DMK","DMK+",IF(O146="ADMK","AIADMK+","")))</f>
        <v>DMK+</v>
      </c>
      <c r="Q146" s="35" t="s">
        <v>3</v>
      </c>
      <c r="R146" s="36" t="s">
        <v>3</v>
      </c>
      <c r="S146" s="0" t="str">
        <f aca="false">IF(P146=R146,"Yes","No")</f>
        <v>No</v>
      </c>
      <c r="T146" s="2"/>
      <c r="U146" s="27" t="n">
        <f aca="false">IFERROR(SUMIFS($D$5:$D$238,$C$5:$C$238,$C146)/SUMIFS($I$5:$I$238,$C$5:$C$238,$C146),0)</f>
        <v>0.274703557312253</v>
      </c>
      <c r="V146" s="27" t="n">
        <f aca="false">IFERROR(SUMIFS($E$5:$E$238,$C$5:$C$238,$C146)/SUMIFS($I$5:$I$238,$C$5:$C$238,$C146),0)</f>
        <v>0.274703557312253</v>
      </c>
      <c r="W146" s="27" t="n">
        <f aca="false">IFERROR(SUMIFS($F$5:$F$238,$C$5:$C$238,$C146)/SUMIFS($I$5:$I$238,$C$5:$C$238,$C146),0)</f>
        <v>0.00988142292490119</v>
      </c>
      <c r="X146" s="27" t="n">
        <f aca="false">IFERROR(SUMIFS($G$5:$G$238,$C$5:$C$238,$C146)/SUMIFS($I$5:$I$238,$C$5:$C$238,$C146),0)</f>
        <v>0.075098814229249</v>
      </c>
      <c r="Y146" s="27" t="n">
        <f aca="false">IFERROR(SUMIFS($H$5:$H$238,$C$5:$C$238,$C146)/SUMIFS($I$5:$I$238,$C$5:$C$238,$C146),0)</f>
        <v>0.365612648221344</v>
      </c>
      <c r="Z146" s="24" t="n">
        <f aca="false">LN(MAX(I146,1))</f>
        <v>4.23410650459726</v>
      </c>
      <c r="AA146" s="24" t="n">
        <f aca="false">Calibration!$M$35+Calibration!$N$35+SUMPRODUCT(Calibration!$B$35:$F$35,J146:N146)+SUMPRODUCT(Calibration!$G$35:$K$35,U146:Y146)+Calibration!$L$35*Z146</f>
        <v>-0.21077265982178</v>
      </c>
      <c r="AB146" s="24" t="n">
        <f aca="false">Calibration!$M$36+Calibration!$N$36+SUMPRODUCT(Calibration!$B$36:$F$36,J146:N146)+SUMPRODUCT(Calibration!$G$36:$K$36,U146:Y146)+Calibration!$L$36*Z146</f>
        <v>0.154143398882978</v>
      </c>
      <c r="AC146" s="24" t="n">
        <f aca="false">Calibration!$M$37+Calibration!$N$37+SUMPRODUCT(Calibration!$B$37:$F$37,J146:N146)+SUMPRODUCT(Calibration!$G$37:$K$37,U146:Y146)+Calibration!$L$37*Z146</f>
        <v>0.881629883468447</v>
      </c>
      <c r="AD146" s="27" t="n">
        <f aca="false">EXP(AC146)/(EXP(AA146)+EXP(AB146)+EXP(AC146))</f>
        <v>0.549894245236754</v>
      </c>
      <c r="AE146" s="7" t="str">
        <f aca="false">IF(AC146=MAX(AA146:AC146),"TVK",IF(AB146=MAX(AA146:AC146),"DMK+","AIADMK+"))</f>
        <v>TVK</v>
      </c>
      <c r="AF146" s="7" t="str">
        <f aca="false">IF(AE146=R146,"Yes","No")</f>
        <v>Yes</v>
      </c>
      <c r="AG146" s="7" t="str">
        <f aca="false">IF(AE146=P146,"No","Yes")</f>
        <v>Yes</v>
      </c>
      <c r="AH146" s="7" t="str">
        <f aca="false">IF(H146=MAX(D146,E146,H146),"TVK",IF(E146=MAX(D146,E146,H146),"DMK+","AIADMK+"))</f>
        <v>DMK+</v>
      </c>
      <c r="AI146" s="27" t="n">
        <f aca="false">EXP(AA146)/(EXP(AA146)+EXP(AB146)+EXP(AC146))</f>
        <v>0.184439857561032</v>
      </c>
      <c r="AJ146" s="27" t="n">
        <f aca="false">EXP(AB146)/(EXP(AA146)+EXP(AB146)+EXP(AC146))</f>
        <v>0.265665897202214</v>
      </c>
      <c r="AK146" s="28" t="s">
        <v>3</v>
      </c>
      <c r="AL146" s="7" t="str">
        <f aca="false">IF(AK146=R146,"Yes","No")</f>
        <v>Yes</v>
      </c>
      <c r="AM146" s="27" t="n">
        <f aca="false">IF(AK146="TVK",AD146,IF(AK146="DMK+",AJ146,AI146))</f>
        <v>0.549894245236754</v>
      </c>
      <c r="AN146" s="7" t="str">
        <f aca="false">IF(AK146=P146,"No","Yes")</f>
        <v>Yes</v>
      </c>
    </row>
    <row r="147" customFormat="false" ht="15" hidden="false" customHeight="false" outlineLevel="0" collapsed="false">
      <c r="A147" s="0" t="n">
        <v>143</v>
      </c>
      <c r="B147" s="4" t="s">
        <v>331</v>
      </c>
      <c r="C147" s="5" t="s">
        <v>150</v>
      </c>
      <c r="D147" s="35" t="n">
        <v>6</v>
      </c>
      <c r="E147" s="35" t="n">
        <v>3</v>
      </c>
      <c r="F147" s="35"/>
      <c r="G147" s="35" t="n">
        <v>4</v>
      </c>
      <c r="H147" s="35" t="n">
        <v>14</v>
      </c>
      <c r="I147" s="5" t="n">
        <f aca="false">SUM(D147:H147)</f>
        <v>27</v>
      </c>
      <c r="J147" s="10" t="n">
        <f aca="false">IF($I147=0,0,D147/$I147)</f>
        <v>0.222222222222222</v>
      </c>
      <c r="K147" s="10" t="n">
        <f aca="false">IF($I147=0,0,E147/$I147)</f>
        <v>0.111111111111111</v>
      </c>
      <c r="L147" s="10" t="n">
        <f aca="false">IF($I147=0,0,F147/$I147)</f>
        <v>0</v>
      </c>
      <c r="M147" s="10" t="n">
        <f aca="false">IF($I147=0,0,G147/$I147)</f>
        <v>0.148148148148148</v>
      </c>
      <c r="N147" s="10" t="n">
        <f aca="false">IF($I147=0,0,H147/$I147)</f>
        <v>0.518518518518519</v>
      </c>
      <c r="O147" s="35" t="s">
        <v>3</v>
      </c>
      <c r="P147" s="0" t="str">
        <f aca="false">IF(O147="TVK","TVK",IF(O147="DMK","DMK+",IF(O147="ADMK","AIADMK+","")))</f>
        <v>TVK</v>
      </c>
      <c r="Q147" s="35" t="s">
        <v>196</v>
      </c>
      <c r="R147" s="36" t="s">
        <v>4</v>
      </c>
      <c r="S147" s="0" t="str">
        <f aca="false">IF(P147=R147,"Yes","No")</f>
        <v>No</v>
      </c>
      <c r="T147" s="2"/>
      <c r="U147" s="27" t="n">
        <f aca="false">IFERROR(SUMIFS($D$5:$D$238,$C$5:$C$238,$C147)/SUMIFS($I$5:$I$238,$C$5:$C$238,$C147),0)</f>
        <v>0.274703557312253</v>
      </c>
      <c r="V147" s="27" t="n">
        <f aca="false">IFERROR(SUMIFS($E$5:$E$238,$C$5:$C$238,$C147)/SUMIFS($I$5:$I$238,$C$5:$C$238,$C147),0)</f>
        <v>0.274703557312253</v>
      </c>
      <c r="W147" s="27" t="n">
        <f aca="false">IFERROR(SUMIFS($F$5:$F$238,$C$5:$C$238,$C147)/SUMIFS($I$5:$I$238,$C$5:$C$238,$C147),0)</f>
        <v>0.00988142292490119</v>
      </c>
      <c r="X147" s="27" t="n">
        <f aca="false">IFERROR(SUMIFS($G$5:$G$238,$C$5:$C$238,$C147)/SUMIFS($I$5:$I$238,$C$5:$C$238,$C147),0)</f>
        <v>0.075098814229249</v>
      </c>
      <c r="Y147" s="27" t="n">
        <f aca="false">IFERROR(SUMIFS($H$5:$H$238,$C$5:$C$238,$C147)/SUMIFS($I$5:$I$238,$C$5:$C$238,$C147),0)</f>
        <v>0.365612648221344</v>
      </c>
      <c r="Z147" s="24" t="n">
        <f aca="false">LN(MAX(I147,1))</f>
        <v>3.29583686600433</v>
      </c>
      <c r="AA147" s="24" t="n">
        <f aca="false">Calibration!$M$35+Calibration!$N$35+SUMPRODUCT(Calibration!$B$35:$F$35,J147:N147)+SUMPRODUCT(Calibration!$G$35:$K$35,U147:Y147)+Calibration!$L$35*Z147</f>
        <v>0.449870092251103</v>
      </c>
      <c r="AB147" s="24" t="n">
        <f aca="false">Calibration!$M$36+Calibration!$N$36+SUMPRODUCT(Calibration!$B$36:$F$36,J147:N147)+SUMPRODUCT(Calibration!$G$36:$K$36,U147:Y147)+Calibration!$L$36*Z147</f>
        <v>0.398571100077349</v>
      </c>
      <c r="AC147" s="24" t="n">
        <f aca="false">Calibration!$M$37+Calibration!$N$37+SUMPRODUCT(Calibration!$B$37:$F$37,J147:N147)+SUMPRODUCT(Calibration!$G$37:$K$37,U147:Y147)+Calibration!$L$37*Z147</f>
        <v>-0.0234403991063759</v>
      </c>
      <c r="AD147" s="27" t="n">
        <f aca="false">EXP(AC147)/(EXP(AA147)+EXP(AB147)+EXP(AC147))</f>
        <v>0.24211165142916</v>
      </c>
      <c r="AE147" s="7" t="str">
        <f aca="false">IF(AC147=MAX(AA147:AC147),"TVK",IF(AB147=MAX(AA147:AC147),"DMK+","AIADMK+"))</f>
        <v>AIADMK+</v>
      </c>
      <c r="AF147" s="7" t="str">
        <f aca="false">IF(AE147=R147,"Yes","No")</f>
        <v>Yes</v>
      </c>
      <c r="AG147" s="7" t="str">
        <f aca="false">IF(AE147=P147,"No","Yes")</f>
        <v>Yes</v>
      </c>
      <c r="AH147" s="7" t="str">
        <f aca="false">IF(H147=MAX(D147,E147,H147),"TVK",IF(E147=MAX(D147,E147,H147),"DMK+","AIADMK+"))</f>
        <v>TVK</v>
      </c>
      <c r="AI147" s="27" t="n">
        <f aca="false">EXP(AA147)/(EXP(AA147)+EXP(AB147)+EXP(AC147))</f>
        <v>0.388661770436378</v>
      </c>
      <c r="AJ147" s="27" t="n">
        <f aca="false">EXP(AB147)/(EXP(AA147)+EXP(AB147)+EXP(AC147))</f>
        <v>0.369226578134462</v>
      </c>
      <c r="AK147" s="28" t="s">
        <v>4</v>
      </c>
      <c r="AL147" s="7" t="str">
        <f aca="false">IF(AK147=R147,"Yes","No")</f>
        <v>Yes</v>
      </c>
      <c r="AM147" s="27" t="n">
        <f aca="false">IF(AK147="TVK",AD147,IF(AK147="DMK+",AJ147,AI147))</f>
        <v>0.388661770436378</v>
      </c>
      <c r="AN147" s="7" t="str">
        <f aca="false">IF(AK147=P147,"No","Yes")</f>
        <v>Yes</v>
      </c>
    </row>
    <row r="148" customFormat="false" ht="15" hidden="true" customHeight="false" outlineLevel="0" collapsed="false">
      <c r="A148" s="0" t="n">
        <v>144</v>
      </c>
      <c r="B148" s="4" t="s">
        <v>332</v>
      </c>
      <c r="C148" s="5" t="s">
        <v>150</v>
      </c>
      <c r="D148" s="35" t="n">
        <v>4</v>
      </c>
      <c r="E148" s="35" t="n">
        <v>19</v>
      </c>
      <c r="F148" s="35"/>
      <c r="G148" s="35" t="n">
        <v>6</v>
      </c>
      <c r="H148" s="35" t="n">
        <v>16</v>
      </c>
      <c r="I148" s="5" t="n">
        <f aca="false">SUM(D148:H148)</f>
        <v>45</v>
      </c>
      <c r="J148" s="10" t="n">
        <f aca="false">IF($I148=0,0,D148/$I148)</f>
        <v>0.0888888888888889</v>
      </c>
      <c r="K148" s="10" t="n">
        <f aca="false">IF($I148=0,0,E148/$I148)</f>
        <v>0.422222222222222</v>
      </c>
      <c r="L148" s="10" t="n">
        <f aca="false">IF($I148=0,0,F148/$I148)</f>
        <v>0</v>
      </c>
      <c r="M148" s="10" t="n">
        <f aca="false">IF($I148=0,0,G148/$I148)</f>
        <v>0.133333333333333</v>
      </c>
      <c r="N148" s="10" t="n">
        <f aca="false">IF($I148=0,0,H148/$I148)</f>
        <v>0.355555555555556</v>
      </c>
      <c r="O148" s="35" t="s">
        <v>197</v>
      </c>
      <c r="P148" s="0" t="str">
        <f aca="false">IF(O148="TVK","TVK",IF(O148="DMK","DMK+",IF(O148="ADMK","AIADMK+","")))</f>
        <v>DMK+</v>
      </c>
      <c r="Q148" s="35" t="s">
        <v>197</v>
      </c>
      <c r="R148" s="36" t="s">
        <v>5</v>
      </c>
      <c r="S148" s="0" t="str">
        <f aca="false">IF(P148=R148,"Yes","No")</f>
        <v>Yes</v>
      </c>
      <c r="T148" s="2"/>
      <c r="U148" s="27" t="n">
        <f aca="false">IFERROR(SUMIFS($D$5:$D$238,$C$5:$C$238,$C148)/SUMIFS($I$5:$I$238,$C$5:$C$238,$C148),0)</f>
        <v>0.274703557312253</v>
      </c>
      <c r="V148" s="27" t="n">
        <f aca="false">IFERROR(SUMIFS($E$5:$E$238,$C$5:$C$238,$C148)/SUMIFS($I$5:$I$238,$C$5:$C$238,$C148),0)</f>
        <v>0.274703557312253</v>
      </c>
      <c r="W148" s="27" t="n">
        <f aca="false">IFERROR(SUMIFS($F$5:$F$238,$C$5:$C$238,$C148)/SUMIFS($I$5:$I$238,$C$5:$C$238,$C148),0)</f>
        <v>0.00988142292490119</v>
      </c>
      <c r="X148" s="27" t="n">
        <f aca="false">IFERROR(SUMIFS($G$5:$G$238,$C$5:$C$238,$C148)/SUMIFS($I$5:$I$238,$C$5:$C$238,$C148),0)</f>
        <v>0.075098814229249</v>
      </c>
      <c r="Y148" s="27" t="n">
        <f aca="false">IFERROR(SUMIFS($H$5:$H$238,$C$5:$C$238,$C148)/SUMIFS($I$5:$I$238,$C$5:$C$238,$C148),0)</f>
        <v>0.365612648221344</v>
      </c>
      <c r="Z148" s="24" t="n">
        <f aca="false">LN(MAX(I148,1))</f>
        <v>3.80666248977032</v>
      </c>
      <c r="AA148" s="24" t="n">
        <f aca="false">Calibration!$M$35+Calibration!$N$35+SUMPRODUCT(Calibration!$B$35:$F$35,J148:N148)+SUMPRODUCT(Calibration!$G$35:$K$35,U148:Y148)+Calibration!$L$35*Z148</f>
        <v>-0.133663343899548</v>
      </c>
      <c r="AB148" s="24" t="n">
        <f aca="false">Calibration!$M$36+Calibration!$N$36+SUMPRODUCT(Calibration!$B$36:$F$36,J148:N148)+SUMPRODUCT(Calibration!$G$36:$K$36,U148:Y148)+Calibration!$L$36*Z148</f>
        <v>0.5811576641411</v>
      </c>
      <c r="AC148" s="24" t="n">
        <f aca="false">Calibration!$M$37+Calibration!$N$37+SUMPRODUCT(Calibration!$B$37:$F$37,J148:N148)+SUMPRODUCT(Calibration!$G$37:$K$37,U148:Y148)+Calibration!$L$37*Z148</f>
        <v>0.37750631001756</v>
      </c>
      <c r="AD148" s="27" t="n">
        <f aca="false">EXP(AC148)/(EXP(AA148)+EXP(AB148)+EXP(AC148))</f>
        <v>0.35389908115949</v>
      </c>
      <c r="AE148" s="7" t="str">
        <f aca="false">IF(AC148=MAX(AA148:AC148),"TVK",IF(AB148=MAX(AA148:AC148),"DMK+","AIADMK+"))</f>
        <v>DMK+</v>
      </c>
      <c r="AF148" s="7" t="str">
        <f aca="false">IF(AE148=R148,"Yes","No")</f>
        <v>Yes</v>
      </c>
      <c r="AG148" s="7" t="str">
        <f aca="false">IF(AE148=P148,"No","Yes")</f>
        <v>No</v>
      </c>
      <c r="AH148" s="7" t="str">
        <f aca="false">IF(H148=MAX(D148,E148,H148),"TVK",IF(E148=MAX(D148,E148,H148),"DMK+","AIADMK+"))</f>
        <v>DMK+</v>
      </c>
      <c r="AI148" s="27" t="n">
        <f aca="false">EXP(AA148)/(EXP(AA148)+EXP(AB148)+EXP(AC148))</f>
        <v>0.212266410087533</v>
      </c>
      <c r="AJ148" s="27" t="n">
        <f aca="false">EXP(AB148)/(EXP(AA148)+EXP(AB148)+EXP(AC148))</f>
        <v>0.433834508752977</v>
      </c>
      <c r="AK148" s="28" t="s">
        <v>5</v>
      </c>
      <c r="AL148" s="7" t="str">
        <f aca="false">IF(AK148=R148,"Yes","No")</f>
        <v>Yes</v>
      </c>
      <c r="AM148" s="27" t="n">
        <f aca="false">IF(AK148="TVK",AD148,IF(AK148="DMK+",AJ148,AI148))</f>
        <v>0.433834508752977</v>
      </c>
      <c r="AN148" s="7" t="str">
        <f aca="false">IF(AK148=P148,"No","Yes")</f>
        <v>No</v>
      </c>
    </row>
    <row r="149" customFormat="false" ht="15" hidden="true" customHeight="false" outlineLevel="0" collapsed="false">
      <c r="A149" s="0" t="n">
        <v>145</v>
      </c>
      <c r="B149" s="4" t="s">
        <v>333</v>
      </c>
      <c r="C149" s="5" t="s">
        <v>150</v>
      </c>
      <c r="D149" s="35" t="n">
        <v>10</v>
      </c>
      <c r="E149" s="35" t="n">
        <v>16</v>
      </c>
      <c r="F149" s="35"/>
      <c r="G149" s="35" t="n">
        <v>5</v>
      </c>
      <c r="H149" s="35" t="n">
        <v>13</v>
      </c>
      <c r="I149" s="5" t="n">
        <f aca="false">SUM(D149:H149)</f>
        <v>44</v>
      </c>
      <c r="J149" s="10" t="n">
        <f aca="false">IF($I149=0,0,D149/$I149)</f>
        <v>0.227272727272727</v>
      </c>
      <c r="K149" s="10" t="n">
        <f aca="false">IF($I149=0,0,E149/$I149)</f>
        <v>0.363636363636364</v>
      </c>
      <c r="L149" s="10" t="n">
        <f aca="false">IF($I149=0,0,F149/$I149)</f>
        <v>0</v>
      </c>
      <c r="M149" s="10" t="n">
        <f aca="false">IF($I149=0,0,G149/$I149)</f>
        <v>0.113636363636364</v>
      </c>
      <c r="N149" s="10" t="n">
        <f aca="false">IF($I149=0,0,H149/$I149)</f>
        <v>0.295454545454545</v>
      </c>
      <c r="O149" s="35" t="s">
        <v>197</v>
      </c>
      <c r="P149" s="0" t="str">
        <f aca="false">IF(O149="TVK","TVK",IF(O149="DMK","DMK+",IF(O149="ADMK","AIADMK+","")))</f>
        <v>DMK+</v>
      </c>
      <c r="Q149" s="35" t="s">
        <v>3</v>
      </c>
      <c r="R149" s="36" t="s">
        <v>3</v>
      </c>
      <c r="S149" s="0" t="str">
        <f aca="false">IF(P149=R149,"Yes","No")</f>
        <v>No</v>
      </c>
      <c r="T149" s="2"/>
      <c r="U149" s="27" t="n">
        <f aca="false">IFERROR(SUMIFS($D$5:$D$238,$C$5:$C$238,$C149)/SUMIFS($I$5:$I$238,$C$5:$C$238,$C149),0)</f>
        <v>0.274703557312253</v>
      </c>
      <c r="V149" s="27" t="n">
        <f aca="false">IFERROR(SUMIFS($E$5:$E$238,$C$5:$C$238,$C149)/SUMIFS($I$5:$I$238,$C$5:$C$238,$C149),0)</f>
        <v>0.274703557312253</v>
      </c>
      <c r="W149" s="27" t="n">
        <f aca="false">IFERROR(SUMIFS($F$5:$F$238,$C$5:$C$238,$C149)/SUMIFS($I$5:$I$238,$C$5:$C$238,$C149),0)</f>
        <v>0.00988142292490119</v>
      </c>
      <c r="X149" s="27" t="n">
        <f aca="false">IFERROR(SUMIFS($G$5:$G$238,$C$5:$C$238,$C149)/SUMIFS($I$5:$I$238,$C$5:$C$238,$C149),0)</f>
        <v>0.075098814229249</v>
      </c>
      <c r="Y149" s="27" t="n">
        <f aca="false">IFERROR(SUMIFS($H$5:$H$238,$C$5:$C$238,$C149)/SUMIFS($I$5:$I$238,$C$5:$C$238,$C149),0)</f>
        <v>0.365612648221344</v>
      </c>
      <c r="Z149" s="24" t="n">
        <f aca="false">LN(MAX(I149,1))</f>
        <v>3.78418963391826</v>
      </c>
      <c r="AA149" s="24" t="n">
        <f aca="false">Calibration!$M$35+Calibration!$N$35+SUMPRODUCT(Calibration!$B$35:$F$35,J149:N149)+SUMPRODUCT(Calibration!$G$35:$K$35,U149:Y149)+Calibration!$L$35*Z149</f>
        <v>0.0545588844793739</v>
      </c>
      <c r="AB149" s="24" t="n">
        <f aca="false">Calibration!$M$36+Calibration!$N$36+SUMPRODUCT(Calibration!$B$36:$F$36,J149:N149)+SUMPRODUCT(Calibration!$G$36:$K$36,U149:Y149)+Calibration!$L$36*Z149</f>
        <v>0.435077252304362</v>
      </c>
      <c r="AC149" s="24" t="n">
        <f aca="false">Calibration!$M$37+Calibration!$N$37+SUMPRODUCT(Calibration!$B$37:$F$37,J149:N149)+SUMPRODUCT(Calibration!$G$37:$K$37,U149:Y149)+Calibration!$L$37*Z149</f>
        <v>0.335364433374367</v>
      </c>
      <c r="AD149" s="27" t="n">
        <f aca="false">EXP(AC149)/(EXP(AA149)+EXP(AB149)+EXP(AC149))</f>
        <v>0.349646835415118</v>
      </c>
      <c r="AE149" s="7" t="str">
        <f aca="false">IF(AC149=MAX(AA149:AC149),"TVK",IF(AB149=MAX(AA149:AC149),"DMK+","AIADMK+"))</f>
        <v>DMK+</v>
      </c>
      <c r="AF149" s="7" t="str">
        <f aca="false">IF(AE149=R149,"Yes","No")</f>
        <v>No</v>
      </c>
      <c r="AG149" s="7" t="str">
        <f aca="false">IF(AE149=P149,"No","Yes")</f>
        <v>No</v>
      </c>
      <c r="AH149" s="7" t="str">
        <f aca="false">IF(H149=MAX(D149,E149,H149),"TVK",IF(E149=MAX(D149,E149,H149),"DMK+","AIADMK+"))</f>
        <v>DMK+</v>
      </c>
      <c r="AI149" s="27" t="n">
        <f aca="false">EXP(AA149)/(EXP(AA149)+EXP(AB149)+EXP(AC149))</f>
        <v>0.264044606923384</v>
      </c>
      <c r="AJ149" s="27" t="n">
        <f aca="false">EXP(AB149)/(EXP(AA149)+EXP(AB149)+EXP(AC149))</f>
        <v>0.386308557661498</v>
      </c>
      <c r="AK149" s="28" t="s">
        <v>3</v>
      </c>
      <c r="AL149" s="7" t="str">
        <f aca="false">IF(AK149=R149,"Yes","No")</f>
        <v>Yes</v>
      </c>
      <c r="AM149" s="27" t="n">
        <f aca="false">IF(AK149="TVK",AD149,IF(AK149="DMK+",AJ149,AI149))</f>
        <v>0.349646835415118</v>
      </c>
      <c r="AN149" s="7" t="str">
        <f aca="false">IF(AK149=P149,"No","Yes")</f>
        <v>Yes</v>
      </c>
    </row>
    <row r="150" customFormat="false" ht="15" hidden="true" customHeight="false" outlineLevel="0" collapsed="false">
      <c r="A150" s="0" t="n">
        <v>146</v>
      </c>
      <c r="B150" s="4" t="s">
        <v>334</v>
      </c>
      <c r="C150" s="5" t="s">
        <v>150</v>
      </c>
      <c r="D150" s="35" t="n">
        <v>18</v>
      </c>
      <c r="E150" s="35" t="n">
        <v>5</v>
      </c>
      <c r="F150" s="35" t="n">
        <v>1</v>
      </c>
      <c r="G150" s="35" t="n">
        <v>1</v>
      </c>
      <c r="H150" s="35" t="n">
        <v>15</v>
      </c>
      <c r="I150" s="5" t="n">
        <f aca="false">SUM(D150:H150)</f>
        <v>40</v>
      </c>
      <c r="J150" s="10" t="n">
        <f aca="false">IF($I150=0,0,D150/$I150)</f>
        <v>0.45</v>
      </c>
      <c r="K150" s="10" t="n">
        <f aca="false">IF($I150=0,0,E150/$I150)</f>
        <v>0.125</v>
      </c>
      <c r="L150" s="10" t="n">
        <f aca="false">IF($I150=0,0,F150/$I150)</f>
        <v>0.025</v>
      </c>
      <c r="M150" s="10" t="n">
        <f aca="false">IF($I150=0,0,G150/$I150)</f>
        <v>0.025</v>
      </c>
      <c r="N150" s="10" t="n">
        <f aca="false">IF($I150=0,0,H150/$I150)</f>
        <v>0.375</v>
      </c>
      <c r="O150" s="35" t="s">
        <v>218</v>
      </c>
      <c r="P150" s="0" t="str">
        <f aca="false">IF(O150="TVK","TVK",IF(O150="DMK","DMK+",IF(O150="ADMK","AIADMK+","")))</f>
        <v>AIADMK+</v>
      </c>
      <c r="Q150" s="35" t="s">
        <v>3</v>
      </c>
      <c r="R150" s="36" t="s">
        <v>3</v>
      </c>
      <c r="S150" s="0" t="str">
        <f aca="false">IF(P150=R150,"Yes","No")</f>
        <v>No</v>
      </c>
      <c r="T150" s="2"/>
      <c r="U150" s="27" t="n">
        <f aca="false">IFERROR(SUMIFS($D$5:$D$238,$C$5:$C$238,$C150)/SUMIFS($I$5:$I$238,$C$5:$C$238,$C150),0)</f>
        <v>0.274703557312253</v>
      </c>
      <c r="V150" s="27" t="n">
        <f aca="false">IFERROR(SUMIFS($E$5:$E$238,$C$5:$C$238,$C150)/SUMIFS($I$5:$I$238,$C$5:$C$238,$C150),0)</f>
        <v>0.274703557312253</v>
      </c>
      <c r="W150" s="27" t="n">
        <f aca="false">IFERROR(SUMIFS($F$5:$F$238,$C$5:$C$238,$C150)/SUMIFS($I$5:$I$238,$C$5:$C$238,$C150),0)</f>
        <v>0.00988142292490119</v>
      </c>
      <c r="X150" s="27" t="n">
        <f aca="false">IFERROR(SUMIFS($G$5:$G$238,$C$5:$C$238,$C150)/SUMIFS($I$5:$I$238,$C$5:$C$238,$C150),0)</f>
        <v>0.075098814229249</v>
      </c>
      <c r="Y150" s="27" t="n">
        <f aca="false">IFERROR(SUMIFS($H$5:$H$238,$C$5:$C$238,$C150)/SUMIFS($I$5:$I$238,$C$5:$C$238,$C150),0)</f>
        <v>0.365612648221344</v>
      </c>
      <c r="Z150" s="24" t="n">
        <f aca="false">LN(MAX(I150,1))</f>
        <v>3.68887945411394</v>
      </c>
      <c r="AA150" s="24" t="n">
        <f aca="false">Calibration!$M$35+Calibration!$N$35+SUMPRODUCT(Calibration!$B$35:$F$35,J150:N150)+SUMPRODUCT(Calibration!$G$35:$K$35,U150:Y150)+Calibration!$L$35*Z150</f>
        <v>0.46132708728705</v>
      </c>
      <c r="AB150" s="24" t="n">
        <f aca="false">Calibration!$M$36+Calibration!$N$36+SUMPRODUCT(Calibration!$B$36:$F$36,J150:N150)+SUMPRODUCT(Calibration!$G$36:$K$36,U150:Y150)+Calibration!$L$36*Z150</f>
        <v>0.0124983045932017</v>
      </c>
      <c r="AC150" s="24" t="n">
        <f aca="false">Calibration!$M$37+Calibration!$N$37+SUMPRODUCT(Calibration!$B$37:$F$37,J150:N150)+SUMPRODUCT(Calibration!$G$37:$K$37,U150:Y150)+Calibration!$L$37*Z150</f>
        <v>0.351175257823305</v>
      </c>
      <c r="AD150" s="27" t="n">
        <f aca="false">EXP(AC150)/(EXP(AA150)+EXP(AB150)+EXP(AC150))</f>
        <v>0.353461777600182</v>
      </c>
      <c r="AE150" s="7" t="str">
        <f aca="false">IF(AC150=MAX(AA150:AC150),"TVK",IF(AB150=MAX(AA150:AC150),"DMK+","AIADMK+"))</f>
        <v>AIADMK+</v>
      </c>
      <c r="AF150" s="7" t="str">
        <f aca="false">IF(AE150=R150,"Yes","No")</f>
        <v>No</v>
      </c>
      <c r="AG150" s="7" t="str">
        <f aca="false">IF(AE150=P150,"No","Yes")</f>
        <v>No</v>
      </c>
      <c r="AH150" s="7" t="str">
        <f aca="false">IF(H150=MAX(D150,E150,H150),"TVK",IF(E150=MAX(D150,E150,H150),"DMK+","AIADMK+"))</f>
        <v>AIADMK+</v>
      </c>
      <c r="AI150" s="27" t="n">
        <f aca="false">EXP(AA150)/(EXP(AA150)+EXP(AB150)+EXP(AC150))</f>
        <v>0.394621541709339</v>
      </c>
      <c r="AJ150" s="27" t="n">
        <f aca="false">EXP(AB150)/(EXP(AA150)+EXP(AB150)+EXP(AC150))</f>
        <v>0.251916680690479</v>
      </c>
      <c r="AK150" s="28" t="s">
        <v>3</v>
      </c>
      <c r="AL150" s="7" t="str">
        <f aca="false">IF(AK150=R150,"Yes","No")</f>
        <v>Yes</v>
      </c>
      <c r="AM150" s="27" t="n">
        <f aca="false">IF(AK150="TVK",AD150,IF(AK150="DMK+",AJ150,AI150))</f>
        <v>0.353461777600182</v>
      </c>
      <c r="AN150" s="7" t="str">
        <f aca="false">IF(AK150=P150,"No","Yes")</f>
        <v>Yes</v>
      </c>
    </row>
    <row r="151" customFormat="false" ht="15" hidden="false" customHeight="false" outlineLevel="0" collapsed="false">
      <c r="A151" s="0" t="n">
        <v>147</v>
      </c>
      <c r="B151" s="4" t="s">
        <v>126</v>
      </c>
      <c r="C151" s="5" t="s">
        <v>126</v>
      </c>
      <c r="D151" s="35" t="n">
        <v>12</v>
      </c>
      <c r="E151" s="35" t="n">
        <v>10</v>
      </c>
      <c r="F151" s="35"/>
      <c r="G151" s="35" t="n">
        <v>4</v>
      </c>
      <c r="H151" s="35" t="n">
        <v>19</v>
      </c>
      <c r="I151" s="5" t="n">
        <f aca="false">SUM(D151:H151)</f>
        <v>45</v>
      </c>
      <c r="J151" s="10" t="n">
        <f aca="false">IF($I151=0,0,D151/$I151)</f>
        <v>0.266666666666667</v>
      </c>
      <c r="K151" s="10" t="n">
        <f aca="false">IF($I151=0,0,E151/$I151)</f>
        <v>0.222222222222222</v>
      </c>
      <c r="L151" s="10" t="n">
        <f aca="false">IF($I151=0,0,F151/$I151)</f>
        <v>0</v>
      </c>
      <c r="M151" s="10" t="n">
        <f aca="false">IF($I151=0,0,G151/$I151)</f>
        <v>0.0888888888888889</v>
      </c>
      <c r="N151" s="10" t="n">
        <f aca="false">IF($I151=0,0,H151/$I151)</f>
        <v>0.422222222222222</v>
      </c>
      <c r="O151" s="35" t="s">
        <v>3</v>
      </c>
      <c r="P151" s="0" t="str">
        <f aca="false">IF(O151="TVK","TVK",IF(O151="DMK","DMK+",IF(O151="ADMK","AIADMK+","")))</f>
        <v>TVK</v>
      </c>
      <c r="Q151" s="35" t="s">
        <v>3</v>
      </c>
      <c r="R151" s="36" t="s">
        <v>3</v>
      </c>
      <c r="S151" s="0" t="str">
        <f aca="false">IF(P151=R151,"Yes","No")</f>
        <v>Yes</v>
      </c>
      <c r="T151" s="2"/>
      <c r="U151" s="27" t="n">
        <f aca="false">IFERROR(SUMIFS($D$5:$D$238,$C$5:$C$238,$C151)/SUMIFS($I$5:$I$238,$C$5:$C$238,$C151),0)</f>
        <v>0.282051282051282</v>
      </c>
      <c r="V151" s="27" t="n">
        <f aca="false">IFERROR(SUMIFS($E$5:$E$238,$C$5:$C$238,$C151)/SUMIFS($I$5:$I$238,$C$5:$C$238,$C151),0)</f>
        <v>0.307692307692308</v>
      </c>
      <c r="W151" s="27" t="n">
        <f aca="false">IFERROR(SUMIFS($F$5:$F$238,$C$5:$C$238,$C151)/SUMIFS($I$5:$I$238,$C$5:$C$238,$C151),0)</f>
        <v>0</v>
      </c>
      <c r="X151" s="27" t="n">
        <f aca="false">IFERROR(SUMIFS($G$5:$G$238,$C$5:$C$238,$C151)/SUMIFS($I$5:$I$238,$C$5:$C$238,$C151),0)</f>
        <v>0.0769230769230769</v>
      </c>
      <c r="Y151" s="27" t="n">
        <f aca="false">IFERROR(SUMIFS($H$5:$H$238,$C$5:$C$238,$C151)/SUMIFS($I$5:$I$238,$C$5:$C$238,$C151),0)</f>
        <v>0.333333333333333</v>
      </c>
      <c r="Z151" s="24" t="n">
        <f aca="false">LN(MAX(I151,1))</f>
        <v>3.80666248977032</v>
      </c>
      <c r="AA151" s="24" t="n">
        <f aca="false">Calibration!$M$35+Calibration!$N$35+SUMPRODUCT(Calibration!$B$35:$F$35,J151:N151)+SUMPRODUCT(Calibration!$G$35:$K$35,U151:Y151)+Calibration!$L$35*Z151</f>
        <v>0.144980144381253</v>
      </c>
      <c r="AB151" s="24" t="n">
        <f aca="false">Calibration!$M$36+Calibration!$N$36+SUMPRODUCT(Calibration!$B$36:$F$36,J151:N151)+SUMPRODUCT(Calibration!$G$36:$K$36,U151:Y151)+Calibration!$L$36*Z151</f>
        <v>0.237454402011442</v>
      </c>
      <c r="AC151" s="24" t="n">
        <f aca="false">Calibration!$M$37+Calibration!$N$37+SUMPRODUCT(Calibration!$B$37:$F$37,J151:N151)+SUMPRODUCT(Calibration!$G$37:$K$37,U151:Y151)+Calibration!$L$37*Z151</f>
        <v>0.442566183521833</v>
      </c>
      <c r="AD151" s="27" t="n">
        <f aca="false">EXP(AC151)/(EXP(AA151)+EXP(AB151)+EXP(AC151))</f>
        <v>0.391058074507023</v>
      </c>
      <c r="AE151" s="7" t="str">
        <f aca="false">IF(AC151=MAX(AA151:AC151),"TVK",IF(AB151=MAX(AA151:AC151),"DMK+","AIADMK+"))</f>
        <v>TVK</v>
      </c>
      <c r="AF151" s="7" t="str">
        <f aca="false">IF(AE151=R151,"Yes","No")</f>
        <v>Yes</v>
      </c>
      <c r="AG151" s="7" t="str">
        <f aca="false">IF(AE151=P151,"No","Yes")</f>
        <v>No</v>
      </c>
      <c r="AH151" s="7" t="str">
        <f aca="false">IF(H151=MAX(D151,E151,H151),"TVK",IF(E151=MAX(D151,E151,H151),"DMK+","AIADMK+"))</f>
        <v>TVK</v>
      </c>
      <c r="AI151" s="27" t="n">
        <f aca="false">EXP(AA151)/(EXP(AA151)+EXP(AB151)+EXP(AC151))</f>
        <v>0.290403123273408</v>
      </c>
      <c r="AJ151" s="27" t="n">
        <f aca="false">EXP(AB151)/(EXP(AA151)+EXP(AB151)+EXP(AC151))</f>
        <v>0.318538802219569</v>
      </c>
      <c r="AK151" s="28" t="s">
        <v>3</v>
      </c>
      <c r="AL151" s="7" t="str">
        <f aca="false">IF(AK151=R151,"Yes","No")</f>
        <v>Yes</v>
      </c>
      <c r="AM151" s="27" t="n">
        <f aca="false">IF(AK151="TVK",AD151,IF(AK151="DMK+",AJ151,AI151))</f>
        <v>0.391058074507023</v>
      </c>
      <c r="AN151" s="7" t="str">
        <f aca="false">IF(AK151=P151,"No","Yes")</f>
        <v>No</v>
      </c>
    </row>
    <row r="152" customFormat="false" ht="15" hidden="true" customHeight="false" outlineLevel="0" collapsed="false">
      <c r="A152" s="0" t="n">
        <v>148</v>
      </c>
      <c r="B152" s="4" t="s">
        <v>335</v>
      </c>
      <c r="C152" s="5" t="s">
        <v>126</v>
      </c>
      <c r="D152" s="35" t="n">
        <v>10</v>
      </c>
      <c r="E152" s="35" t="n">
        <v>14</v>
      </c>
      <c r="F152" s="35"/>
      <c r="G152" s="35" t="n">
        <v>2</v>
      </c>
      <c r="H152" s="35" t="n">
        <v>7</v>
      </c>
      <c r="I152" s="5" t="n">
        <f aca="false">SUM(D152:H152)</f>
        <v>33</v>
      </c>
      <c r="J152" s="10" t="n">
        <f aca="false">IF($I152=0,0,D152/$I152)</f>
        <v>0.303030303030303</v>
      </c>
      <c r="K152" s="10" t="n">
        <f aca="false">IF($I152=0,0,E152/$I152)</f>
        <v>0.424242424242424</v>
      </c>
      <c r="L152" s="10" t="n">
        <f aca="false">IF($I152=0,0,F152/$I152)</f>
        <v>0</v>
      </c>
      <c r="M152" s="10" t="n">
        <f aca="false">IF($I152=0,0,G152/$I152)</f>
        <v>0.0606060606060606</v>
      </c>
      <c r="N152" s="10" t="n">
        <f aca="false">IF($I152=0,0,H152/$I152)</f>
        <v>0.212121212121212</v>
      </c>
      <c r="O152" s="35" t="s">
        <v>197</v>
      </c>
      <c r="P152" s="0" t="str">
        <f aca="false">IF(O152="TVK","TVK",IF(O152="DMK","DMK+",IF(O152="ADMK","AIADMK+","")))</f>
        <v>DMK+</v>
      </c>
      <c r="Q152" s="35" t="s">
        <v>197</v>
      </c>
      <c r="R152" s="36" t="s">
        <v>5</v>
      </c>
      <c r="S152" s="0" t="str">
        <f aca="false">IF(P152=R152,"Yes","No")</f>
        <v>Yes</v>
      </c>
      <c r="T152" s="2"/>
      <c r="U152" s="27" t="n">
        <f aca="false">IFERROR(SUMIFS($D$5:$D$238,$C$5:$C$238,$C152)/SUMIFS($I$5:$I$238,$C$5:$C$238,$C152),0)</f>
        <v>0.282051282051282</v>
      </c>
      <c r="V152" s="27" t="n">
        <f aca="false">IFERROR(SUMIFS($E$5:$E$238,$C$5:$C$238,$C152)/SUMIFS($I$5:$I$238,$C$5:$C$238,$C152),0)</f>
        <v>0.307692307692308</v>
      </c>
      <c r="W152" s="27" t="n">
        <f aca="false">IFERROR(SUMIFS($F$5:$F$238,$C$5:$C$238,$C152)/SUMIFS($I$5:$I$238,$C$5:$C$238,$C152),0)</f>
        <v>0</v>
      </c>
      <c r="X152" s="27" t="n">
        <f aca="false">IFERROR(SUMIFS($G$5:$G$238,$C$5:$C$238,$C152)/SUMIFS($I$5:$I$238,$C$5:$C$238,$C152),0)</f>
        <v>0.0769230769230769</v>
      </c>
      <c r="Y152" s="27" t="n">
        <f aca="false">IFERROR(SUMIFS($H$5:$H$238,$C$5:$C$238,$C152)/SUMIFS($I$5:$I$238,$C$5:$C$238,$C152),0)</f>
        <v>0.333333333333333</v>
      </c>
      <c r="Z152" s="24" t="n">
        <f aca="false">LN(MAX(I152,1))</f>
        <v>3.49650756146648</v>
      </c>
      <c r="AA152" s="24" t="n">
        <f aca="false">Calibration!$M$35+Calibration!$N$35+SUMPRODUCT(Calibration!$B$35:$F$35,J152:N152)+SUMPRODUCT(Calibration!$G$35:$K$35,U152:Y152)+Calibration!$L$35*Z152</f>
        <v>0.229695700329244</v>
      </c>
      <c r="AB152" s="24" t="n">
        <f aca="false">Calibration!$M$36+Calibration!$N$36+SUMPRODUCT(Calibration!$B$36:$F$36,J152:N152)+SUMPRODUCT(Calibration!$G$36:$K$36,U152:Y152)+Calibration!$L$36*Z152</f>
        <v>0.683763449719456</v>
      </c>
      <c r="AC152" s="24" t="n">
        <f aca="false">Calibration!$M$37+Calibration!$N$37+SUMPRODUCT(Calibration!$B$37:$F$37,J152:N152)+SUMPRODUCT(Calibration!$G$37:$K$37,U152:Y152)+Calibration!$L$37*Z152</f>
        <v>-0.0884586302351815</v>
      </c>
      <c r="AD152" s="27" t="n">
        <f aca="false">EXP(AC152)/(EXP(AA152)+EXP(AB152)+EXP(AC152))</f>
        <v>0.220305119776889</v>
      </c>
      <c r="AE152" s="7" t="str">
        <f aca="false">IF(AC152=MAX(AA152:AC152),"TVK",IF(AB152=MAX(AA152:AC152),"DMK+","AIADMK+"))</f>
        <v>DMK+</v>
      </c>
      <c r="AF152" s="7" t="str">
        <f aca="false">IF(AE152=R152,"Yes","No")</f>
        <v>Yes</v>
      </c>
      <c r="AG152" s="7" t="str">
        <f aca="false">IF(AE152=P152,"No","Yes")</f>
        <v>No</v>
      </c>
      <c r="AH152" s="7" t="str">
        <f aca="false">IF(H152=MAX(D152,E152,H152),"TVK",IF(E152=MAX(D152,E152,H152),"DMK+","AIADMK+"))</f>
        <v>DMK+</v>
      </c>
      <c r="AI152" s="27" t="n">
        <f aca="false">EXP(AA152)/(EXP(AA152)+EXP(AB152)+EXP(AC152))</f>
        <v>0.302828858990792</v>
      </c>
      <c r="AJ152" s="27" t="n">
        <f aca="false">EXP(AB152)/(EXP(AA152)+EXP(AB152)+EXP(AC152))</f>
        <v>0.476866021232319</v>
      </c>
      <c r="AK152" s="28" t="s">
        <v>5</v>
      </c>
      <c r="AL152" s="7" t="str">
        <f aca="false">IF(AK152=R152,"Yes","No")</f>
        <v>Yes</v>
      </c>
      <c r="AM152" s="27" t="n">
        <f aca="false">IF(AK152="TVK",AD152,IF(AK152="DMK+",AJ152,AI152))</f>
        <v>0.476866021232319</v>
      </c>
      <c r="AN152" s="7" t="str">
        <f aca="false">IF(AK152=P152,"No","Yes")</f>
        <v>No</v>
      </c>
    </row>
    <row r="153" customFormat="false" ht="15" hidden="true" customHeight="false" outlineLevel="0" collapsed="false">
      <c r="A153" s="0" t="n">
        <v>149</v>
      </c>
      <c r="B153" s="4" t="s">
        <v>90</v>
      </c>
      <c r="C153" s="5" t="s">
        <v>90</v>
      </c>
      <c r="D153" s="35" t="n">
        <v>16</v>
      </c>
      <c r="E153" s="35" t="n">
        <v>19</v>
      </c>
      <c r="F153" s="35"/>
      <c r="G153" s="35" t="n">
        <v>8</v>
      </c>
      <c r="H153" s="35" t="n">
        <v>18</v>
      </c>
      <c r="I153" s="5" t="n">
        <f aca="false">SUM(D153:H153)</f>
        <v>61</v>
      </c>
      <c r="J153" s="10" t="n">
        <f aca="false">IF($I153=0,0,D153/$I153)</f>
        <v>0.262295081967213</v>
      </c>
      <c r="K153" s="10" t="n">
        <f aca="false">IF($I153=0,0,E153/$I153)</f>
        <v>0.311475409836066</v>
      </c>
      <c r="L153" s="10" t="n">
        <f aca="false">IF($I153=0,0,F153/$I153)</f>
        <v>0</v>
      </c>
      <c r="M153" s="10" t="n">
        <f aca="false">IF($I153=0,0,G153/$I153)</f>
        <v>0.131147540983607</v>
      </c>
      <c r="N153" s="10" t="n">
        <f aca="false">IF($I153=0,0,H153/$I153)</f>
        <v>0.295081967213115</v>
      </c>
      <c r="O153" s="35" t="s">
        <v>197</v>
      </c>
      <c r="P153" s="0" t="str">
        <f aca="false">IF(O153="TVK","TVK",IF(O153="DMK","DMK+",IF(O153="ADMK","AIADMK+","")))</f>
        <v>DMK+</v>
      </c>
      <c r="Q153" s="35" t="s">
        <v>196</v>
      </c>
      <c r="R153" s="36" t="s">
        <v>4</v>
      </c>
      <c r="S153" s="0" t="str">
        <f aca="false">IF(P153=R153,"Yes","No")</f>
        <v>No</v>
      </c>
      <c r="T153" s="2"/>
      <c r="U153" s="27" t="n">
        <f aca="false">IFERROR(SUMIFS($D$5:$D$238,$C$5:$C$238,$C153)/SUMIFS($I$5:$I$238,$C$5:$C$238,$C153),0)</f>
        <v>0.301075268817204</v>
      </c>
      <c r="V153" s="27" t="n">
        <f aca="false">IFERROR(SUMIFS($E$5:$E$238,$C$5:$C$238,$C153)/SUMIFS($I$5:$I$238,$C$5:$C$238,$C153),0)</f>
        <v>0.258064516129032</v>
      </c>
      <c r="W153" s="27" t="n">
        <f aca="false">IFERROR(SUMIFS($F$5:$F$238,$C$5:$C$238,$C153)/SUMIFS($I$5:$I$238,$C$5:$C$238,$C153),0)</f>
        <v>0</v>
      </c>
      <c r="X153" s="27" t="n">
        <f aca="false">IFERROR(SUMIFS($G$5:$G$238,$C$5:$C$238,$C153)/SUMIFS($I$5:$I$238,$C$5:$C$238,$C153),0)</f>
        <v>0.0967741935483871</v>
      </c>
      <c r="Y153" s="27" t="n">
        <f aca="false">IFERROR(SUMIFS($H$5:$H$238,$C$5:$C$238,$C153)/SUMIFS($I$5:$I$238,$C$5:$C$238,$C153),0)</f>
        <v>0.344086021505376</v>
      </c>
      <c r="Z153" s="24" t="n">
        <f aca="false">LN(MAX(I153,1))</f>
        <v>4.11087386417331</v>
      </c>
      <c r="AA153" s="24" t="n">
        <f aca="false">Calibration!$M$35+Calibration!$N$35+SUMPRODUCT(Calibration!$B$35:$F$35,J153:N153)+SUMPRODUCT(Calibration!$G$35:$K$35,U153:Y153)+Calibration!$L$35*Z153</f>
        <v>-0.0247908461387487</v>
      </c>
      <c r="AB153" s="24" t="n">
        <f aca="false">Calibration!$M$36+Calibration!$N$36+SUMPRODUCT(Calibration!$B$36:$F$36,J153:N153)+SUMPRODUCT(Calibration!$G$36:$K$36,U153:Y153)+Calibration!$L$36*Z153</f>
        <v>0.154599852450169</v>
      </c>
      <c r="AC153" s="24" t="n">
        <f aca="false">Calibration!$M$37+Calibration!$N$37+SUMPRODUCT(Calibration!$B$37:$F$37,J153:N153)+SUMPRODUCT(Calibration!$G$37:$K$37,U153:Y153)+Calibration!$L$37*Z153</f>
        <v>0.695191546835063</v>
      </c>
      <c r="AD153" s="27" t="n">
        <f aca="false">EXP(AC153)/(EXP(AA153)+EXP(AB153)+EXP(AC153))</f>
        <v>0.483286883165511</v>
      </c>
      <c r="AE153" s="7" t="str">
        <f aca="false">IF(AC153=MAX(AA153:AC153),"TVK",IF(AB153=MAX(AA153:AC153),"DMK+","AIADMK+"))</f>
        <v>TVK</v>
      </c>
      <c r="AF153" s="7" t="str">
        <f aca="false">IF(AE153=R153,"Yes","No")</f>
        <v>No</v>
      </c>
      <c r="AG153" s="7" t="str">
        <f aca="false">IF(AE153=P153,"No","Yes")</f>
        <v>Yes</v>
      </c>
      <c r="AH153" s="7" t="str">
        <f aca="false">IF(H153=MAX(D153,E153,H153),"TVK",IF(E153=MAX(D153,E153,H153),"DMK+","AIADMK+"))</f>
        <v>DMK+</v>
      </c>
      <c r="AI153" s="27" t="n">
        <f aca="false">EXP(AA153)/(EXP(AA153)+EXP(AB153)+EXP(AC153))</f>
        <v>0.235245122587246</v>
      </c>
      <c r="AJ153" s="27" t="n">
        <f aca="false">EXP(AB153)/(EXP(AA153)+EXP(AB153)+EXP(AC153))</f>
        <v>0.281467994247243</v>
      </c>
      <c r="AK153" s="28" t="s">
        <v>4</v>
      </c>
      <c r="AL153" s="7" t="str">
        <f aca="false">IF(AK153=R153,"Yes","No")</f>
        <v>Yes</v>
      </c>
      <c r="AM153" s="27" t="n">
        <f aca="false">IF(AK153="TVK",AD153,IF(AK153="DMK+",AJ153,AI153))</f>
        <v>0.235245122587246</v>
      </c>
      <c r="AN153" s="7" t="str">
        <f aca="false">IF(AK153=P153,"No","Yes")</f>
        <v>Yes</v>
      </c>
    </row>
    <row r="154" customFormat="false" ht="15" hidden="false" customHeight="false" outlineLevel="0" collapsed="false">
      <c r="A154" s="0" t="n">
        <v>150</v>
      </c>
      <c r="B154" s="4" t="s">
        <v>336</v>
      </c>
      <c r="C154" s="5" t="s">
        <v>90</v>
      </c>
      <c r="D154" s="35" t="n">
        <v>12</v>
      </c>
      <c r="E154" s="35" t="n">
        <v>5</v>
      </c>
      <c r="F154" s="35"/>
      <c r="G154" s="35" t="n">
        <v>1</v>
      </c>
      <c r="H154" s="35" t="n">
        <v>14</v>
      </c>
      <c r="I154" s="5" t="n">
        <f aca="false">SUM(D154:H154)</f>
        <v>32</v>
      </c>
      <c r="J154" s="10" t="n">
        <f aca="false">IF($I154=0,0,D154/$I154)</f>
        <v>0.375</v>
      </c>
      <c r="K154" s="10" t="n">
        <f aca="false">IF($I154=0,0,E154/$I154)</f>
        <v>0.15625</v>
      </c>
      <c r="L154" s="10" t="n">
        <f aca="false">IF($I154=0,0,F154/$I154)</f>
        <v>0</v>
      </c>
      <c r="M154" s="10" t="n">
        <f aca="false">IF($I154=0,0,G154/$I154)</f>
        <v>0.03125</v>
      </c>
      <c r="N154" s="10" t="n">
        <f aca="false">IF($I154=0,0,H154/$I154)</f>
        <v>0.4375</v>
      </c>
      <c r="O154" s="35" t="s">
        <v>3</v>
      </c>
      <c r="P154" s="0" t="str">
        <f aca="false">IF(O154="TVK","TVK",IF(O154="DMK","DMK+",IF(O154="ADMK","AIADMK+","")))</f>
        <v>TVK</v>
      </c>
      <c r="Q154" s="35" t="s">
        <v>251</v>
      </c>
      <c r="R154" s="36" t="s">
        <v>4</v>
      </c>
      <c r="S154" s="0" t="str">
        <f aca="false">IF(P154=R154,"Yes","No")</f>
        <v>No</v>
      </c>
      <c r="T154" s="2"/>
      <c r="U154" s="27" t="n">
        <f aca="false">IFERROR(SUMIFS($D$5:$D$238,$C$5:$C$238,$C154)/SUMIFS($I$5:$I$238,$C$5:$C$238,$C154),0)</f>
        <v>0.301075268817204</v>
      </c>
      <c r="V154" s="27" t="n">
        <f aca="false">IFERROR(SUMIFS($E$5:$E$238,$C$5:$C$238,$C154)/SUMIFS($I$5:$I$238,$C$5:$C$238,$C154),0)</f>
        <v>0.258064516129032</v>
      </c>
      <c r="W154" s="27" t="n">
        <f aca="false">IFERROR(SUMIFS($F$5:$F$238,$C$5:$C$238,$C154)/SUMIFS($I$5:$I$238,$C$5:$C$238,$C154),0)</f>
        <v>0</v>
      </c>
      <c r="X154" s="27" t="n">
        <f aca="false">IFERROR(SUMIFS($G$5:$G$238,$C$5:$C$238,$C154)/SUMIFS($I$5:$I$238,$C$5:$C$238,$C154),0)</f>
        <v>0.0967741935483871</v>
      </c>
      <c r="Y154" s="27" t="n">
        <f aca="false">IFERROR(SUMIFS($H$5:$H$238,$C$5:$C$238,$C154)/SUMIFS($I$5:$I$238,$C$5:$C$238,$C154),0)</f>
        <v>0.344086021505376</v>
      </c>
      <c r="Z154" s="24" t="n">
        <f aca="false">LN(MAX(I154,1))</f>
        <v>3.46573590279973</v>
      </c>
      <c r="AA154" s="24" t="n">
        <f aca="false">Calibration!$M$35+Calibration!$N$35+SUMPRODUCT(Calibration!$B$35:$F$35,J154:N154)+SUMPRODUCT(Calibration!$G$35:$K$35,U154:Y154)+Calibration!$L$35*Z154</f>
        <v>0.496270470064571</v>
      </c>
      <c r="AB154" s="24" t="n">
        <f aca="false">Calibration!$M$36+Calibration!$N$36+SUMPRODUCT(Calibration!$B$36:$F$36,J154:N154)+SUMPRODUCT(Calibration!$G$36:$K$36,U154:Y154)+Calibration!$L$36*Z154</f>
        <v>0.231503296347448</v>
      </c>
      <c r="AC154" s="24" t="n">
        <f aca="false">Calibration!$M$37+Calibration!$N$37+SUMPRODUCT(Calibration!$B$37:$F$37,J154:N154)+SUMPRODUCT(Calibration!$G$37:$K$37,U154:Y154)+Calibration!$L$37*Z154</f>
        <v>0.0972269291524968</v>
      </c>
      <c r="AD154" s="27" t="n">
        <f aca="false">EXP(AC154)/(EXP(AA154)+EXP(AB154)+EXP(AC154))</f>
        <v>0.275170736074437</v>
      </c>
      <c r="AE154" s="7" t="str">
        <f aca="false">IF(AC154=MAX(AA154:AC154),"TVK",IF(AB154=MAX(AA154:AC154),"DMK+","AIADMK+"))</f>
        <v>AIADMK+</v>
      </c>
      <c r="AF154" s="7" t="str">
        <f aca="false">IF(AE154=R154,"Yes","No")</f>
        <v>Yes</v>
      </c>
      <c r="AG154" s="7" t="str">
        <f aca="false">IF(AE154=P154,"No","Yes")</f>
        <v>Yes</v>
      </c>
      <c r="AH154" s="7" t="str">
        <f aca="false">IF(H154=MAX(D154,E154,H154),"TVK",IF(E154=MAX(D154,E154,H154),"DMK+","AIADMK+"))</f>
        <v>TVK</v>
      </c>
      <c r="AI154" s="27" t="n">
        <f aca="false">EXP(AA154)/(EXP(AA154)+EXP(AB154)+EXP(AC154))</f>
        <v>0.410114055179952</v>
      </c>
      <c r="AJ154" s="27" t="n">
        <f aca="false">EXP(AB154)/(EXP(AA154)+EXP(AB154)+EXP(AC154))</f>
        <v>0.314715208745611</v>
      </c>
      <c r="AK154" s="28" t="s">
        <v>4</v>
      </c>
      <c r="AL154" s="7" t="str">
        <f aca="false">IF(AK154=R154,"Yes","No")</f>
        <v>Yes</v>
      </c>
      <c r="AM154" s="27" t="n">
        <f aca="false">IF(AK154="TVK",AD154,IF(AK154="DMK+",AJ154,AI154))</f>
        <v>0.410114055179952</v>
      </c>
      <c r="AN154" s="7" t="str">
        <f aca="false">IF(AK154=P154,"No","Yes")</f>
        <v>Yes</v>
      </c>
    </row>
    <row r="155" customFormat="false" ht="15" hidden="true" customHeight="false" outlineLevel="0" collapsed="false">
      <c r="A155" s="0" t="n">
        <v>151</v>
      </c>
      <c r="B155" s="4" t="s">
        <v>337</v>
      </c>
      <c r="C155" s="5" t="s">
        <v>100</v>
      </c>
      <c r="D155" s="35" t="n">
        <v>4</v>
      </c>
      <c r="E155" s="35"/>
      <c r="F155" s="35"/>
      <c r="G155" s="35" t="n">
        <v>1</v>
      </c>
      <c r="H155" s="35" t="n">
        <v>3</v>
      </c>
      <c r="I155" s="5" t="n">
        <f aca="false">SUM(D155:H155)</f>
        <v>8</v>
      </c>
      <c r="J155" s="10" t="n">
        <f aca="false">IF($I155=0,0,D155/$I155)</f>
        <v>0.5</v>
      </c>
      <c r="K155" s="10" t="n">
        <f aca="false">IF($I155=0,0,E155/$I155)</f>
        <v>0</v>
      </c>
      <c r="L155" s="10" t="n">
        <f aca="false">IF($I155=0,0,F155/$I155)</f>
        <v>0</v>
      </c>
      <c r="M155" s="10" t="n">
        <f aca="false">IF($I155=0,0,G155/$I155)</f>
        <v>0.125</v>
      </c>
      <c r="N155" s="10" t="n">
        <f aca="false">IF($I155=0,0,H155/$I155)</f>
        <v>0.375</v>
      </c>
      <c r="O155" s="35" t="s">
        <v>218</v>
      </c>
      <c r="P155" s="0" t="str">
        <f aca="false">IF(O155="TVK","TVK",IF(O155="DMK","DMK+",IF(O155="ADMK","AIADMK+","")))</f>
        <v>AIADMK+</v>
      </c>
      <c r="Q155" s="35" t="s">
        <v>197</v>
      </c>
      <c r="R155" s="36" t="s">
        <v>5</v>
      </c>
      <c r="S155" s="0" t="str">
        <f aca="false">IF(P155=R155,"Yes","No")</f>
        <v>No</v>
      </c>
      <c r="T155" s="2"/>
      <c r="U155" s="27" t="n">
        <f aca="false">IFERROR(SUMIFS($D$5:$D$238,$C$5:$C$238,$C155)/SUMIFS($I$5:$I$238,$C$5:$C$238,$C155),0)</f>
        <v>0.32034632034632</v>
      </c>
      <c r="V155" s="27" t="n">
        <f aca="false">IFERROR(SUMIFS($E$5:$E$238,$C$5:$C$238,$C155)/SUMIFS($I$5:$I$238,$C$5:$C$238,$C155),0)</f>
        <v>0.406926406926407</v>
      </c>
      <c r="W155" s="27" t="n">
        <f aca="false">IFERROR(SUMIFS($F$5:$F$238,$C$5:$C$238,$C155)/SUMIFS($I$5:$I$238,$C$5:$C$238,$C155),0)</f>
        <v>0</v>
      </c>
      <c r="X155" s="27" t="n">
        <f aca="false">IFERROR(SUMIFS($G$5:$G$238,$C$5:$C$238,$C155)/SUMIFS($I$5:$I$238,$C$5:$C$238,$C155),0)</f>
        <v>0.051948051948052</v>
      </c>
      <c r="Y155" s="27" t="n">
        <f aca="false">IFERROR(SUMIFS($H$5:$H$238,$C$5:$C$238,$C155)/SUMIFS($I$5:$I$238,$C$5:$C$238,$C155),0)</f>
        <v>0.220779220779221</v>
      </c>
      <c r="Z155" s="24" t="n">
        <f aca="false">LN(MAX(I155,1))</f>
        <v>2.07944154167984</v>
      </c>
      <c r="AA155" s="24" t="n">
        <f aca="false">Calibration!$M$35+Calibration!$N$35+SUMPRODUCT(Calibration!$B$35:$F$35,J155:N155)+SUMPRODUCT(Calibration!$G$35:$K$35,U155:Y155)+Calibration!$L$35*Z155</f>
        <v>1.406045748818</v>
      </c>
      <c r="AB155" s="24" t="n">
        <f aca="false">Calibration!$M$36+Calibration!$N$36+SUMPRODUCT(Calibration!$B$36:$F$36,J155:N155)+SUMPRODUCT(Calibration!$G$36:$K$36,U155:Y155)+Calibration!$L$36*Z155</f>
        <v>1.02601608858298</v>
      </c>
      <c r="AC155" s="24" t="n">
        <f aca="false">Calibration!$M$37+Calibration!$N$37+SUMPRODUCT(Calibration!$B$37:$F$37,J155:N155)+SUMPRODUCT(Calibration!$G$37:$K$37,U155:Y155)+Calibration!$L$37*Z155</f>
        <v>-1.60706105547457</v>
      </c>
      <c r="AD155" s="27" t="n">
        <f aca="false">EXP(AC155)/(EXP(AA155)+EXP(AB155)+EXP(AC155))</f>
        <v>0.0283550759719713</v>
      </c>
      <c r="AE155" s="7" t="str">
        <f aca="false">IF(AC155=MAX(AA155:AC155),"TVK",IF(AB155=MAX(AA155:AC155),"DMK+","AIADMK+"))</f>
        <v>AIADMK+</v>
      </c>
      <c r="AF155" s="7" t="str">
        <f aca="false">IF(AE155=R155,"Yes","No")</f>
        <v>No</v>
      </c>
      <c r="AG155" s="7" t="str">
        <f aca="false">IF(AE155=P155,"No","Yes")</f>
        <v>No</v>
      </c>
      <c r="AH155" s="7" t="str">
        <f aca="false">IF(H155=MAX(D155,E155,H155),"TVK",IF(E155=MAX(D155,E155,H155),"DMK+","AIADMK+"))</f>
        <v>AIADMK+</v>
      </c>
      <c r="AI155" s="27" t="n">
        <f aca="false">EXP(AA155)/(EXP(AA155)+EXP(AB155)+EXP(AC155))</f>
        <v>0.577040736808048</v>
      </c>
      <c r="AJ155" s="27" t="n">
        <f aca="false">EXP(AB155)/(EXP(AA155)+EXP(AB155)+EXP(AC155))</f>
        <v>0.39460418721998</v>
      </c>
      <c r="AK155" s="28" t="s">
        <v>4</v>
      </c>
      <c r="AL155" s="7" t="str">
        <f aca="false">IF(AK155=R155,"Yes","No")</f>
        <v>No</v>
      </c>
      <c r="AM155" s="27" t="n">
        <f aca="false">IF(AK155="TVK",AD155,IF(AK155="DMK+",AJ155,AI155))</f>
        <v>0.577040736808048</v>
      </c>
      <c r="AN155" s="7" t="str">
        <f aca="false">IF(AK155=P155,"No","Yes")</f>
        <v>No</v>
      </c>
    </row>
    <row r="156" customFormat="false" ht="15" hidden="true" customHeight="false" outlineLevel="0" collapsed="false">
      <c r="A156" s="0" t="n">
        <v>152</v>
      </c>
      <c r="B156" s="4" t="s">
        <v>338</v>
      </c>
      <c r="C156" s="5" t="s">
        <v>100</v>
      </c>
      <c r="D156" s="35" t="n">
        <v>12</v>
      </c>
      <c r="E156" s="35" t="n">
        <v>2</v>
      </c>
      <c r="F156" s="35"/>
      <c r="G156" s="35"/>
      <c r="H156" s="35" t="n">
        <v>8</v>
      </c>
      <c r="I156" s="5" t="n">
        <f aca="false">SUM(D156:H156)</f>
        <v>22</v>
      </c>
      <c r="J156" s="10" t="n">
        <f aca="false">IF($I156=0,0,D156/$I156)</f>
        <v>0.545454545454545</v>
      </c>
      <c r="K156" s="10" t="n">
        <f aca="false">IF($I156=0,0,E156/$I156)</f>
        <v>0.0909090909090909</v>
      </c>
      <c r="L156" s="10" t="n">
        <f aca="false">IF($I156=0,0,F156/$I156)</f>
        <v>0</v>
      </c>
      <c r="M156" s="10" t="n">
        <f aca="false">IF($I156=0,0,G156/$I156)</f>
        <v>0</v>
      </c>
      <c r="N156" s="10" t="n">
        <f aca="false">IF($I156=0,0,H156/$I156)</f>
        <v>0.363636363636364</v>
      </c>
      <c r="O156" s="35" t="s">
        <v>218</v>
      </c>
      <c r="P156" s="0" t="str">
        <f aca="false">IF(O156="TVK","TVK",IF(O156="DMK","DMK+",IF(O156="ADMK","AIADMK+","")))</f>
        <v>AIADMK+</v>
      </c>
      <c r="Q156" s="35" t="s">
        <v>339</v>
      </c>
      <c r="R156" s="36" t="s">
        <v>5</v>
      </c>
      <c r="S156" s="0" t="str">
        <f aca="false">IF(P156=R156,"Yes","No")</f>
        <v>No</v>
      </c>
      <c r="T156" s="2"/>
      <c r="U156" s="27" t="n">
        <f aca="false">IFERROR(SUMIFS($D$5:$D$238,$C$5:$C$238,$C156)/SUMIFS($I$5:$I$238,$C$5:$C$238,$C156),0)</f>
        <v>0.32034632034632</v>
      </c>
      <c r="V156" s="27" t="n">
        <f aca="false">IFERROR(SUMIFS($E$5:$E$238,$C$5:$C$238,$C156)/SUMIFS($I$5:$I$238,$C$5:$C$238,$C156),0)</f>
        <v>0.406926406926407</v>
      </c>
      <c r="W156" s="27" t="n">
        <f aca="false">IFERROR(SUMIFS($F$5:$F$238,$C$5:$C$238,$C156)/SUMIFS($I$5:$I$238,$C$5:$C$238,$C156),0)</f>
        <v>0</v>
      </c>
      <c r="X156" s="27" t="n">
        <f aca="false">IFERROR(SUMIFS($G$5:$G$238,$C$5:$C$238,$C156)/SUMIFS($I$5:$I$238,$C$5:$C$238,$C156),0)</f>
        <v>0.051948051948052</v>
      </c>
      <c r="Y156" s="27" t="n">
        <f aca="false">IFERROR(SUMIFS($H$5:$H$238,$C$5:$C$238,$C156)/SUMIFS($I$5:$I$238,$C$5:$C$238,$C156),0)</f>
        <v>0.220779220779221</v>
      </c>
      <c r="Z156" s="24" t="n">
        <f aca="false">LN(MAX(I156,1))</f>
        <v>3.09104245335832</v>
      </c>
      <c r="AA156" s="24" t="n">
        <f aca="false">Calibration!$M$35+Calibration!$N$35+SUMPRODUCT(Calibration!$B$35:$F$35,J156:N156)+SUMPRODUCT(Calibration!$G$35:$K$35,U156:Y156)+Calibration!$L$35*Z156</f>
        <v>0.848851526609054</v>
      </c>
      <c r="AB156" s="24" t="n">
        <f aca="false">Calibration!$M$36+Calibration!$N$36+SUMPRODUCT(Calibration!$B$36:$F$36,J156:N156)+SUMPRODUCT(Calibration!$G$36:$K$36,U156:Y156)+Calibration!$L$36*Z156</f>
        <v>0.447954437650598</v>
      </c>
      <c r="AC156" s="24" t="n">
        <f aca="false">Calibration!$M$37+Calibration!$N$37+SUMPRODUCT(Calibration!$B$37:$F$37,J156:N156)+SUMPRODUCT(Calibration!$G$37:$K$37,U156:Y156)+Calibration!$L$37*Z156</f>
        <v>-0.471805193696881</v>
      </c>
      <c r="AD156" s="27" t="n">
        <f aca="false">EXP(AC156)/(EXP(AA156)+EXP(AB156)+EXP(AC156))</f>
        <v>0.137844185550699</v>
      </c>
      <c r="AE156" s="7" t="str">
        <f aca="false">IF(AC156=MAX(AA156:AC156),"TVK",IF(AB156=MAX(AA156:AC156),"DMK+","AIADMK+"))</f>
        <v>AIADMK+</v>
      </c>
      <c r="AF156" s="7" t="str">
        <f aca="false">IF(AE156=R156,"Yes","No")</f>
        <v>No</v>
      </c>
      <c r="AG156" s="7" t="str">
        <f aca="false">IF(AE156=P156,"No","Yes")</f>
        <v>No</v>
      </c>
      <c r="AH156" s="7" t="str">
        <f aca="false">IF(H156=MAX(D156,E156,H156),"TVK",IF(E156=MAX(D156,E156,H156),"DMK+","AIADMK+"))</f>
        <v>AIADMK+</v>
      </c>
      <c r="AI156" s="27" t="n">
        <f aca="false">EXP(AA156)/(EXP(AA156)+EXP(AB156)+EXP(AC156))</f>
        <v>0.516347855722095</v>
      </c>
      <c r="AJ156" s="27" t="n">
        <f aca="false">EXP(AB156)/(EXP(AA156)+EXP(AB156)+EXP(AC156))</f>
        <v>0.345807958727206</v>
      </c>
      <c r="AK156" s="28" t="s">
        <v>4</v>
      </c>
      <c r="AL156" s="7" t="str">
        <f aca="false">IF(AK156=R156,"Yes","No")</f>
        <v>No</v>
      </c>
      <c r="AM156" s="27" t="n">
        <f aca="false">IF(AK156="TVK",AD156,IF(AK156="DMK+",AJ156,AI156))</f>
        <v>0.516347855722095</v>
      </c>
      <c r="AN156" s="7" t="str">
        <f aca="false">IF(AK156=P156,"No","Yes")</f>
        <v>No</v>
      </c>
    </row>
    <row r="157" customFormat="false" ht="15" hidden="true" customHeight="false" outlineLevel="0" collapsed="false">
      <c r="A157" s="0" t="n">
        <v>153</v>
      </c>
      <c r="B157" s="4" t="s">
        <v>340</v>
      </c>
      <c r="C157" s="5" t="s">
        <v>100</v>
      </c>
      <c r="D157" s="35" t="n">
        <v>17</v>
      </c>
      <c r="E157" s="35" t="n">
        <v>5</v>
      </c>
      <c r="F157" s="35"/>
      <c r="G157" s="35" t="n">
        <v>1</v>
      </c>
      <c r="H157" s="35" t="n">
        <v>2</v>
      </c>
      <c r="I157" s="5" t="n">
        <f aca="false">SUM(D157:H157)</f>
        <v>25</v>
      </c>
      <c r="J157" s="10" t="n">
        <f aca="false">IF($I157=0,0,D157/$I157)</f>
        <v>0.68</v>
      </c>
      <c r="K157" s="10" t="n">
        <f aca="false">IF($I157=0,0,E157/$I157)</f>
        <v>0.2</v>
      </c>
      <c r="L157" s="10" t="n">
        <f aca="false">IF($I157=0,0,F157/$I157)</f>
        <v>0</v>
      </c>
      <c r="M157" s="10" t="n">
        <f aca="false">IF($I157=0,0,G157/$I157)</f>
        <v>0.04</v>
      </c>
      <c r="N157" s="10" t="n">
        <f aca="false">IF($I157=0,0,H157/$I157)</f>
        <v>0.08</v>
      </c>
      <c r="O157" s="35" t="s">
        <v>218</v>
      </c>
      <c r="P157" s="0" t="str">
        <f aca="false">IF(O157="TVK","TVK",IF(O157="DMK","DMK+",IF(O157="ADMK","AIADMK+","")))</f>
        <v>AIADMK+</v>
      </c>
      <c r="Q157" s="35" t="s">
        <v>196</v>
      </c>
      <c r="R157" s="36" t="s">
        <v>4</v>
      </c>
      <c r="S157" s="0" t="str">
        <f aca="false">IF(P157=R157,"Yes","No")</f>
        <v>Yes</v>
      </c>
      <c r="T157" s="2"/>
      <c r="U157" s="27" t="n">
        <f aca="false">IFERROR(SUMIFS($D$5:$D$238,$C$5:$C$238,$C157)/SUMIFS($I$5:$I$238,$C$5:$C$238,$C157),0)</f>
        <v>0.32034632034632</v>
      </c>
      <c r="V157" s="27" t="n">
        <f aca="false">IFERROR(SUMIFS($E$5:$E$238,$C$5:$C$238,$C157)/SUMIFS($I$5:$I$238,$C$5:$C$238,$C157),0)</f>
        <v>0.406926406926407</v>
      </c>
      <c r="W157" s="27" t="n">
        <f aca="false">IFERROR(SUMIFS($F$5:$F$238,$C$5:$C$238,$C157)/SUMIFS($I$5:$I$238,$C$5:$C$238,$C157),0)</f>
        <v>0</v>
      </c>
      <c r="X157" s="27" t="n">
        <f aca="false">IFERROR(SUMIFS($G$5:$G$238,$C$5:$C$238,$C157)/SUMIFS($I$5:$I$238,$C$5:$C$238,$C157),0)</f>
        <v>0.051948051948052</v>
      </c>
      <c r="Y157" s="27" t="n">
        <f aca="false">IFERROR(SUMIFS($H$5:$H$238,$C$5:$C$238,$C157)/SUMIFS($I$5:$I$238,$C$5:$C$238,$C157),0)</f>
        <v>0.220779220779221</v>
      </c>
      <c r="Z157" s="24" t="n">
        <f aca="false">LN(MAX(I157,1))</f>
        <v>3.2188758248682</v>
      </c>
      <c r="AA157" s="24" t="n">
        <f aca="false">Calibration!$M$35+Calibration!$N$35+SUMPRODUCT(Calibration!$B$35:$F$35,J157:N157)+SUMPRODUCT(Calibration!$G$35:$K$35,U157:Y157)+Calibration!$L$35*Z157</f>
        <v>0.87608151644121</v>
      </c>
      <c r="AB157" s="24" t="n">
        <f aca="false">Calibration!$M$36+Calibration!$N$36+SUMPRODUCT(Calibration!$B$36:$F$36,J157:N157)+SUMPRODUCT(Calibration!$G$36:$K$36,U157:Y157)+Calibration!$L$36*Z157</f>
        <v>0.47616863311023</v>
      </c>
      <c r="AC157" s="24" t="n">
        <f aca="false">Calibration!$M$37+Calibration!$N$37+SUMPRODUCT(Calibration!$B$37:$F$37,J157:N157)+SUMPRODUCT(Calibration!$G$37:$K$37,U157:Y157)+Calibration!$L$37*Z157</f>
        <v>-0.527249662625033</v>
      </c>
      <c r="AD157" s="27" t="n">
        <f aca="false">EXP(AC157)/(EXP(AA157)+EXP(AB157)+EXP(AC157))</f>
        <v>0.12826563163252</v>
      </c>
      <c r="AE157" s="7" t="str">
        <f aca="false">IF(AC157=MAX(AA157:AC157),"TVK",IF(AB157=MAX(AA157:AC157),"DMK+","AIADMK+"))</f>
        <v>AIADMK+</v>
      </c>
      <c r="AF157" s="7" t="str">
        <f aca="false">IF(AE157=R157,"Yes","No")</f>
        <v>Yes</v>
      </c>
      <c r="AG157" s="7" t="str">
        <f aca="false">IF(AE157=P157,"No","Yes")</f>
        <v>No</v>
      </c>
      <c r="AH157" s="7" t="str">
        <f aca="false">IF(H157=MAX(D157,E157,H157),"TVK",IF(E157=MAX(D157,E157,H157),"DMK+","AIADMK+"))</f>
        <v>AIADMK+</v>
      </c>
      <c r="AI157" s="27" t="n">
        <f aca="false">EXP(AA157)/(EXP(AA157)+EXP(AB157)+EXP(AC157))</f>
        <v>0.521878363056301</v>
      </c>
      <c r="AJ157" s="27" t="n">
        <f aca="false">EXP(AB157)/(EXP(AA157)+EXP(AB157)+EXP(AC157))</f>
        <v>0.349856005311178</v>
      </c>
      <c r="AK157" s="28" t="s">
        <v>4</v>
      </c>
      <c r="AL157" s="7" t="str">
        <f aca="false">IF(AK157=R157,"Yes","No")</f>
        <v>Yes</v>
      </c>
      <c r="AM157" s="27" t="n">
        <f aca="false">IF(AK157="TVK",AD157,IF(AK157="DMK+",AJ157,AI157))</f>
        <v>0.521878363056301</v>
      </c>
      <c r="AN157" s="7" t="str">
        <f aca="false">IF(AK157=P157,"No","Yes")</f>
        <v>No</v>
      </c>
    </row>
    <row r="158" customFormat="false" ht="15" hidden="true" customHeight="false" outlineLevel="0" collapsed="false">
      <c r="A158" s="0" t="n">
        <v>154</v>
      </c>
      <c r="B158" s="4" t="s">
        <v>341</v>
      </c>
      <c r="C158" s="5" t="s">
        <v>100</v>
      </c>
      <c r="D158" s="35" t="n">
        <v>10</v>
      </c>
      <c r="E158" s="35" t="n">
        <v>8</v>
      </c>
      <c r="F158" s="35"/>
      <c r="G158" s="35" t="n">
        <v>1</v>
      </c>
      <c r="H158" s="35" t="n">
        <v>6</v>
      </c>
      <c r="I158" s="5" t="n">
        <f aca="false">SUM(D158:H158)</f>
        <v>25</v>
      </c>
      <c r="J158" s="10" t="n">
        <f aca="false">IF($I158=0,0,D158/$I158)</f>
        <v>0.4</v>
      </c>
      <c r="K158" s="10" t="n">
        <f aca="false">IF($I158=0,0,E158/$I158)</f>
        <v>0.32</v>
      </c>
      <c r="L158" s="10" t="n">
        <f aca="false">IF($I158=0,0,F158/$I158)</f>
        <v>0</v>
      </c>
      <c r="M158" s="10" t="n">
        <f aca="false">IF($I158=0,0,G158/$I158)</f>
        <v>0.04</v>
      </c>
      <c r="N158" s="10" t="n">
        <f aca="false">IF($I158=0,0,H158/$I158)</f>
        <v>0.24</v>
      </c>
      <c r="O158" s="35" t="s">
        <v>218</v>
      </c>
      <c r="P158" s="0" t="str">
        <f aca="false">IF(O158="TVK","TVK",IF(O158="DMK","DMK+",IF(O158="ADMK","AIADMK+","")))</f>
        <v>AIADMK+</v>
      </c>
      <c r="Q158" s="35" t="s">
        <v>196</v>
      </c>
      <c r="R158" s="36" t="s">
        <v>4</v>
      </c>
      <c r="S158" s="0" t="str">
        <f aca="false">IF(P158=R158,"Yes","No")</f>
        <v>Yes</v>
      </c>
      <c r="T158" s="2"/>
      <c r="U158" s="27" t="n">
        <f aca="false">IFERROR(SUMIFS($D$5:$D$238,$C$5:$C$238,$C158)/SUMIFS($I$5:$I$238,$C$5:$C$238,$C158),0)</f>
        <v>0.32034632034632</v>
      </c>
      <c r="V158" s="27" t="n">
        <f aca="false">IFERROR(SUMIFS($E$5:$E$238,$C$5:$C$238,$C158)/SUMIFS($I$5:$I$238,$C$5:$C$238,$C158),0)</f>
        <v>0.406926406926407</v>
      </c>
      <c r="W158" s="27" t="n">
        <f aca="false">IFERROR(SUMIFS($F$5:$F$238,$C$5:$C$238,$C158)/SUMIFS($I$5:$I$238,$C$5:$C$238,$C158),0)</f>
        <v>0</v>
      </c>
      <c r="X158" s="27" t="n">
        <f aca="false">IFERROR(SUMIFS($G$5:$G$238,$C$5:$C$238,$C158)/SUMIFS($I$5:$I$238,$C$5:$C$238,$C158),0)</f>
        <v>0.051948051948052</v>
      </c>
      <c r="Y158" s="27" t="n">
        <f aca="false">IFERROR(SUMIFS($H$5:$H$238,$C$5:$C$238,$C158)/SUMIFS($I$5:$I$238,$C$5:$C$238,$C158),0)</f>
        <v>0.220779220779221</v>
      </c>
      <c r="Z158" s="24" t="n">
        <f aca="false">LN(MAX(I158,1))</f>
        <v>3.2188758248682</v>
      </c>
      <c r="AA158" s="24" t="n">
        <f aca="false">Calibration!$M$35+Calibration!$N$35+SUMPRODUCT(Calibration!$B$35:$F$35,J158:N158)+SUMPRODUCT(Calibration!$G$35:$K$35,U158:Y158)+Calibration!$L$35*Z158</f>
        <v>0.50938495644121</v>
      </c>
      <c r="AB158" s="24" t="n">
        <f aca="false">Calibration!$M$36+Calibration!$N$36+SUMPRODUCT(Calibration!$B$36:$F$36,J158:N158)+SUMPRODUCT(Calibration!$G$36:$K$36,U158:Y158)+Calibration!$L$36*Z158</f>
        <v>0.783108473110231</v>
      </c>
      <c r="AC158" s="24" t="n">
        <f aca="false">Calibration!$M$37+Calibration!$N$37+SUMPRODUCT(Calibration!$B$37:$F$37,J158:N158)+SUMPRODUCT(Calibration!$G$37:$K$37,U158:Y158)+Calibration!$L$37*Z158</f>
        <v>-0.467492782625033</v>
      </c>
      <c r="AD158" s="27" t="n">
        <f aca="false">EXP(AC158)/(EXP(AA158)+EXP(AB158)+EXP(AC158))</f>
        <v>0.139887681783576</v>
      </c>
      <c r="AE158" s="7" t="str">
        <f aca="false">IF(AC158=MAX(AA158:AC158),"TVK",IF(AB158=MAX(AA158:AC158),"DMK+","AIADMK+"))</f>
        <v>DMK+</v>
      </c>
      <c r="AF158" s="7" t="str">
        <f aca="false">IF(AE158=R158,"Yes","No")</f>
        <v>No</v>
      </c>
      <c r="AG158" s="7" t="str">
        <f aca="false">IF(AE158=P158,"No","Yes")</f>
        <v>Yes</v>
      </c>
      <c r="AH158" s="7" t="str">
        <f aca="false">IF(H158=MAX(D158,E158,H158),"TVK",IF(E158=MAX(D158,E158,H158),"DMK+","AIADMK+"))</f>
        <v>AIADMK+</v>
      </c>
      <c r="AI158" s="27" t="n">
        <f aca="false">EXP(AA158)/(EXP(AA158)+EXP(AB158)+EXP(AC158))</f>
        <v>0.371562678284202</v>
      </c>
      <c r="AJ158" s="27" t="n">
        <f aca="false">EXP(AB158)/(EXP(AA158)+EXP(AB158)+EXP(AC158))</f>
        <v>0.488549639932222</v>
      </c>
      <c r="AK158" s="28" t="s">
        <v>5</v>
      </c>
      <c r="AL158" s="7" t="str">
        <f aca="false">IF(AK158=R158,"Yes","No")</f>
        <v>No</v>
      </c>
      <c r="AM158" s="27" t="n">
        <f aca="false">IF(AK158="TVK",AD158,IF(AK158="DMK+",AJ158,AI158))</f>
        <v>0.488549639932222</v>
      </c>
      <c r="AN158" s="7" t="str">
        <f aca="false">IF(AK158=P158,"No","Yes")</f>
        <v>Yes</v>
      </c>
    </row>
    <row r="159" customFormat="false" ht="15" hidden="true" customHeight="false" outlineLevel="0" collapsed="false">
      <c r="A159" s="0" t="n">
        <v>155</v>
      </c>
      <c r="B159" s="4" t="s">
        <v>100</v>
      </c>
      <c r="C159" s="5" t="s">
        <v>100</v>
      </c>
      <c r="D159" s="35" t="n">
        <v>6</v>
      </c>
      <c r="E159" s="35" t="n">
        <v>32</v>
      </c>
      <c r="F159" s="35"/>
      <c r="G159" s="35"/>
      <c r="H159" s="35" t="n">
        <v>17</v>
      </c>
      <c r="I159" s="5" t="n">
        <f aca="false">SUM(D159:H159)</f>
        <v>55</v>
      </c>
      <c r="J159" s="10" t="n">
        <f aca="false">IF($I159=0,0,D159/$I159)</f>
        <v>0.109090909090909</v>
      </c>
      <c r="K159" s="10" t="n">
        <f aca="false">IF($I159=0,0,E159/$I159)</f>
        <v>0.581818181818182</v>
      </c>
      <c r="L159" s="10" t="n">
        <f aca="false">IF($I159=0,0,F159/$I159)</f>
        <v>0</v>
      </c>
      <c r="M159" s="10" t="n">
        <f aca="false">IF($I159=0,0,G159/$I159)</f>
        <v>0</v>
      </c>
      <c r="N159" s="10" t="n">
        <f aca="false">IF($I159=0,0,H159/$I159)</f>
        <v>0.309090909090909</v>
      </c>
      <c r="O159" s="35" t="s">
        <v>197</v>
      </c>
      <c r="P159" s="0" t="str">
        <f aca="false">IF(O159="TVK","TVK",IF(O159="DMK","DMK+",IF(O159="ADMK","AIADMK+","")))</f>
        <v>DMK+</v>
      </c>
      <c r="Q159" s="35" t="s">
        <v>3</v>
      </c>
      <c r="R159" s="36" t="s">
        <v>3</v>
      </c>
      <c r="S159" s="0" t="str">
        <f aca="false">IF(P159=R159,"Yes","No")</f>
        <v>No</v>
      </c>
      <c r="T159" s="2"/>
      <c r="U159" s="27" t="n">
        <f aca="false">IFERROR(SUMIFS($D$5:$D$238,$C$5:$C$238,$C159)/SUMIFS($I$5:$I$238,$C$5:$C$238,$C159),0)</f>
        <v>0.32034632034632</v>
      </c>
      <c r="V159" s="27" t="n">
        <f aca="false">IFERROR(SUMIFS($E$5:$E$238,$C$5:$C$238,$C159)/SUMIFS($I$5:$I$238,$C$5:$C$238,$C159),0)</f>
        <v>0.406926406926407</v>
      </c>
      <c r="W159" s="27" t="n">
        <f aca="false">IFERROR(SUMIFS($F$5:$F$238,$C$5:$C$238,$C159)/SUMIFS($I$5:$I$238,$C$5:$C$238,$C159),0)</f>
        <v>0</v>
      </c>
      <c r="X159" s="27" t="n">
        <f aca="false">IFERROR(SUMIFS($G$5:$G$238,$C$5:$C$238,$C159)/SUMIFS($I$5:$I$238,$C$5:$C$238,$C159),0)</f>
        <v>0.051948051948052</v>
      </c>
      <c r="Y159" s="27" t="n">
        <f aca="false">IFERROR(SUMIFS($H$5:$H$238,$C$5:$C$238,$C159)/SUMIFS($I$5:$I$238,$C$5:$C$238,$C159),0)</f>
        <v>0.220779220779221</v>
      </c>
      <c r="Z159" s="24" t="n">
        <f aca="false">LN(MAX(I159,1))</f>
        <v>4.00733318523247</v>
      </c>
      <c r="AA159" s="24" t="n">
        <f aca="false">Calibration!$M$35+Calibration!$N$35+SUMPRODUCT(Calibration!$B$35:$F$35,J159:N159)+SUMPRODUCT(Calibration!$G$35:$K$35,U159:Y159)+Calibration!$L$35*Z159</f>
        <v>-0.367454233701305</v>
      </c>
      <c r="AB159" s="24" t="n">
        <f aca="false">Calibration!$M$36+Calibration!$N$36+SUMPRODUCT(Calibration!$B$36:$F$36,J159:N159)+SUMPRODUCT(Calibration!$G$36:$K$36,U159:Y159)+Calibration!$L$36*Z159</f>
        <v>0.78967524582524</v>
      </c>
      <c r="AC159" s="24" t="n">
        <f aca="false">Calibration!$M$37+Calibration!$N$37+SUMPRODUCT(Calibration!$B$37:$F$37,J159:N159)+SUMPRODUCT(Calibration!$G$37:$K$37,U159:Y159)+Calibration!$L$37*Z159</f>
        <v>0.402779703893381</v>
      </c>
      <c r="AD159" s="27" t="n">
        <f aca="false">EXP(AC159)/(EXP(AA159)+EXP(AB159)+EXP(AC159))</f>
        <v>0.340679816058303</v>
      </c>
      <c r="AE159" s="7" t="str">
        <f aca="false">IF(AC159=MAX(AA159:AC159),"TVK",IF(AB159=MAX(AA159:AC159),"DMK+","AIADMK+"))</f>
        <v>DMK+</v>
      </c>
      <c r="AF159" s="7" t="str">
        <f aca="false">IF(AE159=R159,"Yes","No")</f>
        <v>No</v>
      </c>
      <c r="AG159" s="7" t="str">
        <f aca="false">IF(AE159=P159,"No","Yes")</f>
        <v>No</v>
      </c>
      <c r="AH159" s="7" t="str">
        <f aca="false">IF(H159=MAX(D159,E159,H159),"TVK",IF(E159=MAX(D159,E159,H159),"DMK+","AIADMK+"))</f>
        <v>DMK+</v>
      </c>
      <c r="AI159" s="27" t="n">
        <f aca="false">EXP(AA159)/(EXP(AA159)+EXP(AB159)+EXP(AC159))</f>
        <v>0.157702310130144</v>
      </c>
      <c r="AJ159" s="27" t="n">
        <f aca="false">EXP(AB159)/(EXP(AA159)+EXP(AB159)+EXP(AC159))</f>
        <v>0.501617873811554</v>
      </c>
      <c r="AK159" s="28" t="s">
        <v>3</v>
      </c>
      <c r="AL159" s="7" t="str">
        <f aca="false">IF(AK159=R159,"Yes","No")</f>
        <v>Yes</v>
      </c>
      <c r="AM159" s="27" t="n">
        <f aca="false">IF(AK159="TVK",AD159,IF(AK159="DMK+",AJ159,AI159))</f>
        <v>0.340679816058303</v>
      </c>
      <c r="AN159" s="7" t="str">
        <f aca="false">IF(AK159=P159,"No","Yes")</f>
        <v>Yes</v>
      </c>
    </row>
    <row r="160" customFormat="false" ht="15" hidden="true" customHeight="false" outlineLevel="0" collapsed="false">
      <c r="A160" s="0" t="n">
        <v>156</v>
      </c>
      <c r="B160" s="4" t="s">
        <v>342</v>
      </c>
      <c r="C160" s="5" t="s">
        <v>100</v>
      </c>
      <c r="D160" s="35" t="n">
        <v>6</v>
      </c>
      <c r="E160" s="35" t="n">
        <v>8</v>
      </c>
      <c r="F160" s="35"/>
      <c r="G160" s="35" t="n">
        <v>2</v>
      </c>
      <c r="H160" s="35" t="n">
        <v>3</v>
      </c>
      <c r="I160" s="5" t="n">
        <f aca="false">SUM(D160:H160)</f>
        <v>19</v>
      </c>
      <c r="J160" s="10" t="n">
        <f aca="false">IF($I160=0,0,D160/$I160)</f>
        <v>0.315789473684211</v>
      </c>
      <c r="K160" s="10" t="n">
        <f aca="false">IF($I160=0,0,E160/$I160)</f>
        <v>0.421052631578947</v>
      </c>
      <c r="L160" s="10" t="n">
        <f aca="false">IF($I160=0,0,F160/$I160)</f>
        <v>0</v>
      </c>
      <c r="M160" s="10" t="n">
        <f aca="false">IF($I160=0,0,G160/$I160)</f>
        <v>0.105263157894737</v>
      </c>
      <c r="N160" s="10" t="n">
        <f aca="false">IF($I160=0,0,H160/$I160)</f>
        <v>0.157894736842105</v>
      </c>
      <c r="O160" s="35" t="s">
        <v>197</v>
      </c>
      <c r="P160" s="0" t="str">
        <f aca="false">IF(O160="TVK","TVK",IF(O160="DMK","DMK+",IF(O160="ADMK","AIADMK+","")))</f>
        <v>DMK+</v>
      </c>
      <c r="Q160" s="35" t="s">
        <v>197</v>
      </c>
      <c r="R160" s="36" t="s">
        <v>5</v>
      </c>
      <c r="S160" s="0" t="str">
        <f aca="false">IF(P160=R160,"Yes","No")</f>
        <v>Yes</v>
      </c>
      <c r="T160" s="2"/>
      <c r="U160" s="27" t="n">
        <f aca="false">IFERROR(SUMIFS($D$5:$D$238,$C$5:$C$238,$C160)/SUMIFS($I$5:$I$238,$C$5:$C$238,$C160),0)</f>
        <v>0.32034632034632</v>
      </c>
      <c r="V160" s="27" t="n">
        <f aca="false">IFERROR(SUMIFS($E$5:$E$238,$C$5:$C$238,$C160)/SUMIFS($I$5:$I$238,$C$5:$C$238,$C160),0)</f>
        <v>0.406926406926407</v>
      </c>
      <c r="W160" s="27" t="n">
        <f aca="false">IFERROR(SUMIFS($F$5:$F$238,$C$5:$C$238,$C160)/SUMIFS($I$5:$I$238,$C$5:$C$238,$C160),0)</f>
        <v>0</v>
      </c>
      <c r="X160" s="27" t="n">
        <f aca="false">IFERROR(SUMIFS($G$5:$G$238,$C$5:$C$238,$C160)/SUMIFS($I$5:$I$238,$C$5:$C$238,$C160),0)</f>
        <v>0.051948051948052</v>
      </c>
      <c r="Y160" s="27" t="n">
        <f aca="false">IFERROR(SUMIFS($H$5:$H$238,$C$5:$C$238,$C160)/SUMIFS($I$5:$I$238,$C$5:$C$238,$C160),0)</f>
        <v>0.220779220779221</v>
      </c>
      <c r="Z160" s="24" t="n">
        <f aca="false">LN(MAX(I160,1))</f>
        <v>2.94443897916644</v>
      </c>
      <c r="AA160" s="24" t="n">
        <f aca="false">Calibration!$M$35+Calibration!$N$35+SUMPRODUCT(Calibration!$B$35:$F$35,J160:N160)+SUMPRODUCT(Calibration!$G$35:$K$35,U160:Y160)+Calibration!$L$35*Z160</f>
        <v>0.521553564879073</v>
      </c>
      <c r="AB160" s="24" t="n">
        <f aca="false">Calibration!$M$36+Calibration!$N$36+SUMPRODUCT(Calibration!$B$36:$F$36,J160:N160)+SUMPRODUCT(Calibration!$G$36:$K$36,U160:Y160)+Calibration!$L$36*Z160</f>
        <v>1.16776159458624</v>
      </c>
      <c r="AC160" s="24" t="n">
        <f aca="false">Calibration!$M$37+Calibration!$N$37+SUMPRODUCT(Calibration!$B$37:$F$37,J160:N160)+SUMPRODUCT(Calibration!$G$37:$K$37,U160:Y160)+Calibration!$L$37*Z160</f>
        <v>-0.864314594644167</v>
      </c>
      <c r="AD160" s="27" t="n">
        <f aca="false">EXP(AC160)/(EXP(AA160)+EXP(AB160)+EXP(AC160))</f>
        <v>0.0791878078942851</v>
      </c>
      <c r="AE160" s="7" t="str">
        <f aca="false">IF(AC160=MAX(AA160:AC160),"TVK",IF(AB160=MAX(AA160:AC160),"DMK+","AIADMK+"))</f>
        <v>DMK+</v>
      </c>
      <c r="AF160" s="7" t="str">
        <f aca="false">IF(AE160=R160,"Yes","No")</f>
        <v>Yes</v>
      </c>
      <c r="AG160" s="7" t="str">
        <f aca="false">IF(AE160=P160,"No","Yes")</f>
        <v>No</v>
      </c>
      <c r="AH160" s="7" t="str">
        <f aca="false">IF(H160=MAX(D160,E160,H160),"TVK",IF(E160=MAX(D160,E160,H160),"DMK+","AIADMK+"))</f>
        <v>DMK+</v>
      </c>
      <c r="AI160" s="27" t="n">
        <f aca="false">EXP(AA160)/(EXP(AA160)+EXP(AB160)+EXP(AC160))</f>
        <v>0.316616260460997</v>
      </c>
      <c r="AJ160" s="27" t="n">
        <f aca="false">EXP(AB160)/(EXP(AA160)+EXP(AB160)+EXP(AC160))</f>
        <v>0.604195931644718</v>
      </c>
      <c r="AK160" s="28" t="s">
        <v>5</v>
      </c>
      <c r="AL160" s="7" t="str">
        <f aca="false">IF(AK160=R160,"Yes","No")</f>
        <v>Yes</v>
      </c>
      <c r="AM160" s="27" t="n">
        <f aca="false">IF(AK160="TVK",AD160,IF(AK160="DMK+",AJ160,AI160))</f>
        <v>0.604195931644718</v>
      </c>
      <c r="AN160" s="7" t="str">
        <f aca="false">IF(AK160=P160,"No","Yes")</f>
        <v>No</v>
      </c>
    </row>
    <row r="161" customFormat="false" ht="15" hidden="true" customHeight="false" outlineLevel="0" collapsed="false">
      <c r="A161" s="0" t="n">
        <v>157</v>
      </c>
      <c r="B161" s="4" t="s">
        <v>343</v>
      </c>
      <c r="C161" s="5" t="s">
        <v>100</v>
      </c>
      <c r="D161" s="35" t="n">
        <v>3</v>
      </c>
      <c r="E161" s="35" t="n">
        <v>32</v>
      </c>
      <c r="F161" s="35"/>
      <c r="G161" s="35" t="n">
        <v>6</v>
      </c>
      <c r="H161" s="35" t="n">
        <v>6</v>
      </c>
      <c r="I161" s="5" t="n">
        <f aca="false">SUM(D161:H161)</f>
        <v>47</v>
      </c>
      <c r="J161" s="10" t="n">
        <f aca="false">IF($I161=0,0,D161/$I161)</f>
        <v>0.0638297872340426</v>
      </c>
      <c r="K161" s="10" t="n">
        <f aca="false">IF($I161=0,0,E161/$I161)</f>
        <v>0.680851063829787</v>
      </c>
      <c r="L161" s="10" t="n">
        <f aca="false">IF($I161=0,0,F161/$I161)</f>
        <v>0</v>
      </c>
      <c r="M161" s="10" t="n">
        <f aca="false">IF($I161=0,0,G161/$I161)</f>
        <v>0.127659574468085</v>
      </c>
      <c r="N161" s="10" t="n">
        <f aca="false">IF($I161=0,0,H161/$I161)</f>
        <v>0.127659574468085</v>
      </c>
      <c r="O161" s="35" t="s">
        <v>197</v>
      </c>
      <c r="P161" s="0" t="str">
        <f aca="false">IF(O161="TVK","TVK",IF(O161="DMK","DMK+",IF(O161="ADMK","AIADMK+","")))</f>
        <v>DMK+</v>
      </c>
      <c r="Q161" s="35" t="s">
        <v>196</v>
      </c>
      <c r="R161" s="36" t="s">
        <v>4</v>
      </c>
      <c r="S161" s="0" t="str">
        <f aca="false">IF(P161=R161,"Yes","No")</f>
        <v>No</v>
      </c>
      <c r="T161" s="2"/>
      <c r="U161" s="27" t="n">
        <f aca="false">IFERROR(SUMIFS($D$5:$D$238,$C$5:$C$238,$C161)/SUMIFS($I$5:$I$238,$C$5:$C$238,$C161),0)</f>
        <v>0.32034632034632</v>
      </c>
      <c r="V161" s="27" t="n">
        <f aca="false">IFERROR(SUMIFS($E$5:$E$238,$C$5:$C$238,$C161)/SUMIFS($I$5:$I$238,$C$5:$C$238,$C161),0)</f>
        <v>0.406926406926407</v>
      </c>
      <c r="W161" s="27" t="n">
        <f aca="false">IFERROR(SUMIFS($F$5:$F$238,$C$5:$C$238,$C161)/SUMIFS($I$5:$I$238,$C$5:$C$238,$C161),0)</f>
        <v>0</v>
      </c>
      <c r="X161" s="27" t="n">
        <f aca="false">IFERROR(SUMIFS($G$5:$G$238,$C$5:$C$238,$C161)/SUMIFS($I$5:$I$238,$C$5:$C$238,$C161),0)</f>
        <v>0.051948051948052</v>
      </c>
      <c r="Y161" s="27" t="n">
        <f aca="false">IFERROR(SUMIFS($H$5:$H$238,$C$5:$C$238,$C161)/SUMIFS($I$5:$I$238,$C$5:$C$238,$C161),0)</f>
        <v>0.220779220779221</v>
      </c>
      <c r="Z161" s="24" t="n">
        <f aca="false">LN(MAX(I161,1))</f>
        <v>3.85014760171006</v>
      </c>
      <c r="AA161" s="24" t="n">
        <f aca="false">Calibration!$M$35+Calibration!$N$35+SUMPRODUCT(Calibration!$B$35:$F$35,J161:N161)+SUMPRODUCT(Calibration!$G$35:$K$35,U161:Y161)+Calibration!$L$35*Z161</f>
        <v>-0.359754123335673</v>
      </c>
      <c r="AB161" s="24" t="n">
        <f aca="false">Calibration!$M$36+Calibration!$N$36+SUMPRODUCT(Calibration!$B$36:$F$36,J161:N161)+SUMPRODUCT(Calibration!$G$36:$K$36,U161:Y161)+Calibration!$L$36*Z161</f>
        <v>1.10934571473806</v>
      </c>
      <c r="AC161" s="24" t="n">
        <f aca="false">Calibration!$M$37+Calibration!$N$37+SUMPRODUCT(Calibration!$B$37:$F$37,J161:N161)+SUMPRODUCT(Calibration!$G$37:$K$37,U161:Y161)+Calibration!$L$37*Z161</f>
        <v>0.0754089431835947</v>
      </c>
      <c r="AD161" s="27" t="n">
        <f aca="false">EXP(AC161)/(EXP(AA161)+EXP(AB161)+EXP(AC161))</f>
        <v>0.224251757754532</v>
      </c>
      <c r="AE161" s="7" t="str">
        <f aca="false">IF(AC161=MAX(AA161:AC161),"TVK",IF(AB161=MAX(AA161:AC161),"DMK+","AIADMK+"))</f>
        <v>DMK+</v>
      </c>
      <c r="AF161" s="7" t="str">
        <f aca="false">IF(AE161=R161,"Yes","No")</f>
        <v>No</v>
      </c>
      <c r="AG161" s="7" t="str">
        <f aca="false">IF(AE161=P161,"No","Yes")</f>
        <v>No</v>
      </c>
      <c r="AH161" s="7" t="str">
        <f aca="false">IF(H161=MAX(D161,E161,H161),"TVK",IF(E161=MAX(D161,E161,H161),"DMK+","AIADMK+"))</f>
        <v>DMK+</v>
      </c>
      <c r="AI161" s="27" t="n">
        <f aca="false">EXP(AA161)/(EXP(AA161)+EXP(AB161)+EXP(AC161))</f>
        <v>0.145126572110071</v>
      </c>
      <c r="AJ161" s="27" t="n">
        <f aca="false">EXP(AB161)/(EXP(AA161)+EXP(AB161)+EXP(AC161))</f>
        <v>0.630621670135397</v>
      </c>
      <c r="AK161" s="28" t="s">
        <v>5</v>
      </c>
      <c r="AL161" s="7" t="str">
        <f aca="false">IF(AK161=R161,"Yes","No")</f>
        <v>No</v>
      </c>
      <c r="AM161" s="27" t="n">
        <f aca="false">IF(AK161="TVK",AD161,IF(AK161="DMK+",AJ161,AI161))</f>
        <v>0.630621670135397</v>
      </c>
      <c r="AN161" s="7" t="str">
        <f aca="false">IF(AK161=P161,"No","Yes")</f>
        <v>No</v>
      </c>
    </row>
    <row r="162" customFormat="false" ht="15" hidden="true" customHeight="false" outlineLevel="0" collapsed="false">
      <c r="A162" s="0" t="n">
        <v>158</v>
      </c>
      <c r="B162" s="4" t="s">
        <v>344</v>
      </c>
      <c r="C162" s="5" t="s">
        <v>100</v>
      </c>
      <c r="D162" s="35" t="n">
        <v>7</v>
      </c>
      <c r="E162" s="35" t="n">
        <v>4</v>
      </c>
      <c r="F162" s="35"/>
      <c r="G162" s="35" t="n">
        <v>1</v>
      </c>
      <c r="H162" s="35" t="n">
        <v>4</v>
      </c>
      <c r="I162" s="5" t="n">
        <f aca="false">SUM(D162:H162)</f>
        <v>16</v>
      </c>
      <c r="J162" s="10" t="n">
        <f aca="false">IF($I162=0,0,D162/$I162)</f>
        <v>0.4375</v>
      </c>
      <c r="K162" s="10" t="n">
        <f aca="false">IF($I162=0,0,E162/$I162)</f>
        <v>0.25</v>
      </c>
      <c r="L162" s="10" t="n">
        <f aca="false">IF($I162=0,0,F162/$I162)</f>
        <v>0</v>
      </c>
      <c r="M162" s="10" t="n">
        <f aca="false">IF($I162=0,0,G162/$I162)</f>
        <v>0.0625</v>
      </c>
      <c r="N162" s="10" t="n">
        <f aca="false">IF($I162=0,0,H162/$I162)</f>
        <v>0.25</v>
      </c>
      <c r="O162" s="35" t="s">
        <v>218</v>
      </c>
      <c r="P162" s="0" t="str">
        <f aca="false">IF(O162="TVK","TVK",IF(O162="DMK","DMK+",IF(O162="ADMK","AIADMK+","")))</f>
        <v>AIADMK+</v>
      </c>
      <c r="Q162" s="35" t="s">
        <v>197</v>
      </c>
      <c r="R162" s="36" t="s">
        <v>5</v>
      </c>
      <c r="S162" s="0" t="str">
        <f aca="false">IF(P162=R162,"Yes","No")</f>
        <v>No</v>
      </c>
      <c r="T162" s="2"/>
      <c r="U162" s="27" t="n">
        <f aca="false">IFERROR(SUMIFS($D$5:$D$238,$C$5:$C$238,$C162)/SUMIFS($I$5:$I$238,$C$5:$C$238,$C162),0)</f>
        <v>0.32034632034632</v>
      </c>
      <c r="V162" s="27" t="n">
        <f aca="false">IFERROR(SUMIFS($E$5:$E$238,$C$5:$C$238,$C162)/SUMIFS($I$5:$I$238,$C$5:$C$238,$C162),0)</f>
        <v>0.406926406926407</v>
      </c>
      <c r="W162" s="27" t="n">
        <f aca="false">IFERROR(SUMIFS($F$5:$F$238,$C$5:$C$238,$C162)/SUMIFS($I$5:$I$238,$C$5:$C$238,$C162),0)</f>
        <v>0</v>
      </c>
      <c r="X162" s="27" t="n">
        <f aca="false">IFERROR(SUMIFS($G$5:$G$238,$C$5:$C$238,$C162)/SUMIFS($I$5:$I$238,$C$5:$C$238,$C162),0)</f>
        <v>0.051948051948052</v>
      </c>
      <c r="Y162" s="27" t="n">
        <f aca="false">IFERROR(SUMIFS($H$5:$H$238,$C$5:$C$238,$C162)/SUMIFS($I$5:$I$238,$C$5:$C$238,$C162),0)</f>
        <v>0.220779220779221</v>
      </c>
      <c r="Z162" s="24" t="n">
        <f aca="false">LN(MAX(I162,1))</f>
        <v>2.77258872223978</v>
      </c>
      <c r="AA162" s="24" t="n">
        <f aca="false">Calibration!$M$35+Calibration!$N$35+SUMPRODUCT(Calibration!$B$35:$F$35,J162:N162)+SUMPRODUCT(Calibration!$G$35:$K$35,U162:Y162)+Calibration!$L$35*Z162</f>
        <v>0.826197780801342</v>
      </c>
      <c r="AB162" s="24" t="n">
        <f aca="false">Calibration!$M$36+Calibration!$N$36+SUMPRODUCT(Calibration!$B$36:$F$36,J162:N162)+SUMPRODUCT(Calibration!$G$36:$K$36,U162:Y162)+Calibration!$L$36*Z162</f>
        <v>0.952239780177735</v>
      </c>
      <c r="AC162" s="24" t="n">
        <f aca="false">Calibration!$M$37+Calibration!$N$37+SUMPRODUCT(Calibration!$B$37:$F$37,J162:N162)+SUMPRODUCT(Calibration!$G$37:$K$37,U162:Y162)+Calibration!$L$37*Z162</f>
        <v>-0.953436904052671</v>
      </c>
      <c r="AD162" s="27" t="n">
        <f aca="false">EXP(AC162)/(EXP(AA162)+EXP(AB162)+EXP(AC162))</f>
        <v>0.0732512367919789</v>
      </c>
      <c r="AE162" s="7" t="str">
        <f aca="false">IF(AC162=MAX(AA162:AC162),"TVK",IF(AB162=MAX(AA162:AC162),"DMK+","AIADMK+"))</f>
        <v>DMK+</v>
      </c>
      <c r="AF162" s="7" t="str">
        <f aca="false">IF(AE162=R162,"Yes","No")</f>
        <v>Yes</v>
      </c>
      <c r="AG162" s="7" t="str">
        <f aca="false">IF(AE162=P162,"No","Yes")</f>
        <v>Yes</v>
      </c>
      <c r="AH162" s="7" t="str">
        <f aca="false">IF(H162=MAX(D162,E162,H162),"TVK",IF(E162=MAX(D162,E162,H162),"DMK+","AIADMK+"))</f>
        <v>AIADMK+</v>
      </c>
      <c r="AI162" s="27" t="n">
        <f aca="false">EXP(AA162)/(EXP(AA162)+EXP(AB162)+EXP(AC162))</f>
        <v>0.434210663951211</v>
      </c>
      <c r="AJ162" s="27" t="n">
        <f aca="false">EXP(AB162)/(EXP(AA162)+EXP(AB162)+EXP(AC162))</f>
        <v>0.49253809925681</v>
      </c>
      <c r="AK162" s="28" t="s">
        <v>5</v>
      </c>
      <c r="AL162" s="7" t="str">
        <f aca="false">IF(AK162=R162,"Yes","No")</f>
        <v>Yes</v>
      </c>
      <c r="AM162" s="27" t="n">
        <f aca="false">IF(AK162="TVK",AD162,IF(AK162="DMK+",AJ162,AI162))</f>
        <v>0.49253809925681</v>
      </c>
      <c r="AN162" s="7" t="str">
        <f aca="false">IF(AK162=P162,"No","Yes")</f>
        <v>Yes</v>
      </c>
    </row>
    <row r="163" customFormat="false" ht="15" hidden="true" customHeight="false" outlineLevel="0" collapsed="false">
      <c r="A163" s="0" t="n">
        <v>159</v>
      </c>
      <c r="B163" s="4" t="s">
        <v>345</v>
      </c>
      <c r="C163" s="5" t="s">
        <v>100</v>
      </c>
      <c r="D163" s="35" t="n">
        <v>9</v>
      </c>
      <c r="E163" s="35" t="n">
        <v>3</v>
      </c>
      <c r="F163" s="35"/>
      <c r="G163" s="35"/>
      <c r="H163" s="35" t="n">
        <v>2</v>
      </c>
      <c r="I163" s="5" t="n">
        <f aca="false">SUM(D163:H163)</f>
        <v>14</v>
      </c>
      <c r="J163" s="10" t="n">
        <f aca="false">IF($I163=0,0,D163/$I163)</f>
        <v>0.642857142857143</v>
      </c>
      <c r="K163" s="10" t="n">
        <f aca="false">IF($I163=0,0,E163/$I163)</f>
        <v>0.214285714285714</v>
      </c>
      <c r="L163" s="10" t="n">
        <f aca="false">IF($I163=0,0,F163/$I163)</f>
        <v>0</v>
      </c>
      <c r="M163" s="10" t="n">
        <f aca="false">IF($I163=0,0,G163/$I163)</f>
        <v>0</v>
      </c>
      <c r="N163" s="10" t="n">
        <f aca="false">IF($I163=0,0,H163/$I163)</f>
        <v>0.142857142857143</v>
      </c>
      <c r="O163" s="35" t="s">
        <v>218</v>
      </c>
      <c r="P163" s="0" t="str">
        <f aca="false">IF(O163="TVK","TVK",IF(O163="DMK","DMK+",IF(O163="ADMK","AIADMK+","")))</f>
        <v>AIADMK+</v>
      </c>
      <c r="Q163" s="35" t="s">
        <v>264</v>
      </c>
      <c r="R163" s="36" t="s">
        <v>5</v>
      </c>
      <c r="S163" s="0" t="str">
        <f aca="false">IF(P163=R163,"Yes","No")</f>
        <v>No</v>
      </c>
      <c r="T163" s="2"/>
      <c r="U163" s="27" t="n">
        <f aca="false">IFERROR(SUMIFS($D$5:$D$238,$C$5:$C$238,$C163)/SUMIFS($I$5:$I$238,$C$5:$C$238,$C163),0)</f>
        <v>0.32034632034632</v>
      </c>
      <c r="V163" s="27" t="n">
        <f aca="false">IFERROR(SUMIFS($E$5:$E$238,$C$5:$C$238,$C163)/SUMIFS($I$5:$I$238,$C$5:$C$238,$C163),0)</f>
        <v>0.406926406926407</v>
      </c>
      <c r="W163" s="27" t="n">
        <f aca="false">IFERROR(SUMIFS($F$5:$F$238,$C$5:$C$238,$C163)/SUMIFS($I$5:$I$238,$C$5:$C$238,$C163),0)</f>
        <v>0</v>
      </c>
      <c r="X163" s="27" t="n">
        <f aca="false">IFERROR(SUMIFS($G$5:$G$238,$C$5:$C$238,$C163)/SUMIFS($I$5:$I$238,$C$5:$C$238,$C163),0)</f>
        <v>0.051948051948052</v>
      </c>
      <c r="Y163" s="27" t="n">
        <f aca="false">IFERROR(SUMIFS($H$5:$H$238,$C$5:$C$238,$C163)/SUMIFS($I$5:$I$238,$C$5:$C$238,$C163),0)</f>
        <v>0.220779220779221</v>
      </c>
      <c r="Z163" s="24" t="n">
        <f aca="false">LN(MAX(I163,1))</f>
        <v>2.63905732961526</v>
      </c>
      <c r="AA163" s="24" t="n">
        <f aca="false">Calibration!$M$35+Calibration!$N$35+SUMPRODUCT(Calibration!$B$35:$F$35,J163:N163)+SUMPRODUCT(Calibration!$G$35:$K$35,U163:Y163)+Calibration!$L$35*Z163</f>
        <v>1.12255335420253</v>
      </c>
      <c r="AB163" s="24" t="n">
        <f aca="false">Calibration!$M$36+Calibration!$N$36+SUMPRODUCT(Calibration!$B$36:$F$36,J163:N163)+SUMPRODUCT(Calibration!$G$36:$K$36,U163:Y163)+Calibration!$L$36*Z163</f>
        <v>0.854146197215142</v>
      </c>
      <c r="AC163" s="24" t="n">
        <f aca="false">Calibration!$M$37+Calibration!$N$37+SUMPRODUCT(Calibration!$B$37:$F$37,J163:N163)+SUMPRODUCT(Calibration!$G$37:$K$37,U163:Y163)+Calibration!$L$37*Z163</f>
        <v>-1.15169900163413</v>
      </c>
      <c r="AD163" s="27" t="n">
        <f aca="false">EXP(AC163)/(EXP(AA163)+EXP(AB163)+EXP(AC163))</f>
        <v>0.0550872472833723</v>
      </c>
      <c r="AE163" s="7" t="str">
        <f aca="false">IF(AC163=MAX(AA163:AC163),"TVK",IF(AB163=MAX(AA163:AC163),"DMK+","AIADMK+"))</f>
        <v>AIADMK+</v>
      </c>
      <c r="AF163" s="7" t="str">
        <f aca="false">IF(AE163=R163,"Yes","No")</f>
        <v>No</v>
      </c>
      <c r="AG163" s="7" t="str">
        <f aca="false">IF(AE163=P163,"No","Yes")</f>
        <v>No</v>
      </c>
      <c r="AH163" s="7" t="str">
        <f aca="false">IF(H163=MAX(D163,E163,H163),"TVK",IF(E163=MAX(D163,E163,H163),"DMK+","AIADMK+"))</f>
        <v>AIADMK+</v>
      </c>
      <c r="AI163" s="27" t="n">
        <f aca="false">EXP(AA163)/(EXP(AA163)+EXP(AB163)+EXP(AC163))</f>
        <v>0.535483779177969</v>
      </c>
      <c r="AJ163" s="27" t="n">
        <f aca="false">EXP(AB163)/(EXP(AA163)+EXP(AB163)+EXP(AC163))</f>
        <v>0.409428973538659</v>
      </c>
      <c r="AK163" s="28" t="s">
        <v>5</v>
      </c>
      <c r="AL163" s="7" t="str">
        <f aca="false">IF(AK163=R163,"Yes","No")</f>
        <v>Yes</v>
      </c>
      <c r="AM163" s="27" t="n">
        <f aca="false">IF(AK163="TVK",AD163,IF(AK163="DMK+",AJ163,AI163))</f>
        <v>0.409428973538659</v>
      </c>
      <c r="AN163" s="7" t="str">
        <f aca="false">IF(AK163=P163,"No","Yes")</f>
        <v>Yes</v>
      </c>
    </row>
    <row r="164" customFormat="false" ht="15" hidden="true" customHeight="false" outlineLevel="0" collapsed="false">
      <c r="A164" s="0" t="n">
        <v>160</v>
      </c>
      <c r="B164" s="4" t="s">
        <v>346</v>
      </c>
      <c r="C164" s="5" t="s">
        <v>120</v>
      </c>
      <c r="D164" s="35" t="n">
        <v>13</v>
      </c>
      <c r="E164" s="35" t="n">
        <v>4</v>
      </c>
      <c r="F164" s="35"/>
      <c r="G164" s="35" t="n">
        <v>4</v>
      </c>
      <c r="H164" s="35" t="n">
        <v>9</v>
      </c>
      <c r="I164" s="5" t="n">
        <f aca="false">SUM(D164:H164)</f>
        <v>30</v>
      </c>
      <c r="J164" s="10" t="n">
        <f aca="false">IF($I164=0,0,D164/$I164)</f>
        <v>0.433333333333333</v>
      </c>
      <c r="K164" s="10" t="n">
        <f aca="false">IF($I164=0,0,E164/$I164)</f>
        <v>0.133333333333333</v>
      </c>
      <c r="L164" s="10" t="n">
        <f aca="false">IF($I164=0,0,F164/$I164)</f>
        <v>0</v>
      </c>
      <c r="M164" s="10" t="n">
        <f aca="false">IF($I164=0,0,G164/$I164)</f>
        <v>0.133333333333333</v>
      </c>
      <c r="N164" s="10" t="n">
        <f aca="false">IF($I164=0,0,H164/$I164)</f>
        <v>0.3</v>
      </c>
      <c r="O164" s="35" t="s">
        <v>218</v>
      </c>
      <c r="P164" s="0" t="str">
        <f aca="false">IF(O164="TVK","TVK",IF(O164="DMK","DMK+",IF(O164="ADMK","AIADMK+","")))</f>
        <v>AIADMK+</v>
      </c>
      <c r="Q164" s="35" t="s">
        <v>197</v>
      </c>
      <c r="R164" s="36" t="s">
        <v>5</v>
      </c>
      <c r="S164" s="0" t="str">
        <f aca="false">IF(P164=R164,"Yes","No")</f>
        <v>No</v>
      </c>
      <c r="T164" s="2"/>
      <c r="U164" s="27" t="n">
        <f aca="false">IFERROR(SUMIFS($D$5:$D$238,$C$5:$C$238,$C164)/SUMIFS($I$5:$I$238,$C$5:$C$238,$C164),0)</f>
        <v>0.413223140495868</v>
      </c>
      <c r="V164" s="27" t="n">
        <f aca="false">IFERROR(SUMIFS($E$5:$E$238,$C$5:$C$238,$C164)/SUMIFS($I$5:$I$238,$C$5:$C$238,$C164),0)</f>
        <v>0.247933884297521</v>
      </c>
      <c r="W164" s="27" t="n">
        <f aca="false">IFERROR(SUMIFS($F$5:$F$238,$C$5:$C$238,$C164)/SUMIFS($I$5:$I$238,$C$5:$C$238,$C164),0)</f>
        <v>0.00826446280991736</v>
      </c>
      <c r="X164" s="27" t="n">
        <f aca="false">IFERROR(SUMIFS($G$5:$G$238,$C$5:$C$238,$C164)/SUMIFS($I$5:$I$238,$C$5:$C$238,$C164),0)</f>
        <v>0.0826446280991736</v>
      </c>
      <c r="Y164" s="27" t="n">
        <f aca="false">IFERROR(SUMIFS($H$5:$H$238,$C$5:$C$238,$C164)/SUMIFS($I$5:$I$238,$C$5:$C$238,$C164),0)</f>
        <v>0.247933884297521</v>
      </c>
      <c r="Z164" s="24" t="n">
        <f aca="false">LN(MAX(I164,1))</f>
        <v>3.40119738166216</v>
      </c>
      <c r="AA164" s="24" t="n">
        <f aca="false">Calibration!$M$35+Calibration!$N$35+SUMPRODUCT(Calibration!$B$35:$F$35,J164:N164)+SUMPRODUCT(Calibration!$G$35:$K$35,U164:Y164)+Calibration!$L$35*Z164</f>
        <v>0.703155170582354</v>
      </c>
      <c r="AB164" s="24" t="n">
        <f aca="false">Calibration!$M$36+Calibration!$N$36+SUMPRODUCT(Calibration!$B$36:$F$36,J164:N164)+SUMPRODUCT(Calibration!$G$36:$K$36,U164:Y164)+Calibration!$L$36*Z164</f>
        <v>0.271001206733873</v>
      </c>
      <c r="AC164" s="24" t="n">
        <f aca="false">Calibration!$M$37+Calibration!$N$37+SUMPRODUCT(Calibration!$B$37:$F$37,J164:N164)+SUMPRODUCT(Calibration!$G$37:$K$37,U164:Y164)+Calibration!$L$37*Z164</f>
        <v>-0.149155829382343</v>
      </c>
      <c r="AD164" s="27" t="n">
        <f aca="false">EXP(AC164)/(EXP(AA164)+EXP(AB164)+EXP(AC164))</f>
        <v>0.205454377942988</v>
      </c>
      <c r="AE164" s="7" t="str">
        <f aca="false">IF(AC164=MAX(AA164:AC164),"TVK",IF(AB164=MAX(AA164:AC164),"DMK+","AIADMK+"))</f>
        <v>AIADMK+</v>
      </c>
      <c r="AF164" s="7" t="str">
        <f aca="false">IF(AE164=R164,"Yes","No")</f>
        <v>No</v>
      </c>
      <c r="AG164" s="7" t="str">
        <f aca="false">IF(AE164=P164,"No","Yes")</f>
        <v>No</v>
      </c>
      <c r="AH164" s="7" t="str">
        <f aca="false">IF(H164=MAX(D164,E164,H164),"TVK",IF(E164=MAX(D164,E164,H164),"DMK+","AIADMK+"))</f>
        <v>AIADMK+</v>
      </c>
      <c r="AI164" s="27" t="n">
        <f aca="false">EXP(AA164)/(EXP(AA164)+EXP(AB164)+EXP(AC164))</f>
        <v>0.481802849339811</v>
      </c>
      <c r="AJ164" s="27" t="n">
        <f aca="false">EXP(AB164)/(EXP(AA164)+EXP(AB164)+EXP(AC164))</f>
        <v>0.312742772717201</v>
      </c>
      <c r="AK164" s="28" t="s">
        <v>5</v>
      </c>
      <c r="AL164" s="7" t="str">
        <f aca="false">IF(AK164=R164,"Yes","No")</f>
        <v>Yes</v>
      </c>
      <c r="AM164" s="27" t="n">
        <f aca="false">IF(AK164="TVK",AD164,IF(AK164="DMK+",AJ164,AI164))</f>
        <v>0.312742772717201</v>
      </c>
      <c r="AN164" s="7" t="str">
        <f aca="false">IF(AK164=P164,"No","Yes")</f>
        <v>Yes</v>
      </c>
    </row>
    <row r="165" customFormat="false" ht="15" hidden="true" customHeight="false" outlineLevel="0" collapsed="false">
      <c r="A165" s="0" t="n">
        <v>161</v>
      </c>
      <c r="B165" s="4" t="s">
        <v>347</v>
      </c>
      <c r="C165" s="5" t="s">
        <v>120</v>
      </c>
      <c r="D165" s="35" t="n">
        <v>23</v>
      </c>
      <c r="E165" s="35" t="n">
        <v>22</v>
      </c>
      <c r="F165" s="35" t="n">
        <v>1</v>
      </c>
      <c r="G165" s="35" t="n">
        <v>3</v>
      </c>
      <c r="H165" s="35" t="n">
        <v>10</v>
      </c>
      <c r="I165" s="5" t="n">
        <f aca="false">SUM(D165:H165)</f>
        <v>59</v>
      </c>
      <c r="J165" s="10" t="n">
        <f aca="false">IF($I165=0,0,D165/$I165)</f>
        <v>0.389830508474576</v>
      </c>
      <c r="K165" s="10" t="n">
        <f aca="false">IF($I165=0,0,E165/$I165)</f>
        <v>0.372881355932203</v>
      </c>
      <c r="L165" s="10" t="n">
        <f aca="false">IF($I165=0,0,F165/$I165)</f>
        <v>0.0169491525423729</v>
      </c>
      <c r="M165" s="10" t="n">
        <f aca="false">IF($I165=0,0,G165/$I165)</f>
        <v>0.0508474576271187</v>
      </c>
      <c r="N165" s="10" t="n">
        <f aca="false">IF($I165=0,0,H165/$I165)</f>
        <v>0.169491525423729</v>
      </c>
      <c r="O165" s="35" t="s">
        <v>218</v>
      </c>
      <c r="P165" s="0" t="str">
        <f aca="false">IF(O165="TVK","TVK",IF(O165="DMK","DMK+",IF(O165="ADMK","AIADMK+","")))</f>
        <v>AIADMK+</v>
      </c>
      <c r="Q165" s="35" t="s">
        <v>348</v>
      </c>
      <c r="R165" s="36" t="s">
        <v>5</v>
      </c>
      <c r="S165" s="0" t="str">
        <f aca="false">IF(P165=R165,"Yes","No")</f>
        <v>No</v>
      </c>
      <c r="T165" s="2"/>
      <c r="U165" s="27" t="n">
        <f aca="false">IFERROR(SUMIFS($D$5:$D$238,$C$5:$C$238,$C165)/SUMIFS($I$5:$I$238,$C$5:$C$238,$C165),0)</f>
        <v>0.413223140495868</v>
      </c>
      <c r="V165" s="27" t="n">
        <f aca="false">IFERROR(SUMIFS($E$5:$E$238,$C$5:$C$238,$C165)/SUMIFS($I$5:$I$238,$C$5:$C$238,$C165),0)</f>
        <v>0.247933884297521</v>
      </c>
      <c r="W165" s="27" t="n">
        <f aca="false">IFERROR(SUMIFS($F$5:$F$238,$C$5:$C$238,$C165)/SUMIFS($I$5:$I$238,$C$5:$C$238,$C165),0)</f>
        <v>0.00826446280991736</v>
      </c>
      <c r="X165" s="27" t="n">
        <f aca="false">IFERROR(SUMIFS($G$5:$G$238,$C$5:$C$238,$C165)/SUMIFS($I$5:$I$238,$C$5:$C$238,$C165),0)</f>
        <v>0.0826446280991736</v>
      </c>
      <c r="Y165" s="27" t="n">
        <f aca="false">IFERROR(SUMIFS($H$5:$H$238,$C$5:$C$238,$C165)/SUMIFS($I$5:$I$238,$C$5:$C$238,$C165),0)</f>
        <v>0.247933884297521</v>
      </c>
      <c r="Z165" s="24" t="n">
        <f aca="false">LN(MAX(I165,1))</f>
        <v>4.07753744390572</v>
      </c>
      <c r="AA165" s="24" t="n">
        <f aca="false">Calibration!$M$35+Calibration!$N$35+SUMPRODUCT(Calibration!$B$35:$F$35,J165:N165)+SUMPRODUCT(Calibration!$G$35:$K$35,U165:Y165)+Calibration!$L$35*Z165</f>
        <v>0.158376545086047</v>
      </c>
      <c r="AB165" s="24" t="n">
        <f aca="false">Calibration!$M$36+Calibration!$N$36+SUMPRODUCT(Calibration!$B$36:$F$36,J165:N165)+SUMPRODUCT(Calibration!$G$36:$K$36,U165:Y165)+Calibration!$L$36*Z165</f>
        <v>0.17883770639532</v>
      </c>
      <c r="AC165" s="24" t="n">
        <f aca="false">Calibration!$M$37+Calibration!$N$37+SUMPRODUCT(Calibration!$B$37:$F$37,J165:N165)+SUMPRODUCT(Calibration!$G$37:$K$37,U165:Y165)+Calibration!$L$37*Z165</f>
        <v>0.487786165944043</v>
      </c>
      <c r="AD165" s="27" t="n">
        <f aca="false">EXP(AC165)/(EXP(AA165)+EXP(AB165)+EXP(AC165))</f>
        <v>0.407569892229726</v>
      </c>
      <c r="AE165" s="7" t="str">
        <f aca="false">IF(AC165=MAX(AA165:AC165),"TVK",IF(AB165=MAX(AA165:AC165),"DMK+","AIADMK+"))</f>
        <v>TVK</v>
      </c>
      <c r="AF165" s="7" t="str">
        <f aca="false">IF(AE165=R165,"Yes","No")</f>
        <v>No</v>
      </c>
      <c r="AG165" s="7" t="str">
        <f aca="false">IF(AE165=P165,"No","Yes")</f>
        <v>Yes</v>
      </c>
      <c r="AH165" s="7" t="str">
        <f aca="false">IF(H165=MAX(D165,E165,H165),"TVK",IF(E165=MAX(D165,E165,H165),"DMK+","AIADMK+"))</f>
        <v>AIADMK+</v>
      </c>
      <c r="AI165" s="27" t="n">
        <f aca="false">EXP(AA165)/(EXP(AA165)+EXP(AB165)+EXP(AC165))</f>
        <v>0.293184707608019</v>
      </c>
      <c r="AJ165" s="27" t="n">
        <f aca="false">EXP(AB165)/(EXP(AA165)+EXP(AB165)+EXP(AC165))</f>
        <v>0.299245400162255</v>
      </c>
      <c r="AK165" s="28" t="s">
        <v>5</v>
      </c>
      <c r="AL165" s="7" t="str">
        <f aca="false">IF(AK165=R165,"Yes","No")</f>
        <v>Yes</v>
      </c>
      <c r="AM165" s="27" t="n">
        <f aca="false">IF(AK165="TVK",AD165,IF(AK165="DMK+",AJ165,AI165))</f>
        <v>0.299245400162255</v>
      </c>
      <c r="AN165" s="7" t="str">
        <f aca="false">IF(AK165=P165,"No","Yes")</f>
        <v>Yes</v>
      </c>
    </row>
    <row r="166" customFormat="false" ht="15" hidden="true" customHeight="false" outlineLevel="0" collapsed="false">
      <c r="A166" s="0" t="n">
        <v>162</v>
      </c>
      <c r="B166" s="4" t="s">
        <v>349</v>
      </c>
      <c r="C166" s="5" t="s">
        <v>120</v>
      </c>
      <c r="D166" s="35" t="n">
        <v>14</v>
      </c>
      <c r="E166" s="35" t="n">
        <v>4</v>
      </c>
      <c r="F166" s="35"/>
      <c r="G166" s="35" t="n">
        <v>3</v>
      </c>
      <c r="H166" s="35" t="n">
        <v>11</v>
      </c>
      <c r="I166" s="5" t="n">
        <f aca="false">SUM(D166:H166)</f>
        <v>32</v>
      </c>
      <c r="J166" s="10" t="n">
        <f aca="false">IF($I166=0,0,D166/$I166)</f>
        <v>0.4375</v>
      </c>
      <c r="K166" s="10" t="n">
        <f aca="false">IF($I166=0,0,E166/$I166)</f>
        <v>0.125</v>
      </c>
      <c r="L166" s="10" t="n">
        <f aca="false">IF($I166=0,0,F166/$I166)</f>
        <v>0</v>
      </c>
      <c r="M166" s="10" t="n">
        <f aca="false">IF($I166=0,0,G166/$I166)</f>
        <v>0.09375</v>
      </c>
      <c r="N166" s="10" t="n">
        <f aca="false">IF($I166=0,0,H166/$I166)</f>
        <v>0.34375</v>
      </c>
      <c r="O166" s="35" t="s">
        <v>218</v>
      </c>
      <c r="P166" s="0" t="str">
        <f aca="false">IF(O166="TVK","TVK",IF(O166="DMK","DMK+",IF(O166="ADMK","AIADMK+","")))</f>
        <v>AIADMK+</v>
      </c>
      <c r="Q166" s="35" t="s">
        <v>197</v>
      </c>
      <c r="R166" s="36" t="s">
        <v>5</v>
      </c>
      <c r="S166" s="0" t="str">
        <f aca="false">IF(P166=R166,"Yes","No")</f>
        <v>No</v>
      </c>
      <c r="T166" s="2"/>
      <c r="U166" s="27" t="n">
        <f aca="false">IFERROR(SUMIFS($D$5:$D$238,$C$5:$C$238,$C166)/SUMIFS($I$5:$I$238,$C$5:$C$238,$C166),0)</f>
        <v>0.413223140495868</v>
      </c>
      <c r="V166" s="27" t="n">
        <f aca="false">IFERROR(SUMIFS($E$5:$E$238,$C$5:$C$238,$C166)/SUMIFS($I$5:$I$238,$C$5:$C$238,$C166),0)</f>
        <v>0.247933884297521</v>
      </c>
      <c r="W166" s="27" t="n">
        <f aca="false">IFERROR(SUMIFS($F$5:$F$238,$C$5:$C$238,$C166)/SUMIFS($I$5:$I$238,$C$5:$C$238,$C166),0)</f>
        <v>0.00826446280991736</v>
      </c>
      <c r="X166" s="27" t="n">
        <f aca="false">IFERROR(SUMIFS($G$5:$G$238,$C$5:$C$238,$C166)/SUMIFS($I$5:$I$238,$C$5:$C$238,$C166),0)</f>
        <v>0.0826446280991736</v>
      </c>
      <c r="Y166" s="27" t="n">
        <f aca="false">IFERROR(SUMIFS($H$5:$H$238,$C$5:$C$238,$C166)/SUMIFS($I$5:$I$238,$C$5:$C$238,$C166),0)</f>
        <v>0.247933884297521</v>
      </c>
      <c r="Z166" s="24" t="n">
        <f aca="false">LN(MAX(I166,1))</f>
        <v>3.46573590279973</v>
      </c>
      <c r="AA166" s="24" t="n">
        <f aca="false">Calibration!$M$35+Calibration!$N$35+SUMPRODUCT(Calibration!$B$35:$F$35,J166:N166)+SUMPRODUCT(Calibration!$G$35:$K$35,U166:Y166)+Calibration!$L$35*Z166</f>
        <v>0.669682492819614</v>
      </c>
      <c r="AB166" s="24" t="n">
        <f aca="false">Calibration!$M$36+Calibration!$N$36+SUMPRODUCT(Calibration!$B$36:$F$36,J166:N166)+SUMPRODUCT(Calibration!$G$36:$K$36,U166:Y166)+Calibration!$L$36*Z166</f>
        <v>0.198594257818833</v>
      </c>
      <c r="AC166" s="24" t="n">
        <f aca="false">Calibration!$M$37+Calibration!$N$37+SUMPRODUCT(Calibration!$B$37:$F$37,J166:N166)+SUMPRODUCT(Calibration!$G$37:$K$37,U166:Y166)+Calibration!$L$37*Z166</f>
        <v>-0.0432761589545634</v>
      </c>
      <c r="AD166" s="27" t="n">
        <f aca="false">EXP(AC166)/(EXP(AA166)+EXP(AB166)+EXP(AC166))</f>
        <v>0.231822390107</v>
      </c>
      <c r="AE166" s="7" t="str">
        <f aca="false">IF(AC166=MAX(AA166:AC166),"TVK",IF(AB166=MAX(AA166:AC166),"DMK+","AIADMK+"))</f>
        <v>AIADMK+</v>
      </c>
      <c r="AF166" s="7" t="str">
        <f aca="false">IF(AE166=R166,"Yes","No")</f>
        <v>No</v>
      </c>
      <c r="AG166" s="7" t="str">
        <f aca="false">IF(AE166=P166,"No","Yes")</f>
        <v>No</v>
      </c>
      <c r="AH166" s="7" t="str">
        <f aca="false">IF(H166=MAX(D166,E166,H166),"TVK",IF(E166=MAX(D166,E166,H166),"DMK+","AIADMK+"))</f>
        <v>AIADMK+</v>
      </c>
      <c r="AI166" s="27" t="n">
        <f aca="false">EXP(AA166)/(EXP(AA166)+EXP(AB166)+EXP(AC166))</f>
        <v>0.472921858281946</v>
      </c>
      <c r="AJ166" s="27" t="n">
        <f aca="false">EXP(AB166)/(EXP(AA166)+EXP(AB166)+EXP(AC166))</f>
        <v>0.295255751611054</v>
      </c>
      <c r="AK166" s="28" t="s">
        <v>5</v>
      </c>
      <c r="AL166" s="7" t="str">
        <f aca="false">IF(AK166=R166,"Yes","No")</f>
        <v>Yes</v>
      </c>
      <c r="AM166" s="27" t="n">
        <f aca="false">IF(AK166="TVK",AD166,IF(AK166="DMK+",AJ166,AI166))</f>
        <v>0.295255751611054</v>
      </c>
      <c r="AN166" s="7" t="str">
        <f aca="false">IF(AK166=P166,"No","Yes")</f>
        <v>Yes</v>
      </c>
    </row>
    <row r="167" customFormat="false" ht="15" hidden="true" customHeight="false" outlineLevel="0" collapsed="false">
      <c r="A167" s="0" t="n">
        <v>163</v>
      </c>
      <c r="B167" s="4" t="s">
        <v>122</v>
      </c>
      <c r="C167" s="5" t="s">
        <v>122</v>
      </c>
      <c r="D167" s="35" t="n">
        <v>7</v>
      </c>
      <c r="E167" s="35" t="n">
        <v>19</v>
      </c>
      <c r="F167" s="35"/>
      <c r="G167" s="35" t="n">
        <v>4</v>
      </c>
      <c r="H167" s="35" t="n">
        <v>18</v>
      </c>
      <c r="I167" s="5" t="n">
        <f aca="false">SUM(D167:H167)</f>
        <v>48</v>
      </c>
      <c r="J167" s="10" t="n">
        <f aca="false">IF($I167=0,0,D167/$I167)</f>
        <v>0.145833333333333</v>
      </c>
      <c r="K167" s="10" t="n">
        <f aca="false">IF($I167=0,0,E167/$I167)</f>
        <v>0.395833333333333</v>
      </c>
      <c r="L167" s="10" t="n">
        <f aca="false">IF($I167=0,0,F167/$I167)</f>
        <v>0</v>
      </c>
      <c r="M167" s="10" t="n">
        <f aca="false">IF($I167=0,0,G167/$I167)</f>
        <v>0.0833333333333333</v>
      </c>
      <c r="N167" s="10" t="n">
        <f aca="false">IF($I167=0,0,H167/$I167)</f>
        <v>0.375</v>
      </c>
      <c r="O167" s="35" t="s">
        <v>197</v>
      </c>
      <c r="P167" s="0" t="str">
        <f aca="false">IF(O167="TVK","TVK",IF(O167="DMK","DMK+",IF(O167="ADMK","AIADMK+","")))</f>
        <v>DMK+</v>
      </c>
      <c r="Q167" s="35" t="s">
        <v>197</v>
      </c>
      <c r="R167" s="36" t="s">
        <v>5</v>
      </c>
      <c r="S167" s="0" t="str">
        <f aca="false">IF(P167=R167,"Yes","No")</f>
        <v>Yes</v>
      </c>
      <c r="T167" s="2"/>
      <c r="U167" s="27" t="n">
        <f aca="false">IFERROR(SUMIFS($D$5:$D$238,$C$5:$C$238,$C167)/SUMIFS($I$5:$I$238,$C$5:$C$238,$C167),0)</f>
        <v>0.201388888888889</v>
      </c>
      <c r="V167" s="27" t="n">
        <f aca="false">IFERROR(SUMIFS($E$5:$E$238,$C$5:$C$238,$C167)/SUMIFS($I$5:$I$238,$C$5:$C$238,$C167),0)</f>
        <v>0.375</v>
      </c>
      <c r="W167" s="27" t="n">
        <f aca="false">IFERROR(SUMIFS($F$5:$F$238,$C$5:$C$238,$C167)/SUMIFS($I$5:$I$238,$C$5:$C$238,$C167),0)</f>
        <v>0</v>
      </c>
      <c r="X167" s="27" t="n">
        <f aca="false">IFERROR(SUMIFS($G$5:$G$238,$C$5:$C$238,$C167)/SUMIFS($I$5:$I$238,$C$5:$C$238,$C167),0)</f>
        <v>0.152777777777778</v>
      </c>
      <c r="Y167" s="27" t="n">
        <f aca="false">IFERROR(SUMIFS($H$5:$H$238,$C$5:$C$238,$C167)/SUMIFS($I$5:$I$238,$C$5:$C$238,$C167),0)</f>
        <v>0.270833333333333</v>
      </c>
      <c r="Z167" s="24" t="n">
        <f aca="false">LN(MAX(I167,1))</f>
        <v>3.87120101090789</v>
      </c>
      <c r="AA167" s="24" t="n">
        <f aca="false">Calibration!$M$35+Calibration!$N$35+SUMPRODUCT(Calibration!$B$35:$F$35,J167:N167)+SUMPRODUCT(Calibration!$G$35:$K$35,U167:Y167)+Calibration!$L$35*Z167</f>
        <v>-0.207712997323795</v>
      </c>
      <c r="AB167" s="24" t="n">
        <f aca="false">Calibration!$M$36+Calibration!$N$36+SUMPRODUCT(Calibration!$B$36:$F$36,J167:N167)+SUMPRODUCT(Calibration!$G$36:$K$36,U167:Y167)+Calibration!$L$36*Z167</f>
        <v>0.67310295368401</v>
      </c>
      <c r="AC167" s="24" t="n">
        <f aca="false">Calibration!$M$37+Calibration!$N$37+SUMPRODUCT(Calibration!$B$37:$F$37,J167:N167)+SUMPRODUCT(Calibration!$G$37:$K$37,U167:Y167)+Calibration!$L$37*Z167</f>
        <v>0.359610793639785</v>
      </c>
      <c r="AD167" s="27" t="n">
        <f aca="false">EXP(AC167)/(EXP(AA167)+EXP(AB167)+EXP(AC167))</f>
        <v>0.34068814696826</v>
      </c>
      <c r="AE167" s="7" t="str">
        <f aca="false">IF(AC167=MAX(AA167:AC167),"TVK",IF(AB167=MAX(AA167:AC167),"DMK+","AIADMK+"))</f>
        <v>DMK+</v>
      </c>
      <c r="AF167" s="7" t="str">
        <f aca="false">IF(AE167=R167,"Yes","No")</f>
        <v>Yes</v>
      </c>
      <c r="AG167" s="7" t="str">
        <f aca="false">IF(AE167=P167,"No","Yes")</f>
        <v>No</v>
      </c>
      <c r="AH167" s="7" t="str">
        <f aca="false">IF(H167=MAX(D167,E167,H167),"TVK",IF(E167=MAX(D167,E167,H167),"DMK+","AIADMK+"))</f>
        <v>DMK+</v>
      </c>
      <c r="AI167" s="27" t="n">
        <f aca="false">EXP(AA167)/(EXP(AA167)+EXP(AB167)+EXP(AC167))</f>
        <v>0.193184123686679</v>
      </c>
      <c r="AJ167" s="27" t="n">
        <f aca="false">EXP(AB167)/(EXP(AA167)+EXP(AB167)+EXP(AC167))</f>
        <v>0.466127729345061</v>
      </c>
      <c r="AK167" s="28" t="s">
        <v>5</v>
      </c>
      <c r="AL167" s="7" t="str">
        <f aca="false">IF(AK167=R167,"Yes","No")</f>
        <v>Yes</v>
      </c>
      <c r="AM167" s="27" t="n">
        <f aca="false">IF(AK167="TVK",AD167,IF(AK167="DMK+",AJ167,AI167))</f>
        <v>0.466127729345061</v>
      </c>
      <c r="AN167" s="7" t="str">
        <f aca="false">IF(AK167=P167,"No","Yes")</f>
        <v>No</v>
      </c>
    </row>
    <row r="168" customFormat="false" ht="15" hidden="true" customHeight="false" outlineLevel="0" collapsed="false">
      <c r="A168" s="0" t="n">
        <v>164</v>
      </c>
      <c r="B168" s="4" t="s">
        <v>350</v>
      </c>
      <c r="C168" s="5" t="s">
        <v>122</v>
      </c>
      <c r="D168" s="35" t="n">
        <v>12</v>
      </c>
      <c r="E168" s="35" t="n">
        <v>31</v>
      </c>
      <c r="F168" s="35"/>
      <c r="G168" s="35" t="n">
        <v>4</v>
      </c>
      <c r="H168" s="35" t="n">
        <v>14</v>
      </c>
      <c r="I168" s="5" t="n">
        <f aca="false">SUM(D168:H168)</f>
        <v>61</v>
      </c>
      <c r="J168" s="10" t="n">
        <f aca="false">IF($I168=0,0,D168/$I168)</f>
        <v>0.19672131147541</v>
      </c>
      <c r="K168" s="10" t="n">
        <f aca="false">IF($I168=0,0,E168/$I168)</f>
        <v>0.508196721311475</v>
      </c>
      <c r="L168" s="10" t="n">
        <f aca="false">IF($I168=0,0,F168/$I168)</f>
        <v>0</v>
      </c>
      <c r="M168" s="10" t="n">
        <f aca="false">IF($I168=0,0,G168/$I168)</f>
        <v>0.0655737704918033</v>
      </c>
      <c r="N168" s="10" t="n">
        <f aca="false">IF($I168=0,0,H168/$I168)</f>
        <v>0.229508196721311</v>
      </c>
      <c r="O168" s="35" t="s">
        <v>197</v>
      </c>
      <c r="P168" s="0" t="str">
        <f aca="false">IF(O168="TVK","TVK",IF(O168="DMK","DMK+",IF(O168="ADMK","AIADMK+","")))</f>
        <v>DMK+</v>
      </c>
      <c r="Q168" s="35" t="s">
        <v>351</v>
      </c>
      <c r="R168" s="36" t="s">
        <v>5</v>
      </c>
      <c r="S168" s="0" t="str">
        <f aca="false">IF(P168=R168,"Yes","No")</f>
        <v>Yes</v>
      </c>
      <c r="T168" s="2"/>
      <c r="U168" s="27" t="n">
        <f aca="false">IFERROR(SUMIFS($D$5:$D$238,$C$5:$C$238,$C168)/SUMIFS($I$5:$I$238,$C$5:$C$238,$C168),0)</f>
        <v>0.201388888888889</v>
      </c>
      <c r="V168" s="27" t="n">
        <f aca="false">IFERROR(SUMIFS($E$5:$E$238,$C$5:$C$238,$C168)/SUMIFS($I$5:$I$238,$C$5:$C$238,$C168),0)</f>
        <v>0.375</v>
      </c>
      <c r="W168" s="27" t="n">
        <f aca="false">IFERROR(SUMIFS($F$5:$F$238,$C$5:$C$238,$C168)/SUMIFS($I$5:$I$238,$C$5:$C$238,$C168),0)</f>
        <v>0</v>
      </c>
      <c r="X168" s="27" t="n">
        <f aca="false">IFERROR(SUMIFS($G$5:$G$238,$C$5:$C$238,$C168)/SUMIFS($I$5:$I$238,$C$5:$C$238,$C168),0)</f>
        <v>0.152777777777778</v>
      </c>
      <c r="Y168" s="27" t="n">
        <f aca="false">IFERROR(SUMIFS($H$5:$H$238,$C$5:$C$238,$C168)/SUMIFS($I$5:$I$238,$C$5:$C$238,$C168),0)</f>
        <v>0.270833333333333</v>
      </c>
      <c r="Z168" s="24" t="n">
        <f aca="false">LN(MAX(I168,1))</f>
        <v>4.11087386417331</v>
      </c>
      <c r="AA168" s="24" t="n">
        <f aca="false">Calibration!$M$35+Calibration!$N$35+SUMPRODUCT(Calibration!$B$35:$F$35,J168:N168)+SUMPRODUCT(Calibration!$G$35:$K$35,U168:Y168)+Calibration!$L$35*Z168</f>
        <v>-0.34351526301474</v>
      </c>
      <c r="AB168" s="24" t="n">
        <f aca="false">Calibration!$M$36+Calibration!$N$36+SUMPRODUCT(Calibration!$B$36:$F$36,J168:N168)+SUMPRODUCT(Calibration!$G$36:$K$36,U168:Y168)+Calibration!$L$36*Z168</f>
        <v>0.650543554206295</v>
      </c>
      <c r="AC168" s="24" t="n">
        <f aca="false">Calibration!$M$37+Calibration!$N$37+SUMPRODUCT(Calibration!$B$37:$F$37,J168:N168)+SUMPRODUCT(Calibration!$G$37:$K$37,U168:Y168)+Calibration!$L$37*Z168</f>
        <v>0.517972313316642</v>
      </c>
      <c r="AD168" s="27" t="n">
        <f aca="false">EXP(AC168)/(EXP(AA168)+EXP(AB168)+EXP(AC168))</f>
        <v>0.389970973342504</v>
      </c>
      <c r="AE168" s="7" t="str">
        <f aca="false">IF(AC168=MAX(AA168:AC168),"TVK",IF(AB168=MAX(AA168:AC168),"DMK+","AIADMK+"))</f>
        <v>DMK+</v>
      </c>
      <c r="AF168" s="7" t="str">
        <f aca="false">IF(AE168=R168,"Yes","No")</f>
        <v>Yes</v>
      </c>
      <c r="AG168" s="7" t="str">
        <f aca="false">IF(AE168=P168,"No","Yes")</f>
        <v>No</v>
      </c>
      <c r="AH168" s="7" t="str">
        <f aca="false">IF(H168=MAX(D168,E168,H168),"TVK",IF(E168=MAX(D168,E168,H168),"DMK+","AIADMK+"))</f>
        <v>DMK+</v>
      </c>
      <c r="AI168" s="27" t="n">
        <f aca="false">EXP(AA168)/(EXP(AA168)+EXP(AB168)+EXP(AC168))</f>
        <v>0.164775630390276</v>
      </c>
      <c r="AJ168" s="27" t="n">
        <f aca="false">EXP(AB168)/(EXP(AA168)+EXP(AB168)+EXP(AC168))</f>
        <v>0.44525339626722</v>
      </c>
      <c r="AK168" s="28" t="s">
        <v>5</v>
      </c>
      <c r="AL168" s="7" t="str">
        <f aca="false">IF(AK168=R168,"Yes","No")</f>
        <v>Yes</v>
      </c>
      <c r="AM168" s="27" t="n">
        <f aca="false">IF(AK168="TVK",AD168,IF(AK168="DMK+",AJ168,AI168))</f>
        <v>0.44525339626722</v>
      </c>
      <c r="AN168" s="7" t="str">
        <f aca="false">IF(AK168=P168,"No","Yes")</f>
        <v>No</v>
      </c>
    </row>
    <row r="169" customFormat="false" ht="15" hidden="true" customHeight="false" outlineLevel="0" collapsed="false">
      <c r="A169" s="0" t="n">
        <v>165</v>
      </c>
      <c r="B169" s="4" t="s">
        <v>352</v>
      </c>
      <c r="C169" s="5" t="s">
        <v>122</v>
      </c>
      <c r="D169" s="35" t="n">
        <v>10</v>
      </c>
      <c r="E169" s="35" t="n">
        <v>4</v>
      </c>
      <c r="F169" s="35"/>
      <c r="G169" s="35" t="n">
        <v>14</v>
      </c>
      <c r="H169" s="35" t="n">
        <v>7</v>
      </c>
      <c r="I169" s="5" t="n">
        <f aca="false">SUM(D169:H169)</f>
        <v>35</v>
      </c>
      <c r="J169" s="10" t="n">
        <f aca="false">IF($I169=0,0,D169/$I169)</f>
        <v>0.285714285714286</v>
      </c>
      <c r="K169" s="10" t="n">
        <f aca="false">IF($I169=0,0,E169/$I169)</f>
        <v>0.114285714285714</v>
      </c>
      <c r="L169" s="10" t="n">
        <f aca="false">IF($I169=0,0,F169/$I169)</f>
        <v>0</v>
      </c>
      <c r="M169" s="10" t="n">
        <f aca="false">IF($I169=0,0,G169/$I169)</f>
        <v>0.4</v>
      </c>
      <c r="N169" s="10" t="n">
        <f aca="false">IF($I169=0,0,H169/$I169)</f>
        <v>0.2</v>
      </c>
      <c r="O169" s="35" t="s">
        <v>197</v>
      </c>
      <c r="P169" s="0" t="str">
        <f aca="false">IF(O169="TVK","TVK",IF(O169="DMK","DMK+",IF(O169="ADMK","AIADMK+","")))</f>
        <v>DMK+</v>
      </c>
      <c r="Q169" s="35" t="s">
        <v>196</v>
      </c>
      <c r="R169" s="36" t="s">
        <v>4</v>
      </c>
      <c r="S169" s="0" t="str">
        <f aca="false">IF(P169=R169,"Yes","No")</f>
        <v>No</v>
      </c>
      <c r="T169" s="2"/>
      <c r="U169" s="27" t="n">
        <f aca="false">IFERROR(SUMIFS($D$5:$D$238,$C$5:$C$238,$C169)/SUMIFS($I$5:$I$238,$C$5:$C$238,$C169),0)</f>
        <v>0.201388888888889</v>
      </c>
      <c r="V169" s="27" t="n">
        <f aca="false">IFERROR(SUMIFS($E$5:$E$238,$C$5:$C$238,$C169)/SUMIFS($I$5:$I$238,$C$5:$C$238,$C169),0)</f>
        <v>0.375</v>
      </c>
      <c r="W169" s="27" t="n">
        <f aca="false">IFERROR(SUMIFS($F$5:$F$238,$C$5:$C$238,$C169)/SUMIFS($I$5:$I$238,$C$5:$C$238,$C169),0)</f>
        <v>0</v>
      </c>
      <c r="X169" s="27" t="n">
        <f aca="false">IFERROR(SUMIFS($G$5:$G$238,$C$5:$C$238,$C169)/SUMIFS($I$5:$I$238,$C$5:$C$238,$C169),0)</f>
        <v>0.152777777777778</v>
      </c>
      <c r="Y169" s="27" t="n">
        <f aca="false">IFERROR(SUMIFS($H$5:$H$238,$C$5:$C$238,$C169)/SUMIFS($I$5:$I$238,$C$5:$C$238,$C169),0)</f>
        <v>0.270833333333333</v>
      </c>
      <c r="Z169" s="24" t="n">
        <f aca="false">LN(MAX(I169,1))</f>
        <v>3.55534806148941</v>
      </c>
      <c r="AA169" s="24" t="n">
        <f aca="false">Calibration!$M$35+Calibration!$N$35+SUMPRODUCT(Calibration!$B$35:$F$35,J169:N169)+SUMPRODUCT(Calibration!$G$35:$K$35,U169:Y169)+Calibration!$L$35*Z169</f>
        <v>0.331669760721179</v>
      </c>
      <c r="AB169" s="24" t="n">
        <f aca="false">Calibration!$M$36+Calibration!$N$36+SUMPRODUCT(Calibration!$B$36:$F$36,J169:N169)+SUMPRODUCT(Calibration!$G$36:$K$36,U169:Y169)+Calibration!$L$36*Z169</f>
        <v>0.551040411179828</v>
      </c>
      <c r="AC169" s="24" t="n">
        <f aca="false">Calibration!$M$37+Calibration!$N$37+SUMPRODUCT(Calibration!$B$37:$F$37,J169:N169)+SUMPRODUCT(Calibration!$G$37:$K$37,U169:Y169)+Calibration!$L$37*Z169</f>
        <v>-0.0577095969010069</v>
      </c>
      <c r="AD169" s="27" t="n">
        <f aca="false">EXP(AC169)/(EXP(AA169)+EXP(AB169)+EXP(AC169))</f>
        <v>0.231792861224239</v>
      </c>
      <c r="AE169" s="7" t="str">
        <f aca="false">IF(AC169=MAX(AA169:AC169),"TVK",IF(AB169=MAX(AA169:AC169),"DMK+","AIADMK+"))</f>
        <v>DMK+</v>
      </c>
      <c r="AF169" s="7" t="str">
        <f aca="false">IF(AE169=R169,"Yes","No")</f>
        <v>No</v>
      </c>
      <c r="AG169" s="7" t="str">
        <f aca="false">IF(AE169=P169,"No","Yes")</f>
        <v>No</v>
      </c>
      <c r="AH169" s="7" t="str">
        <f aca="false">IF(H169=MAX(D169,E169,H169),"TVK",IF(E169=MAX(D169,E169,H169),"DMK+","AIADMK+"))</f>
        <v>AIADMK+</v>
      </c>
      <c r="AI169" s="27" t="n">
        <f aca="false">EXP(AA169)/(EXP(AA169)+EXP(AB169)+EXP(AC169))</f>
        <v>0.342141190955495</v>
      </c>
      <c r="AJ169" s="27" t="n">
        <f aca="false">EXP(AB169)/(EXP(AA169)+EXP(AB169)+EXP(AC169))</f>
        <v>0.426065947820266</v>
      </c>
      <c r="AK169" s="28" t="s">
        <v>4</v>
      </c>
      <c r="AL169" s="7" t="str">
        <f aca="false">IF(AK169=R169,"Yes","No")</f>
        <v>Yes</v>
      </c>
      <c r="AM169" s="27" t="n">
        <f aca="false">IF(AK169="TVK",AD169,IF(AK169="DMK+",AJ169,AI169))</f>
        <v>0.342141190955495</v>
      </c>
      <c r="AN169" s="7" t="str">
        <f aca="false">IF(AK169=P169,"No","Yes")</f>
        <v>Yes</v>
      </c>
    </row>
    <row r="170" customFormat="false" ht="15" hidden="true" customHeight="false" outlineLevel="0" collapsed="false">
      <c r="A170" s="0" t="n">
        <v>166</v>
      </c>
      <c r="B170" s="4" t="s">
        <v>353</v>
      </c>
      <c r="C170" s="5" t="s">
        <v>160</v>
      </c>
      <c r="D170" s="35" t="n">
        <v>2</v>
      </c>
      <c r="E170" s="35" t="n">
        <v>19</v>
      </c>
      <c r="F170" s="35"/>
      <c r="G170" s="35" t="n">
        <v>2</v>
      </c>
      <c r="H170" s="35" t="n">
        <v>17</v>
      </c>
      <c r="I170" s="5" t="n">
        <f aca="false">SUM(D170:H170)</f>
        <v>40</v>
      </c>
      <c r="J170" s="10" t="n">
        <f aca="false">IF($I170=0,0,D170/$I170)</f>
        <v>0.05</v>
      </c>
      <c r="K170" s="10" t="n">
        <f aca="false">IF($I170=0,0,E170/$I170)</f>
        <v>0.475</v>
      </c>
      <c r="L170" s="10" t="n">
        <f aca="false">IF($I170=0,0,F170/$I170)</f>
        <v>0</v>
      </c>
      <c r="M170" s="10" t="n">
        <f aca="false">IF($I170=0,0,G170/$I170)</f>
        <v>0.05</v>
      </c>
      <c r="N170" s="10" t="n">
        <f aca="false">IF($I170=0,0,H170/$I170)</f>
        <v>0.425</v>
      </c>
      <c r="O170" s="35" t="s">
        <v>197</v>
      </c>
      <c r="P170" s="0" t="str">
        <f aca="false">IF(O170="TVK","TVK",IF(O170="DMK","DMK+",IF(O170="ADMK","AIADMK+","")))</f>
        <v>DMK+</v>
      </c>
      <c r="Q170" s="35" t="s">
        <v>248</v>
      </c>
      <c r="R170" s="36" t="s">
        <v>5</v>
      </c>
      <c r="S170" s="0" t="str">
        <f aca="false">IF(P170=R170,"Yes","No")</f>
        <v>Yes</v>
      </c>
      <c r="T170" s="2"/>
      <c r="U170" s="27" t="n">
        <f aca="false">IFERROR(SUMIFS($D$5:$D$238,$C$5:$C$238,$C170)/SUMIFS($I$5:$I$238,$C$5:$C$238,$C170),0)</f>
        <v>0.231638418079096</v>
      </c>
      <c r="V170" s="27" t="n">
        <f aca="false">IFERROR(SUMIFS($E$5:$E$238,$C$5:$C$238,$C170)/SUMIFS($I$5:$I$238,$C$5:$C$238,$C170),0)</f>
        <v>0.355932203389831</v>
      </c>
      <c r="W170" s="27" t="n">
        <f aca="false">IFERROR(SUMIFS($F$5:$F$238,$C$5:$C$238,$C170)/SUMIFS($I$5:$I$238,$C$5:$C$238,$C170),0)</f>
        <v>0.00564971751412429</v>
      </c>
      <c r="X170" s="27" t="n">
        <f aca="false">IFERROR(SUMIFS($G$5:$G$238,$C$5:$C$238,$C170)/SUMIFS($I$5:$I$238,$C$5:$C$238,$C170),0)</f>
        <v>0.112994350282486</v>
      </c>
      <c r="Y170" s="27" t="n">
        <f aca="false">IFERROR(SUMIFS($H$5:$H$238,$C$5:$C$238,$C170)/SUMIFS($I$5:$I$238,$C$5:$C$238,$C170),0)</f>
        <v>0.293785310734463</v>
      </c>
      <c r="Z170" s="24" t="n">
        <f aca="false">LN(MAX(I170,1))</f>
        <v>3.68887945411394</v>
      </c>
      <c r="AA170" s="24" t="n">
        <f aca="false">Calibration!$M$35+Calibration!$N$35+SUMPRODUCT(Calibration!$B$35:$F$35,J170:N170)+SUMPRODUCT(Calibration!$G$35:$K$35,U170:Y170)+Calibration!$L$35*Z170</f>
        <v>-0.23275287171956</v>
      </c>
      <c r="AB170" s="24" t="n">
        <f aca="false">Calibration!$M$36+Calibration!$N$36+SUMPRODUCT(Calibration!$B$36:$F$36,J170:N170)+SUMPRODUCT(Calibration!$G$36:$K$36,U170:Y170)+Calibration!$L$36*Z170</f>
        <v>0.863221455704164</v>
      </c>
      <c r="AC170" s="24" t="n">
        <f aca="false">Calibration!$M$37+Calibration!$N$37+SUMPRODUCT(Calibration!$B$37:$F$37,J170:N170)+SUMPRODUCT(Calibration!$G$37:$K$37,U170:Y170)+Calibration!$L$37*Z170</f>
        <v>0.194532196947599</v>
      </c>
      <c r="AD170" s="27" t="n">
        <f aca="false">EXP(AC170)/(EXP(AA170)+EXP(AB170)+EXP(AC170))</f>
        <v>0.277472936683386</v>
      </c>
      <c r="AE170" s="7" t="str">
        <f aca="false">IF(AC170=MAX(AA170:AC170),"TVK",IF(AB170=MAX(AA170:AC170),"DMK+","AIADMK+"))</f>
        <v>DMK+</v>
      </c>
      <c r="AF170" s="7" t="str">
        <f aca="false">IF(AE170=R170,"Yes","No")</f>
        <v>Yes</v>
      </c>
      <c r="AG170" s="7" t="str">
        <f aca="false">IF(AE170=P170,"No","Yes")</f>
        <v>No</v>
      </c>
      <c r="AH170" s="7" t="str">
        <f aca="false">IF(H170=MAX(D170,E170,H170),"TVK",IF(E170=MAX(D170,E170,H170),"DMK+","AIADMK+"))</f>
        <v>DMK+</v>
      </c>
      <c r="AI170" s="27" t="n">
        <f aca="false">EXP(AA170)/(EXP(AA170)+EXP(AB170)+EXP(AC170))</f>
        <v>0.180989376160645</v>
      </c>
      <c r="AJ170" s="27" t="n">
        <f aca="false">EXP(AB170)/(EXP(AA170)+EXP(AB170)+EXP(AC170))</f>
        <v>0.54153768715597</v>
      </c>
      <c r="AK170" s="28" t="s">
        <v>5</v>
      </c>
      <c r="AL170" s="7" t="str">
        <f aca="false">IF(AK170=R170,"Yes","No")</f>
        <v>Yes</v>
      </c>
      <c r="AM170" s="27" t="n">
        <f aca="false">IF(AK170="TVK",AD170,IF(AK170="DMK+",AJ170,AI170))</f>
        <v>0.54153768715597</v>
      </c>
      <c r="AN170" s="7" t="str">
        <f aca="false">IF(AK170=P170,"No","Yes")</f>
        <v>No</v>
      </c>
    </row>
    <row r="171" customFormat="false" ht="15" hidden="true" customHeight="false" outlineLevel="0" collapsed="false">
      <c r="A171" s="0" t="n">
        <v>167</v>
      </c>
      <c r="B171" s="4" t="s">
        <v>354</v>
      </c>
      <c r="C171" s="5" t="s">
        <v>160</v>
      </c>
      <c r="D171" s="35" t="n">
        <v>17</v>
      </c>
      <c r="E171" s="35" t="n">
        <v>16</v>
      </c>
      <c r="F171" s="35" t="n">
        <v>1</v>
      </c>
      <c r="G171" s="35" t="n">
        <v>7</v>
      </c>
      <c r="H171" s="35" t="n">
        <v>12</v>
      </c>
      <c r="I171" s="5" t="n">
        <f aca="false">SUM(D171:H171)</f>
        <v>53</v>
      </c>
      <c r="J171" s="10" t="n">
        <f aca="false">IF($I171=0,0,D171/$I171)</f>
        <v>0.320754716981132</v>
      </c>
      <c r="K171" s="10" t="n">
        <f aca="false">IF($I171=0,0,E171/$I171)</f>
        <v>0.30188679245283</v>
      </c>
      <c r="L171" s="10" t="n">
        <f aca="false">IF($I171=0,0,F171/$I171)</f>
        <v>0.0188679245283019</v>
      </c>
      <c r="M171" s="10" t="n">
        <f aca="false">IF($I171=0,0,G171/$I171)</f>
        <v>0.132075471698113</v>
      </c>
      <c r="N171" s="10" t="n">
        <f aca="false">IF($I171=0,0,H171/$I171)</f>
        <v>0.226415094339623</v>
      </c>
      <c r="O171" s="35" t="s">
        <v>218</v>
      </c>
      <c r="P171" s="0" t="str">
        <f aca="false">IF(O171="TVK","TVK",IF(O171="DMK","DMK+",IF(O171="ADMK","AIADMK+","")))</f>
        <v>AIADMK+</v>
      </c>
      <c r="Q171" s="35" t="s">
        <v>355</v>
      </c>
      <c r="R171" s="36" t="s">
        <v>4</v>
      </c>
      <c r="S171" s="0" t="str">
        <f aca="false">IF(P171=R171,"Yes","No")</f>
        <v>Yes</v>
      </c>
      <c r="T171" s="2"/>
      <c r="U171" s="27" t="n">
        <f aca="false">IFERROR(SUMIFS($D$5:$D$238,$C$5:$C$238,$C171)/SUMIFS($I$5:$I$238,$C$5:$C$238,$C171),0)</f>
        <v>0.231638418079096</v>
      </c>
      <c r="V171" s="27" t="n">
        <f aca="false">IFERROR(SUMIFS($E$5:$E$238,$C$5:$C$238,$C171)/SUMIFS($I$5:$I$238,$C$5:$C$238,$C171),0)</f>
        <v>0.355932203389831</v>
      </c>
      <c r="W171" s="27" t="n">
        <f aca="false">IFERROR(SUMIFS($F$5:$F$238,$C$5:$C$238,$C171)/SUMIFS($I$5:$I$238,$C$5:$C$238,$C171),0)</f>
        <v>0.00564971751412429</v>
      </c>
      <c r="X171" s="27" t="n">
        <f aca="false">IFERROR(SUMIFS($G$5:$G$238,$C$5:$C$238,$C171)/SUMIFS($I$5:$I$238,$C$5:$C$238,$C171),0)</f>
        <v>0.112994350282486</v>
      </c>
      <c r="Y171" s="27" t="n">
        <f aca="false">IFERROR(SUMIFS($H$5:$H$238,$C$5:$C$238,$C171)/SUMIFS($I$5:$I$238,$C$5:$C$238,$C171),0)</f>
        <v>0.293785310734463</v>
      </c>
      <c r="Z171" s="24" t="n">
        <f aca="false">LN(MAX(I171,1))</f>
        <v>3.97029191355212</v>
      </c>
      <c r="AA171" s="24" t="n">
        <f aca="false">Calibration!$M$35+Calibration!$N$35+SUMPRODUCT(Calibration!$B$35:$F$35,J171:N171)+SUMPRODUCT(Calibration!$G$35:$K$35,U171:Y171)+Calibration!$L$35*Z171</f>
        <v>0.0291537795636536</v>
      </c>
      <c r="AB171" s="24" t="n">
        <f aca="false">Calibration!$M$36+Calibration!$N$36+SUMPRODUCT(Calibration!$B$36:$F$36,J171:N171)+SUMPRODUCT(Calibration!$G$36:$K$36,U171:Y171)+Calibration!$L$36*Z171</f>
        <v>0.355736170653777</v>
      </c>
      <c r="AC171" s="24" t="n">
        <f aca="false">Calibration!$M$37+Calibration!$N$37+SUMPRODUCT(Calibration!$B$37:$F$37,J171:N171)+SUMPRODUCT(Calibration!$G$37:$K$37,U171:Y171)+Calibration!$L$37*Z171</f>
        <v>0.440110632129866</v>
      </c>
      <c r="AD171" s="27" t="n">
        <f aca="false">EXP(AC171)/(EXP(AA171)+EXP(AB171)+EXP(AC171))</f>
        <v>0.387281284887133</v>
      </c>
      <c r="AE171" s="7" t="str">
        <f aca="false">IF(AC171=MAX(AA171:AC171),"TVK",IF(AB171=MAX(AA171:AC171),"DMK+","AIADMK+"))</f>
        <v>TVK</v>
      </c>
      <c r="AF171" s="7" t="str">
        <f aca="false">IF(AE171=R171,"Yes","No")</f>
        <v>No</v>
      </c>
      <c r="AG171" s="7" t="str">
        <f aca="false">IF(AE171=P171,"No","Yes")</f>
        <v>Yes</v>
      </c>
      <c r="AH171" s="7" t="str">
        <f aca="false">IF(H171=MAX(D171,E171,H171),"TVK",IF(E171=MAX(D171,E171,H171),"DMK+","AIADMK+"))</f>
        <v>AIADMK+</v>
      </c>
      <c r="AI171" s="27" t="n">
        <f aca="false">EXP(AA171)/(EXP(AA171)+EXP(AB171)+EXP(AC171))</f>
        <v>0.256773509612697</v>
      </c>
      <c r="AJ171" s="27" t="n">
        <f aca="false">EXP(AB171)/(EXP(AA171)+EXP(AB171)+EXP(AC171))</f>
        <v>0.35594520550017</v>
      </c>
      <c r="AK171" s="28" t="s">
        <v>4</v>
      </c>
      <c r="AL171" s="7" t="str">
        <f aca="false">IF(AK171=R171,"Yes","No")</f>
        <v>Yes</v>
      </c>
      <c r="AM171" s="27" t="n">
        <f aca="false">IF(AK171="TVK",AD171,IF(AK171="DMK+",AJ171,AI171))</f>
        <v>0.256773509612697</v>
      </c>
      <c r="AN171" s="7" t="str">
        <f aca="false">IF(AK171=P171,"No","Yes")</f>
        <v>No</v>
      </c>
    </row>
    <row r="172" customFormat="false" ht="15" hidden="true" customHeight="false" outlineLevel="0" collapsed="false">
      <c r="A172" s="0" t="n">
        <v>168</v>
      </c>
      <c r="B172" s="4" t="s">
        <v>356</v>
      </c>
      <c r="C172" s="5" t="s">
        <v>160</v>
      </c>
      <c r="D172" s="35" t="n">
        <v>13</v>
      </c>
      <c r="E172" s="35" t="n">
        <v>15</v>
      </c>
      <c r="F172" s="35"/>
      <c r="G172" s="35" t="n">
        <v>4</v>
      </c>
      <c r="H172" s="35" t="n">
        <v>11</v>
      </c>
      <c r="I172" s="5" t="n">
        <f aca="false">SUM(D172:H172)</f>
        <v>43</v>
      </c>
      <c r="J172" s="10" t="n">
        <f aca="false">IF($I172=0,0,D172/$I172)</f>
        <v>0.302325581395349</v>
      </c>
      <c r="K172" s="10" t="n">
        <f aca="false">IF($I172=0,0,E172/$I172)</f>
        <v>0.348837209302326</v>
      </c>
      <c r="L172" s="10" t="n">
        <f aca="false">IF($I172=0,0,F172/$I172)</f>
        <v>0</v>
      </c>
      <c r="M172" s="10" t="n">
        <f aca="false">IF($I172=0,0,G172/$I172)</f>
        <v>0.0930232558139535</v>
      </c>
      <c r="N172" s="10" t="n">
        <f aca="false">IF($I172=0,0,H172/$I172)</f>
        <v>0.255813953488372</v>
      </c>
      <c r="O172" s="35" t="s">
        <v>197</v>
      </c>
      <c r="P172" s="0" t="str">
        <f aca="false">IF(O172="TVK","TVK",IF(O172="DMK","DMK+",IF(O172="ADMK","AIADMK+","")))</f>
        <v>DMK+</v>
      </c>
      <c r="Q172" s="35" t="s">
        <v>197</v>
      </c>
      <c r="R172" s="36" t="s">
        <v>5</v>
      </c>
      <c r="S172" s="0" t="str">
        <f aca="false">IF(P172=R172,"Yes","No")</f>
        <v>Yes</v>
      </c>
      <c r="T172" s="2"/>
      <c r="U172" s="27" t="n">
        <f aca="false">IFERROR(SUMIFS($D$5:$D$238,$C$5:$C$238,$C172)/SUMIFS($I$5:$I$238,$C$5:$C$238,$C172),0)</f>
        <v>0.231638418079096</v>
      </c>
      <c r="V172" s="27" t="n">
        <f aca="false">IFERROR(SUMIFS($E$5:$E$238,$C$5:$C$238,$C172)/SUMIFS($I$5:$I$238,$C$5:$C$238,$C172),0)</f>
        <v>0.355932203389831</v>
      </c>
      <c r="W172" s="27" t="n">
        <f aca="false">IFERROR(SUMIFS($F$5:$F$238,$C$5:$C$238,$C172)/SUMIFS($I$5:$I$238,$C$5:$C$238,$C172),0)</f>
        <v>0.00564971751412429</v>
      </c>
      <c r="X172" s="27" t="n">
        <f aca="false">IFERROR(SUMIFS($G$5:$G$238,$C$5:$C$238,$C172)/SUMIFS($I$5:$I$238,$C$5:$C$238,$C172),0)</f>
        <v>0.112994350282486</v>
      </c>
      <c r="Y172" s="27" t="n">
        <f aca="false">IFERROR(SUMIFS($H$5:$H$238,$C$5:$C$238,$C172)/SUMIFS($I$5:$I$238,$C$5:$C$238,$C172),0)</f>
        <v>0.293785310734463</v>
      </c>
      <c r="Z172" s="24" t="n">
        <f aca="false">LN(MAX(I172,1))</f>
        <v>3.76120011569356</v>
      </c>
      <c r="AA172" s="24" t="n">
        <f aca="false">Calibration!$M$35+Calibration!$N$35+SUMPRODUCT(Calibration!$B$35:$F$35,J172:N172)+SUMPRODUCT(Calibration!$G$35:$K$35,U172:Y172)+Calibration!$L$35*Z172</f>
        <v>0.0792631936972847</v>
      </c>
      <c r="AB172" s="24" t="n">
        <f aca="false">Calibration!$M$36+Calibration!$N$36+SUMPRODUCT(Calibration!$B$36:$F$36,J172:N172)+SUMPRODUCT(Calibration!$G$36:$K$36,U172:Y172)+Calibration!$L$36*Z172</f>
        <v>0.536721355070739</v>
      </c>
      <c r="AC172" s="24" t="n">
        <f aca="false">Calibration!$M$37+Calibration!$N$37+SUMPRODUCT(Calibration!$B$37:$F$37,J172:N172)+SUMPRODUCT(Calibration!$G$37:$K$37,U172:Y172)+Calibration!$L$37*Z172</f>
        <v>0.209016062978133</v>
      </c>
      <c r="AD172" s="27" t="n">
        <f aca="false">EXP(AC172)/(EXP(AA172)+EXP(AB172)+EXP(AC172))</f>
        <v>0.306176274981864</v>
      </c>
      <c r="AE172" s="7" t="str">
        <f aca="false">IF(AC172=MAX(AA172:AC172),"TVK",IF(AB172=MAX(AA172:AC172),"DMK+","AIADMK+"))</f>
        <v>DMK+</v>
      </c>
      <c r="AF172" s="7" t="str">
        <f aca="false">IF(AE172=R172,"Yes","No")</f>
        <v>Yes</v>
      </c>
      <c r="AG172" s="7" t="str">
        <f aca="false">IF(AE172=P172,"No","Yes")</f>
        <v>No</v>
      </c>
      <c r="AH172" s="7" t="str">
        <f aca="false">IF(H172=MAX(D172,E172,H172),"TVK",IF(E172=MAX(D172,E172,H172),"DMK+","AIADMK+"))</f>
        <v>DMK+</v>
      </c>
      <c r="AI172" s="27" t="n">
        <f aca="false">EXP(AA172)/(EXP(AA172)+EXP(AB172)+EXP(AC172))</f>
        <v>0.268918437913575</v>
      </c>
      <c r="AJ172" s="27" t="n">
        <f aca="false">EXP(AB172)/(EXP(AA172)+EXP(AB172)+EXP(AC172))</f>
        <v>0.424905287104561</v>
      </c>
      <c r="AK172" s="28" t="s">
        <v>4</v>
      </c>
      <c r="AL172" s="7" t="str">
        <f aca="false">IF(AK172=R172,"Yes","No")</f>
        <v>No</v>
      </c>
      <c r="AM172" s="27" t="n">
        <f aca="false">IF(AK172="TVK",AD172,IF(AK172="DMK+",AJ172,AI172))</f>
        <v>0.268918437913575</v>
      </c>
      <c r="AN172" s="7" t="str">
        <f aca="false">IF(AK172=P172,"No","Yes")</f>
        <v>Yes</v>
      </c>
    </row>
    <row r="173" customFormat="false" ht="15" hidden="true" customHeight="false" outlineLevel="0" collapsed="false">
      <c r="A173" s="0" t="n">
        <v>169</v>
      </c>
      <c r="B173" s="4" t="s">
        <v>357</v>
      </c>
      <c r="C173" s="5" t="s">
        <v>160</v>
      </c>
      <c r="D173" s="35" t="n">
        <v>9</v>
      </c>
      <c r="E173" s="35" t="n">
        <v>13</v>
      </c>
      <c r="F173" s="35"/>
      <c r="G173" s="35" t="n">
        <v>7</v>
      </c>
      <c r="H173" s="35" t="n">
        <v>12</v>
      </c>
      <c r="I173" s="5" t="n">
        <f aca="false">SUM(D173:H173)</f>
        <v>41</v>
      </c>
      <c r="J173" s="10" t="n">
        <f aca="false">IF($I173=0,0,D173/$I173)</f>
        <v>0.219512195121951</v>
      </c>
      <c r="K173" s="10" t="n">
        <f aca="false">IF($I173=0,0,E173/$I173)</f>
        <v>0.317073170731707</v>
      </c>
      <c r="L173" s="10" t="n">
        <f aca="false">IF($I173=0,0,F173/$I173)</f>
        <v>0</v>
      </c>
      <c r="M173" s="10" t="n">
        <f aca="false">IF($I173=0,0,G173/$I173)</f>
        <v>0.170731707317073</v>
      </c>
      <c r="N173" s="10" t="n">
        <f aca="false">IF($I173=0,0,H173/$I173)</f>
        <v>0.292682926829268</v>
      </c>
      <c r="O173" s="35" t="s">
        <v>197</v>
      </c>
      <c r="P173" s="0" t="str">
        <f aca="false">IF(O173="TVK","TVK",IF(O173="DMK","DMK+",IF(O173="ADMK","AIADMK+","")))</f>
        <v>DMK+</v>
      </c>
      <c r="Q173" s="35" t="s">
        <v>196</v>
      </c>
      <c r="R173" s="36" t="s">
        <v>4</v>
      </c>
      <c r="S173" s="0" t="str">
        <f aca="false">IF(P173=R173,"Yes","No")</f>
        <v>No</v>
      </c>
      <c r="T173" s="2"/>
      <c r="U173" s="27" t="n">
        <f aca="false">IFERROR(SUMIFS($D$5:$D$238,$C$5:$C$238,$C173)/SUMIFS($I$5:$I$238,$C$5:$C$238,$C173),0)</f>
        <v>0.231638418079096</v>
      </c>
      <c r="V173" s="27" t="n">
        <f aca="false">IFERROR(SUMIFS($E$5:$E$238,$C$5:$C$238,$C173)/SUMIFS($I$5:$I$238,$C$5:$C$238,$C173),0)</f>
        <v>0.355932203389831</v>
      </c>
      <c r="W173" s="27" t="n">
        <f aca="false">IFERROR(SUMIFS($F$5:$F$238,$C$5:$C$238,$C173)/SUMIFS($I$5:$I$238,$C$5:$C$238,$C173),0)</f>
        <v>0.00564971751412429</v>
      </c>
      <c r="X173" s="27" t="n">
        <f aca="false">IFERROR(SUMIFS($G$5:$G$238,$C$5:$C$238,$C173)/SUMIFS($I$5:$I$238,$C$5:$C$238,$C173),0)</f>
        <v>0.112994350282486</v>
      </c>
      <c r="Y173" s="27" t="n">
        <f aca="false">IFERROR(SUMIFS($H$5:$H$238,$C$5:$C$238,$C173)/SUMIFS($I$5:$I$238,$C$5:$C$238,$C173),0)</f>
        <v>0.293785310734463</v>
      </c>
      <c r="Z173" s="24" t="n">
        <f aca="false">LN(MAX(I173,1))</f>
        <v>3.71357206670431</v>
      </c>
      <c r="AA173" s="24" t="n">
        <f aca="false">Calibration!$M$35+Calibration!$N$35+SUMPRODUCT(Calibration!$B$35:$F$35,J173:N173)+SUMPRODUCT(Calibration!$G$35:$K$35,U173:Y173)+Calibration!$L$35*Z173</f>
        <v>0.0496241357102685</v>
      </c>
      <c r="AB173" s="24" t="n">
        <f aca="false">Calibration!$M$36+Calibration!$N$36+SUMPRODUCT(Calibration!$B$36:$F$36,J173:N173)+SUMPRODUCT(Calibration!$G$36:$K$36,U173:Y173)+Calibration!$L$36*Z173</f>
        <v>0.598493135664633</v>
      </c>
      <c r="AC173" s="24" t="n">
        <f aca="false">Calibration!$M$37+Calibration!$N$37+SUMPRODUCT(Calibration!$B$37:$F$37,J173:N173)+SUMPRODUCT(Calibration!$G$37:$K$37,U173:Y173)+Calibration!$L$37*Z173</f>
        <v>0.176883377240229</v>
      </c>
      <c r="AD173" s="27" t="n">
        <f aca="false">EXP(AC173)/(EXP(AA173)+EXP(AB173)+EXP(AC173))</f>
        <v>0.293692751518754</v>
      </c>
      <c r="AE173" s="7" t="str">
        <f aca="false">IF(AC173=MAX(AA173:AC173),"TVK",IF(AB173=MAX(AA173:AC173),"DMK+","AIADMK+"))</f>
        <v>DMK+</v>
      </c>
      <c r="AF173" s="7" t="str">
        <f aca="false">IF(AE173=R173,"Yes","No")</f>
        <v>No</v>
      </c>
      <c r="AG173" s="7" t="str">
        <f aca="false">IF(AE173=P173,"No","Yes")</f>
        <v>No</v>
      </c>
      <c r="AH173" s="7" t="str">
        <f aca="false">IF(H173=MAX(D173,E173,H173),"TVK",IF(E173=MAX(D173,E173,H173),"DMK+","AIADMK+"))</f>
        <v>DMK+</v>
      </c>
      <c r="AI173" s="27" t="n">
        <f aca="false">EXP(AA173)/(EXP(AA173)+EXP(AB173)+EXP(AC173))</f>
        <v>0.258598047616325</v>
      </c>
      <c r="AJ173" s="27" t="n">
        <f aca="false">EXP(AB173)/(EXP(AA173)+EXP(AB173)+EXP(AC173))</f>
        <v>0.447709200864921</v>
      </c>
      <c r="AK173" s="28" t="s">
        <v>5</v>
      </c>
      <c r="AL173" s="7" t="str">
        <f aca="false">IF(AK173=R173,"Yes","No")</f>
        <v>No</v>
      </c>
      <c r="AM173" s="27" t="n">
        <f aca="false">IF(AK173="TVK",AD173,IF(AK173="DMK+",AJ173,AI173))</f>
        <v>0.447709200864921</v>
      </c>
      <c r="AN173" s="7" t="str">
        <f aca="false">IF(AK173=P173,"No","Yes")</f>
        <v>No</v>
      </c>
    </row>
    <row r="174" customFormat="false" ht="15" hidden="true" customHeight="false" outlineLevel="0" collapsed="false">
      <c r="A174" s="0" t="n">
        <v>170</v>
      </c>
      <c r="B174" s="4" t="s">
        <v>358</v>
      </c>
      <c r="C174" s="5" t="s">
        <v>140</v>
      </c>
      <c r="D174" s="35" t="n">
        <v>12</v>
      </c>
      <c r="E174" s="35" t="n">
        <v>14</v>
      </c>
      <c r="F174" s="35"/>
      <c r="G174" s="35" t="n">
        <v>4</v>
      </c>
      <c r="H174" s="35" t="n">
        <v>11</v>
      </c>
      <c r="I174" s="5" t="n">
        <f aca="false">SUM(D174:H174)</f>
        <v>41</v>
      </c>
      <c r="J174" s="10" t="n">
        <f aca="false">IF($I174=0,0,D174/$I174)</f>
        <v>0.292682926829268</v>
      </c>
      <c r="K174" s="10" t="n">
        <f aca="false">IF($I174=0,0,E174/$I174)</f>
        <v>0.341463414634146</v>
      </c>
      <c r="L174" s="10" t="n">
        <f aca="false">IF($I174=0,0,F174/$I174)</f>
        <v>0</v>
      </c>
      <c r="M174" s="10" t="n">
        <f aca="false">IF($I174=0,0,G174/$I174)</f>
        <v>0.0975609756097561</v>
      </c>
      <c r="N174" s="10" t="n">
        <f aca="false">IF($I174=0,0,H174/$I174)</f>
        <v>0.268292682926829</v>
      </c>
      <c r="O174" s="35" t="s">
        <v>197</v>
      </c>
      <c r="P174" s="0" t="str">
        <f aca="false">IF(O174="TVK","TVK",IF(O174="DMK","DMK+",IF(O174="ADMK","AIADMK+","")))</f>
        <v>DMK+</v>
      </c>
      <c r="Q174" s="35" t="s">
        <v>197</v>
      </c>
      <c r="R174" s="36" t="s">
        <v>5</v>
      </c>
      <c r="S174" s="0" t="str">
        <f aca="false">IF(P174=R174,"Yes","No")</f>
        <v>Yes</v>
      </c>
      <c r="T174" s="2"/>
      <c r="U174" s="27" t="n">
        <f aca="false">IFERROR(SUMIFS($D$5:$D$238,$C$5:$C$238,$C174)/SUMIFS($I$5:$I$238,$C$5:$C$238,$C174),0)</f>
        <v>0.224657534246575</v>
      </c>
      <c r="V174" s="27" t="n">
        <f aca="false">IFERROR(SUMIFS($E$5:$E$238,$C$5:$C$238,$C174)/SUMIFS($I$5:$I$238,$C$5:$C$238,$C174),0)</f>
        <v>0.298630136986301</v>
      </c>
      <c r="W174" s="27" t="n">
        <f aca="false">IFERROR(SUMIFS($F$5:$F$238,$C$5:$C$238,$C174)/SUMIFS($I$5:$I$238,$C$5:$C$238,$C174),0)</f>
        <v>0.00547945205479452</v>
      </c>
      <c r="X174" s="27" t="n">
        <f aca="false">IFERROR(SUMIFS($G$5:$G$238,$C$5:$C$238,$C174)/SUMIFS($I$5:$I$238,$C$5:$C$238,$C174),0)</f>
        <v>0.126027397260274</v>
      </c>
      <c r="Y174" s="27" t="n">
        <f aca="false">IFERROR(SUMIFS($H$5:$H$238,$C$5:$C$238,$C174)/SUMIFS($I$5:$I$238,$C$5:$C$238,$C174),0)</f>
        <v>0.345205479452055</v>
      </c>
      <c r="Z174" s="24" t="n">
        <f aca="false">LN(MAX(I174,1))</f>
        <v>3.71357206670431</v>
      </c>
      <c r="AA174" s="24" t="n">
        <f aca="false">Calibration!$M$35+Calibration!$N$35+SUMPRODUCT(Calibration!$B$35:$F$35,J174:N174)+SUMPRODUCT(Calibration!$G$35:$K$35,U174:Y174)+Calibration!$L$35*Z174</f>
        <v>0.120993039682437</v>
      </c>
      <c r="AB174" s="24" t="n">
        <f aca="false">Calibration!$M$36+Calibration!$N$36+SUMPRODUCT(Calibration!$B$36:$F$36,J174:N174)+SUMPRODUCT(Calibration!$G$36:$K$36,U174:Y174)+Calibration!$L$36*Z174</f>
        <v>0.489541388147167</v>
      </c>
      <c r="AC174" s="24" t="n">
        <f aca="false">Calibration!$M$37+Calibration!$N$37+SUMPRODUCT(Calibration!$B$37:$F$37,J174:N174)+SUMPRODUCT(Calibration!$G$37:$K$37,U174:Y174)+Calibration!$L$37*Z174</f>
        <v>0.214466139093215</v>
      </c>
      <c r="AD174" s="27" t="n">
        <f aca="false">EXP(AC174)/(EXP(AA174)+EXP(AB174)+EXP(AC174))</f>
        <v>0.309847678366148</v>
      </c>
      <c r="AE174" s="7" t="str">
        <f aca="false">IF(AC174=MAX(AA174:AC174),"TVK",IF(AB174=MAX(AA174:AC174),"DMK+","AIADMK+"))</f>
        <v>DMK+</v>
      </c>
      <c r="AF174" s="7" t="str">
        <f aca="false">IF(AE174=R174,"Yes","No")</f>
        <v>Yes</v>
      </c>
      <c r="AG174" s="7" t="str">
        <f aca="false">IF(AE174=P174,"No","Yes")</f>
        <v>No</v>
      </c>
      <c r="AH174" s="7" t="str">
        <f aca="false">IF(H174=MAX(D174,E174,H174),"TVK",IF(E174=MAX(D174,E174,H174),"DMK+","AIADMK+"))</f>
        <v>DMK+</v>
      </c>
      <c r="AI174" s="27" t="n">
        <f aca="false">EXP(AA174)/(EXP(AA174)+EXP(AB174)+EXP(AC174))</f>
        <v>0.282197651480294</v>
      </c>
      <c r="AJ174" s="27" t="n">
        <f aca="false">EXP(AB174)/(EXP(AA174)+EXP(AB174)+EXP(AC174))</f>
        <v>0.407954670153558</v>
      </c>
      <c r="AK174" s="28" t="s">
        <v>5</v>
      </c>
      <c r="AL174" s="7" t="str">
        <f aca="false">IF(AK174=R174,"Yes","No")</f>
        <v>Yes</v>
      </c>
      <c r="AM174" s="27" t="n">
        <f aca="false">IF(AK174="TVK",AD174,IF(AK174="DMK+",AJ174,AI174))</f>
        <v>0.407954670153558</v>
      </c>
      <c r="AN174" s="7" t="str">
        <f aca="false">IF(AK174=P174,"No","Yes")</f>
        <v>No</v>
      </c>
    </row>
    <row r="175" customFormat="false" ht="15" hidden="true" customHeight="false" outlineLevel="0" collapsed="false">
      <c r="A175" s="0" t="n">
        <v>171</v>
      </c>
      <c r="B175" s="4" t="s">
        <v>359</v>
      </c>
      <c r="C175" s="5" t="s">
        <v>140</v>
      </c>
      <c r="D175" s="35" t="n">
        <v>17</v>
      </c>
      <c r="E175" s="35" t="n">
        <v>27</v>
      </c>
      <c r="F175" s="35"/>
      <c r="G175" s="35" t="n">
        <v>11</v>
      </c>
      <c r="H175" s="35" t="n">
        <v>22</v>
      </c>
      <c r="I175" s="5" t="n">
        <f aca="false">SUM(D175:H175)</f>
        <v>77</v>
      </c>
      <c r="J175" s="10" t="n">
        <f aca="false">IF($I175=0,0,D175/$I175)</f>
        <v>0.220779220779221</v>
      </c>
      <c r="K175" s="10" t="n">
        <f aca="false">IF($I175=0,0,E175/$I175)</f>
        <v>0.350649350649351</v>
      </c>
      <c r="L175" s="10" t="n">
        <f aca="false">IF($I175=0,0,F175/$I175)</f>
        <v>0</v>
      </c>
      <c r="M175" s="10" t="n">
        <f aca="false">IF($I175=0,0,G175/$I175)</f>
        <v>0.142857142857143</v>
      </c>
      <c r="N175" s="10" t="n">
        <f aca="false">IF($I175=0,0,H175/$I175)</f>
        <v>0.285714285714286</v>
      </c>
      <c r="O175" s="35" t="s">
        <v>197</v>
      </c>
      <c r="P175" s="0" t="str">
        <f aca="false">IF(O175="TVK","TVK",IF(O175="DMK","DMK+",IF(O175="ADMK","AIADMK+","")))</f>
        <v>DMK+</v>
      </c>
      <c r="Q175" s="35" t="s">
        <v>3</v>
      </c>
      <c r="R175" s="36" t="s">
        <v>3</v>
      </c>
      <c r="S175" s="0" t="str">
        <f aca="false">IF(P175=R175,"Yes","No")</f>
        <v>No</v>
      </c>
      <c r="T175" s="2"/>
      <c r="U175" s="27" t="n">
        <f aca="false">IFERROR(SUMIFS($D$5:$D$238,$C$5:$C$238,$C175)/SUMIFS($I$5:$I$238,$C$5:$C$238,$C175),0)</f>
        <v>0.224657534246575</v>
      </c>
      <c r="V175" s="27" t="n">
        <f aca="false">IFERROR(SUMIFS($E$5:$E$238,$C$5:$C$238,$C175)/SUMIFS($I$5:$I$238,$C$5:$C$238,$C175),0)</f>
        <v>0.298630136986301</v>
      </c>
      <c r="W175" s="27" t="n">
        <f aca="false">IFERROR(SUMIFS($F$5:$F$238,$C$5:$C$238,$C175)/SUMIFS($I$5:$I$238,$C$5:$C$238,$C175),0)</f>
        <v>0.00547945205479452</v>
      </c>
      <c r="X175" s="27" t="n">
        <f aca="false">IFERROR(SUMIFS($G$5:$G$238,$C$5:$C$238,$C175)/SUMIFS($I$5:$I$238,$C$5:$C$238,$C175),0)</f>
        <v>0.126027397260274</v>
      </c>
      <c r="Y175" s="27" t="n">
        <f aca="false">IFERROR(SUMIFS($H$5:$H$238,$C$5:$C$238,$C175)/SUMIFS($I$5:$I$238,$C$5:$C$238,$C175),0)</f>
        <v>0.345205479452055</v>
      </c>
      <c r="Z175" s="24" t="n">
        <f aca="false">LN(MAX(I175,1))</f>
        <v>4.34380542185368</v>
      </c>
      <c r="AA175" s="24" t="n">
        <f aca="false">Calibration!$M$35+Calibration!$N$35+SUMPRODUCT(Calibration!$B$35:$F$35,J175:N175)+SUMPRODUCT(Calibration!$G$35:$K$35,U175:Y175)+Calibration!$L$35*Z175</f>
        <v>-0.280772774213929</v>
      </c>
      <c r="AB175" s="24" t="n">
        <f aca="false">Calibration!$M$36+Calibration!$N$36+SUMPRODUCT(Calibration!$B$36:$F$36,J175:N175)+SUMPRODUCT(Calibration!$G$36:$K$36,U175:Y175)+Calibration!$L$36*Z175</f>
        <v>0.169532271205666</v>
      </c>
      <c r="AC175" s="24" t="n">
        <f aca="false">Calibration!$M$37+Calibration!$N$37+SUMPRODUCT(Calibration!$B$37:$F$37,J175:N175)+SUMPRODUCT(Calibration!$G$37:$K$37,U175:Y175)+Calibration!$L$37*Z175</f>
        <v>0.936241087352686</v>
      </c>
      <c r="AD175" s="27" t="n">
        <f aca="false">EXP(AC175)/(EXP(AA175)+EXP(AB175)+EXP(AC175))</f>
        <v>0.567971242029743</v>
      </c>
      <c r="AE175" s="7" t="str">
        <f aca="false">IF(AC175=MAX(AA175:AC175),"TVK",IF(AB175=MAX(AA175:AC175),"DMK+","AIADMK+"))</f>
        <v>TVK</v>
      </c>
      <c r="AF175" s="7" t="str">
        <f aca="false">IF(AE175=R175,"Yes","No")</f>
        <v>Yes</v>
      </c>
      <c r="AG175" s="7" t="str">
        <f aca="false">IF(AE175=P175,"No","Yes")</f>
        <v>Yes</v>
      </c>
      <c r="AH175" s="7" t="str">
        <f aca="false">IF(H175=MAX(D175,E175,H175),"TVK",IF(E175=MAX(D175,E175,H175),"DMK+","AIADMK+"))</f>
        <v>DMK+</v>
      </c>
      <c r="AI175" s="27" t="n">
        <f aca="false">EXP(AA175)/(EXP(AA175)+EXP(AB175)+EXP(AC175))</f>
        <v>0.168183715345564</v>
      </c>
      <c r="AJ175" s="27" t="n">
        <f aca="false">EXP(AB175)/(EXP(AA175)+EXP(AB175)+EXP(AC175))</f>
        <v>0.263845042624693</v>
      </c>
      <c r="AK175" s="28" t="s">
        <v>3</v>
      </c>
      <c r="AL175" s="7" t="str">
        <f aca="false">IF(AK175=R175,"Yes","No")</f>
        <v>Yes</v>
      </c>
      <c r="AM175" s="27" t="n">
        <f aca="false">IF(AK175="TVK",AD175,IF(AK175="DMK+",AJ175,AI175))</f>
        <v>0.567971242029743</v>
      </c>
      <c r="AN175" s="7" t="str">
        <f aca="false">IF(AK175=P175,"No","Yes")</f>
        <v>Yes</v>
      </c>
    </row>
    <row r="176" customFormat="false" ht="15" hidden="false" customHeight="false" outlineLevel="0" collapsed="false">
      <c r="A176" s="0" t="n">
        <v>172</v>
      </c>
      <c r="B176" s="4" t="s">
        <v>360</v>
      </c>
      <c r="C176" s="5" t="s">
        <v>140</v>
      </c>
      <c r="D176" s="35" t="n">
        <v>11</v>
      </c>
      <c r="E176" s="35" t="n">
        <v>10</v>
      </c>
      <c r="F176" s="35"/>
      <c r="G176" s="35" t="n">
        <v>2</v>
      </c>
      <c r="H176" s="35" t="n">
        <v>16</v>
      </c>
      <c r="I176" s="5" t="n">
        <f aca="false">SUM(D176:H176)</f>
        <v>39</v>
      </c>
      <c r="J176" s="10" t="n">
        <f aca="false">IF($I176=0,0,D176/$I176)</f>
        <v>0.282051282051282</v>
      </c>
      <c r="K176" s="10" t="n">
        <f aca="false">IF($I176=0,0,E176/$I176)</f>
        <v>0.256410256410256</v>
      </c>
      <c r="L176" s="10" t="n">
        <f aca="false">IF($I176=0,0,F176/$I176)</f>
        <v>0</v>
      </c>
      <c r="M176" s="10" t="n">
        <f aca="false">IF($I176=0,0,G176/$I176)</f>
        <v>0.0512820512820513</v>
      </c>
      <c r="N176" s="10" t="n">
        <f aca="false">IF($I176=0,0,H176/$I176)</f>
        <v>0.41025641025641</v>
      </c>
      <c r="O176" s="35" t="s">
        <v>3</v>
      </c>
      <c r="P176" s="0" t="str">
        <f aca="false">IF(O176="TVK","TVK",IF(O176="DMK","DMK+",IF(O176="ADMK","AIADMK+","")))</f>
        <v>TVK</v>
      </c>
      <c r="Q176" s="35" t="s">
        <v>238</v>
      </c>
      <c r="R176" s="36" t="s">
        <v>5</v>
      </c>
      <c r="S176" s="0" t="str">
        <f aca="false">IF(P176=R176,"Yes","No")</f>
        <v>No</v>
      </c>
      <c r="T176" s="2"/>
      <c r="U176" s="27" t="n">
        <f aca="false">IFERROR(SUMIFS($D$5:$D$238,$C$5:$C$238,$C176)/SUMIFS($I$5:$I$238,$C$5:$C$238,$C176),0)</f>
        <v>0.224657534246575</v>
      </c>
      <c r="V176" s="27" t="n">
        <f aca="false">IFERROR(SUMIFS($E$5:$E$238,$C$5:$C$238,$C176)/SUMIFS($I$5:$I$238,$C$5:$C$238,$C176),0)</f>
        <v>0.298630136986301</v>
      </c>
      <c r="W176" s="27" t="n">
        <f aca="false">IFERROR(SUMIFS($F$5:$F$238,$C$5:$C$238,$C176)/SUMIFS($I$5:$I$238,$C$5:$C$238,$C176),0)</f>
        <v>0.00547945205479452</v>
      </c>
      <c r="X176" s="27" t="n">
        <f aca="false">IFERROR(SUMIFS($G$5:$G$238,$C$5:$C$238,$C176)/SUMIFS($I$5:$I$238,$C$5:$C$238,$C176),0)</f>
        <v>0.126027397260274</v>
      </c>
      <c r="Y176" s="27" t="n">
        <f aca="false">IFERROR(SUMIFS($H$5:$H$238,$C$5:$C$238,$C176)/SUMIFS($I$5:$I$238,$C$5:$C$238,$C176),0)</f>
        <v>0.345205479452055</v>
      </c>
      <c r="Z176" s="24" t="n">
        <f aca="false">LN(MAX(I176,1))</f>
        <v>3.66356164612965</v>
      </c>
      <c r="AA176" s="24" t="n">
        <f aca="false">Calibration!$M$35+Calibration!$N$35+SUMPRODUCT(Calibration!$B$35:$F$35,J176:N176)+SUMPRODUCT(Calibration!$G$35:$K$35,U176:Y176)+Calibration!$L$35*Z176</f>
        <v>0.17186915084863</v>
      </c>
      <c r="AB176" s="24" t="n">
        <f aca="false">Calibration!$M$36+Calibration!$N$36+SUMPRODUCT(Calibration!$B$36:$F$36,J176:N176)+SUMPRODUCT(Calibration!$G$36:$K$36,U176:Y176)+Calibration!$L$36*Z176</f>
        <v>0.383529075799941</v>
      </c>
      <c r="AC176" s="24" t="n">
        <f aca="false">Calibration!$M$37+Calibration!$N$37+SUMPRODUCT(Calibration!$B$37:$F$37,J176:N176)+SUMPRODUCT(Calibration!$G$37:$K$37,U176:Y176)+Calibration!$L$37*Z176</f>
        <v>0.269602482237977</v>
      </c>
      <c r="AD176" s="27" t="n">
        <f aca="false">EXP(AC176)/(EXP(AA176)+EXP(AB176)+EXP(AC176))</f>
        <v>0.3302989246449</v>
      </c>
      <c r="AE176" s="7" t="str">
        <f aca="false">IF(AC176=MAX(AA176:AC176),"TVK",IF(AB176=MAX(AA176:AC176),"DMK+","AIADMK+"))</f>
        <v>DMK+</v>
      </c>
      <c r="AF176" s="7" t="str">
        <f aca="false">IF(AE176=R176,"Yes","No")</f>
        <v>Yes</v>
      </c>
      <c r="AG176" s="7" t="str">
        <f aca="false">IF(AE176=P176,"No","Yes")</f>
        <v>Yes</v>
      </c>
      <c r="AH176" s="7" t="str">
        <f aca="false">IF(H176=MAX(D176,E176,H176),"TVK",IF(E176=MAX(D176,E176,H176),"DMK+","AIADMK+"))</f>
        <v>TVK</v>
      </c>
      <c r="AI176" s="27" t="n">
        <f aca="false">EXP(AA176)/(EXP(AA176)+EXP(AB176)+EXP(AC176))</f>
        <v>0.299545026546756</v>
      </c>
      <c r="AJ176" s="27" t="n">
        <f aca="false">EXP(AB176)/(EXP(AA176)+EXP(AB176)+EXP(AC176))</f>
        <v>0.370156048808344</v>
      </c>
      <c r="AK176" s="28" t="s">
        <v>5</v>
      </c>
      <c r="AL176" s="7" t="str">
        <f aca="false">IF(AK176=R176,"Yes","No")</f>
        <v>Yes</v>
      </c>
      <c r="AM176" s="27" t="n">
        <f aca="false">IF(AK176="TVK",AD176,IF(AK176="DMK+",AJ176,AI176))</f>
        <v>0.370156048808344</v>
      </c>
      <c r="AN176" s="7" t="str">
        <f aca="false">IF(AK176=P176,"No","Yes")</f>
        <v>Yes</v>
      </c>
    </row>
    <row r="177" customFormat="false" ht="15" hidden="true" customHeight="false" outlineLevel="0" collapsed="false">
      <c r="A177" s="0" t="n">
        <v>173</v>
      </c>
      <c r="B177" s="4" t="s">
        <v>361</v>
      </c>
      <c r="C177" s="5" t="s">
        <v>140</v>
      </c>
      <c r="D177" s="35" t="n">
        <v>13</v>
      </c>
      <c r="E177" s="35" t="n">
        <v>8</v>
      </c>
      <c r="F177" s="35"/>
      <c r="G177" s="35"/>
      <c r="H177" s="35" t="n">
        <v>11</v>
      </c>
      <c r="I177" s="5" t="n">
        <f aca="false">SUM(D177:H177)</f>
        <v>32</v>
      </c>
      <c r="J177" s="10" t="n">
        <f aca="false">IF($I177=0,0,D177/$I177)</f>
        <v>0.40625</v>
      </c>
      <c r="K177" s="10" t="n">
        <f aca="false">IF($I177=0,0,E177/$I177)</f>
        <v>0.25</v>
      </c>
      <c r="L177" s="10" t="n">
        <f aca="false">IF($I177=0,0,F177/$I177)</f>
        <v>0</v>
      </c>
      <c r="M177" s="10" t="n">
        <f aca="false">IF($I177=0,0,G177/$I177)</f>
        <v>0</v>
      </c>
      <c r="N177" s="10" t="n">
        <f aca="false">IF($I177=0,0,H177/$I177)</f>
        <v>0.34375</v>
      </c>
      <c r="O177" s="35" t="s">
        <v>218</v>
      </c>
      <c r="P177" s="0" t="str">
        <f aca="false">IF(O177="TVK","TVK",IF(O177="DMK","DMK+",IF(O177="ADMK","AIADMK+","")))</f>
        <v>AIADMK+</v>
      </c>
      <c r="Q177" s="35" t="s">
        <v>197</v>
      </c>
      <c r="R177" s="36" t="s">
        <v>5</v>
      </c>
      <c r="S177" s="0" t="str">
        <f aca="false">IF(P177=R177,"Yes","No")</f>
        <v>No</v>
      </c>
      <c r="T177" s="2"/>
      <c r="U177" s="27" t="n">
        <f aca="false">IFERROR(SUMIFS($D$5:$D$238,$C$5:$C$238,$C177)/SUMIFS($I$5:$I$238,$C$5:$C$238,$C177),0)</f>
        <v>0.224657534246575</v>
      </c>
      <c r="V177" s="27" t="n">
        <f aca="false">IFERROR(SUMIFS($E$5:$E$238,$C$5:$C$238,$C177)/SUMIFS($I$5:$I$238,$C$5:$C$238,$C177),0)</f>
        <v>0.298630136986301</v>
      </c>
      <c r="W177" s="27" t="n">
        <f aca="false">IFERROR(SUMIFS($F$5:$F$238,$C$5:$C$238,$C177)/SUMIFS($I$5:$I$238,$C$5:$C$238,$C177),0)</f>
        <v>0.00547945205479452</v>
      </c>
      <c r="X177" s="27" t="n">
        <f aca="false">IFERROR(SUMIFS($G$5:$G$238,$C$5:$C$238,$C177)/SUMIFS($I$5:$I$238,$C$5:$C$238,$C177),0)</f>
        <v>0.126027397260274</v>
      </c>
      <c r="Y177" s="27" t="n">
        <f aca="false">IFERROR(SUMIFS($H$5:$H$238,$C$5:$C$238,$C177)/SUMIFS($I$5:$I$238,$C$5:$C$238,$C177),0)</f>
        <v>0.345205479452055</v>
      </c>
      <c r="Z177" s="24" t="n">
        <f aca="false">LN(MAX(I177,1))</f>
        <v>3.46573590279973</v>
      </c>
      <c r="AA177" s="24" t="n">
        <f aca="false">Calibration!$M$35+Calibration!$N$35+SUMPRODUCT(Calibration!$B$35:$F$35,J177:N177)+SUMPRODUCT(Calibration!$G$35:$K$35,U177:Y177)+Calibration!$L$35*Z177</f>
        <v>0.401019892450968</v>
      </c>
      <c r="AB177" s="24" t="n">
        <f aca="false">Calibration!$M$36+Calibration!$N$36+SUMPRODUCT(Calibration!$B$36:$F$36,J177:N177)+SUMPRODUCT(Calibration!$G$36:$K$36,U177:Y177)+Calibration!$L$36*Z177</f>
        <v>0.411695377665573</v>
      </c>
      <c r="AC177" s="24" t="n">
        <f aca="false">Calibration!$M$37+Calibration!$N$37+SUMPRODUCT(Calibration!$B$37:$F$37,J177:N177)+SUMPRODUCT(Calibration!$G$37:$K$37,U177:Y177)+Calibration!$L$37*Z177</f>
        <v>0.0122853722635963</v>
      </c>
      <c r="AD177" s="27" t="n">
        <f aca="false">EXP(AC177)/(EXP(AA177)+EXP(AB177)+EXP(AC177))</f>
        <v>0.252139550619303</v>
      </c>
      <c r="AE177" s="7" t="str">
        <f aca="false">IF(AC177=MAX(AA177:AC177),"TVK",IF(AB177=MAX(AA177:AC177),"DMK+","AIADMK+"))</f>
        <v>DMK+</v>
      </c>
      <c r="AF177" s="7" t="str">
        <f aca="false">IF(AE177=R177,"Yes","No")</f>
        <v>Yes</v>
      </c>
      <c r="AG177" s="7" t="str">
        <f aca="false">IF(AE177=P177,"No","Yes")</f>
        <v>Yes</v>
      </c>
      <c r="AH177" s="7" t="str">
        <f aca="false">IF(H177=MAX(D177,E177,H177),"TVK",IF(E177=MAX(D177,E177,H177),"DMK+","AIADMK+"))</f>
        <v>AIADMK+</v>
      </c>
      <c r="AI177" s="27" t="n">
        <f aca="false">EXP(AA177)/(EXP(AA177)+EXP(AB177)+EXP(AC177))</f>
        <v>0.371934300353448</v>
      </c>
      <c r="AJ177" s="27" t="n">
        <f aca="false">EXP(AB177)/(EXP(AA177)+EXP(AB177)+EXP(AC177))</f>
        <v>0.375926149027249</v>
      </c>
      <c r="AK177" s="28" t="s">
        <v>5</v>
      </c>
      <c r="AL177" s="7" t="str">
        <f aca="false">IF(AK177=R177,"Yes","No")</f>
        <v>Yes</v>
      </c>
      <c r="AM177" s="27" t="n">
        <f aca="false">IF(AK177="TVK",AD177,IF(AK177="DMK+",AJ177,AI177))</f>
        <v>0.375926149027249</v>
      </c>
      <c r="AN177" s="7" t="str">
        <f aca="false">IF(AK177=P177,"No","Yes")</f>
        <v>Yes</v>
      </c>
    </row>
    <row r="178" customFormat="false" ht="15" hidden="false" customHeight="false" outlineLevel="0" collapsed="false">
      <c r="A178" s="0" t="n">
        <v>174</v>
      </c>
      <c r="B178" s="4" t="s">
        <v>140</v>
      </c>
      <c r="C178" s="5" t="s">
        <v>140</v>
      </c>
      <c r="D178" s="35" t="n">
        <v>15</v>
      </c>
      <c r="E178" s="35" t="n">
        <v>28</v>
      </c>
      <c r="F178" s="35" t="n">
        <v>2</v>
      </c>
      <c r="G178" s="35" t="n">
        <v>5</v>
      </c>
      <c r="H178" s="35" t="n">
        <v>44</v>
      </c>
      <c r="I178" s="5" t="n">
        <f aca="false">SUM(D178:H178)</f>
        <v>94</v>
      </c>
      <c r="J178" s="10" t="n">
        <f aca="false">IF($I178=0,0,D178/$I178)</f>
        <v>0.159574468085106</v>
      </c>
      <c r="K178" s="10" t="n">
        <f aca="false">IF($I178=0,0,E178/$I178)</f>
        <v>0.297872340425532</v>
      </c>
      <c r="L178" s="10" t="n">
        <f aca="false">IF($I178=0,0,F178/$I178)</f>
        <v>0.0212765957446809</v>
      </c>
      <c r="M178" s="10" t="n">
        <f aca="false">IF($I178=0,0,G178/$I178)</f>
        <v>0.0531914893617021</v>
      </c>
      <c r="N178" s="10" t="n">
        <f aca="false">IF($I178=0,0,H178/$I178)</f>
        <v>0.468085106382979</v>
      </c>
      <c r="O178" s="35" t="s">
        <v>3</v>
      </c>
      <c r="P178" s="0" t="str">
        <f aca="false">IF(O178="TVK","TVK",IF(O178="DMK","DMK+",IF(O178="ADMK","AIADMK+","")))</f>
        <v>TVK</v>
      </c>
      <c r="Q178" s="35" t="s">
        <v>3</v>
      </c>
      <c r="R178" s="36" t="s">
        <v>3</v>
      </c>
      <c r="S178" s="0" t="str">
        <f aca="false">IF(P178=R178,"Yes","No")</f>
        <v>Yes</v>
      </c>
      <c r="T178" s="2"/>
      <c r="U178" s="27" t="n">
        <f aca="false">IFERROR(SUMIFS($D$5:$D$238,$C$5:$C$238,$C178)/SUMIFS($I$5:$I$238,$C$5:$C$238,$C178),0)</f>
        <v>0.224657534246575</v>
      </c>
      <c r="V178" s="27" t="n">
        <f aca="false">IFERROR(SUMIFS($E$5:$E$238,$C$5:$C$238,$C178)/SUMIFS($I$5:$I$238,$C$5:$C$238,$C178),0)</f>
        <v>0.298630136986301</v>
      </c>
      <c r="W178" s="27" t="n">
        <f aca="false">IFERROR(SUMIFS($F$5:$F$238,$C$5:$C$238,$C178)/SUMIFS($I$5:$I$238,$C$5:$C$238,$C178),0)</f>
        <v>0.00547945205479452</v>
      </c>
      <c r="X178" s="27" t="n">
        <f aca="false">IFERROR(SUMIFS($G$5:$G$238,$C$5:$C$238,$C178)/SUMIFS($I$5:$I$238,$C$5:$C$238,$C178),0)</f>
        <v>0.126027397260274</v>
      </c>
      <c r="Y178" s="27" t="n">
        <f aca="false">IFERROR(SUMIFS($H$5:$H$238,$C$5:$C$238,$C178)/SUMIFS($I$5:$I$238,$C$5:$C$238,$C178),0)</f>
        <v>0.345205479452055</v>
      </c>
      <c r="Z178" s="24" t="n">
        <f aca="false">LN(MAX(I178,1))</f>
        <v>4.54329478227</v>
      </c>
      <c r="AA178" s="24" t="n">
        <f aca="false">Calibration!$M$35+Calibration!$N$35+SUMPRODUCT(Calibration!$B$35:$F$35,J178:N178)+SUMPRODUCT(Calibration!$G$35:$K$35,U178:Y178)+Calibration!$L$35*Z178</f>
        <v>-0.436206862749878</v>
      </c>
      <c r="AB178" s="24" t="n">
        <f aca="false">Calibration!$M$36+Calibration!$N$36+SUMPRODUCT(Calibration!$B$36:$F$36,J178:N178)+SUMPRODUCT(Calibration!$G$36:$K$36,U178:Y178)+Calibration!$L$36*Z178</f>
        <v>-0.0348041970826123</v>
      </c>
      <c r="AC178" s="24" t="n">
        <f aca="false">Calibration!$M$37+Calibration!$N$37+SUMPRODUCT(Calibration!$B$37:$F$37,J178:N178)+SUMPRODUCT(Calibration!$G$37:$K$37,U178:Y178)+Calibration!$L$37*Z178</f>
        <v>1.29601182654773</v>
      </c>
      <c r="AD178" s="27" t="n">
        <f aca="false">EXP(AC178)/(EXP(AA178)+EXP(AB178)+EXP(AC178))</f>
        <v>0.693888833868554</v>
      </c>
      <c r="AE178" s="7" t="str">
        <f aca="false">IF(AC178=MAX(AA178:AC178),"TVK",IF(AB178=MAX(AA178:AC178),"DMK+","AIADMK+"))</f>
        <v>TVK</v>
      </c>
      <c r="AF178" s="7" t="str">
        <f aca="false">IF(AE178=R178,"Yes","No")</f>
        <v>Yes</v>
      </c>
      <c r="AG178" s="7" t="str">
        <f aca="false">IF(AE178=P178,"No","Yes")</f>
        <v>No</v>
      </c>
      <c r="AH178" s="7" t="str">
        <f aca="false">IF(H178=MAX(D178,E178,H178),"TVK",IF(E178=MAX(D178,E178,H178),"DMK+","AIADMK+"))</f>
        <v>TVK</v>
      </c>
      <c r="AI178" s="27" t="n">
        <f aca="false">EXP(AA178)/(EXP(AA178)+EXP(AB178)+EXP(AC178))</f>
        <v>0.122743041494647</v>
      </c>
      <c r="AJ178" s="27" t="n">
        <f aca="false">EXP(AB178)/(EXP(AA178)+EXP(AB178)+EXP(AC178))</f>
        <v>0.183368124636799</v>
      </c>
      <c r="AK178" s="28" t="s">
        <v>3</v>
      </c>
      <c r="AL178" s="7" t="str">
        <f aca="false">IF(AK178=R178,"Yes","No")</f>
        <v>Yes</v>
      </c>
      <c r="AM178" s="27" t="n">
        <f aca="false">IF(AK178="TVK",AD178,IF(AK178="DMK+",AJ178,AI178))</f>
        <v>0.693888833868554</v>
      </c>
      <c r="AN178" s="7" t="str">
        <f aca="false">IF(AK178=P178,"No","Yes")</f>
        <v>No</v>
      </c>
    </row>
    <row r="179" customFormat="false" ht="15" hidden="false" customHeight="false" outlineLevel="0" collapsed="false">
      <c r="A179" s="0" t="n">
        <v>175</v>
      </c>
      <c r="B179" s="4" t="s">
        <v>362</v>
      </c>
      <c r="C179" s="5" t="s">
        <v>140</v>
      </c>
      <c r="D179" s="35" t="n">
        <v>2</v>
      </c>
      <c r="E179" s="35" t="n">
        <v>3</v>
      </c>
      <c r="F179" s="35"/>
      <c r="G179" s="35" t="n">
        <v>4</v>
      </c>
      <c r="H179" s="35" t="n">
        <v>8</v>
      </c>
      <c r="I179" s="5" t="n">
        <f aca="false">SUM(D179:H179)</f>
        <v>17</v>
      </c>
      <c r="J179" s="10" t="n">
        <f aca="false">IF($I179=0,0,D179/$I179)</f>
        <v>0.117647058823529</v>
      </c>
      <c r="K179" s="10" t="n">
        <f aca="false">IF($I179=0,0,E179/$I179)</f>
        <v>0.176470588235294</v>
      </c>
      <c r="L179" s="10" t="n">
        <f aca="false">IF($I179=0,0,F179/$I179)</f>
        <v>0</v>
      </c>
      <c r="M179" s="10" t="n">
        <f aca="false">IF($I179=0,0,G179/$I179)</f>
        <v>0.235294117647059</v>
      </c>
      <c r="N179" s="10" t="n">
        <f aca="false">IF($I179=0,0,H179/$I179)</f>
        <v>0.470588235294118</v>
      </c>
      <c r="O179" s="35" t="s">
        <v>3</v>
      </c>
      <c r="P179" s="0" t="str">
        <f aca="false">IF(O179="TVK","TVK",IF(O179="DMK","DMK+",IF(O179="ADMK","AIADMK+","")))</f>
        <v>TVK</v>
      </c>
      <c r="Q179" s="35" t="s">
        <v>197</v>
      </c>
      <c r="R179" s="36" t="s">
        <v>5</v>
      </c>
      <c r="S179" s="0" t="str">
        <f aca="false">IF(P179=R179,"Yes","No")</f>
        <v>No</v>
      </c>
      <c r="T179" s="2"/>
      <c r="U179" s="27" t="n">
        <f aca="false">IFERROR(SUMIFS($D$5:$D$238,$C$5:$C$238,$C179)/SUMIFS($I$5:$I$238,$C$5:$C$238,$C179),0)</f>
        <v>0.224657534246575</v>
      </c>
      <c r="V179" s="27" t="n">
        <f aca="false">IFERROR(SUMIFS($E$5:$E$238,$C$5:$C$238,$C179)/SUMIFS($I$5:$I$238,$C$5:$C$238,$C179),0)</f>
        <v>0.298630136986301</v>
      </c>
      <c r="W179" s="27" t="n">
        <f aca="false">IFERROR(SUMIFS($F$5:$F$238,$C$5:$C$238,$C179)/SUMIFS($I$5:$I$238,$C$5:$C$238,$C179),0)</f>
        <v>0.00547945205479452</v>
      </c>
      <c r="X179" s="27" t="n">
        <f aca="false">IFERROR(SUMIFS($G$5:$G$238,$C$5:$C$238,$C179)/SUMIFS($I$5:$I$238,$C$5:$C$238,$C179),0)</f>
        <v>0.126027397260274</v>
      </c>
      <c r="Y179" s="27" t="n">
        <f aca="false">IFERROR(SUMIFS($H$5:$H$238,$C$5:$C$238,$C179)/SUMIFS($I$5:$I$238,$C$5:$C$238,$C179),0)</f>
        <v>0.345205479452055</v>
      </c>
      <c r="Z179" s="24" t="n">
        <f aca="false">LN(MAX(I179,1))</f>
        <v>2.83321334405622</v>
      </c>
      <c r="AA179" s="24" t="n">
        <f aca="false">Calibration!$M$35+Calibration!$N$35+SUMPRODUCT(Calibration!$B$35:$F$35,J179:N179)+SUMPRODUCT(Calibration!$G$35:$K$35,U179:Y179)+Calibration!$L$35*Z179</f>
        <v>0.513446029549552</v>
      </c>
      <c r="AB179" s="24" t="n">
        <f aca="false">Calibration!$M$36+Calibration!$N$36+SUMPRODUCT(Calibration!$B$36:$F$36,J179:N179)+SUMPRODUCT(Calibration!$G$36:$K$36,U179:Y179)+Calibration!$L$36*Z179</f>
        <v>0.951194228910281</v>
      </c>
      <c r="AC179" s="24" t="n">
        <f aca="false">Calibration!$M$37+Calibration!$N$37+SUMPRODUCT(Calibration!$B$37:$F$37,J179:N179)+SUMPRODUCT(Calibration!$G$37:$K$37,U179:Y179)+Calibration!$L$37*Z179</f>
        <v>-0.639639489241461</v>
      </c>
      <c r="AD179" s="27" t="n">
        <f aca="false">EXP(AC179)/(EXP(AA179)+EXP(AB179)+EXP(AC179))</f>
        <v>0.110183226331941</v>
      </c>
      <c r="AE179" s="7" t="str">
        <f aca="false">IF(AC179=MAX(AA179:AC179),"TVK",IF(AB179=MAX(AA179:AC179),"DMK+","AIADMK+"))</f>
        <v>DMK+</v>
      </c>
      <c r="AF179" s="7" t="str">
        <f aca="false">IF(AE179=R179,"Yes","No")</f>
        <v>Yes</v>
      </c>
      <c r="AG179" s="7" t="str">
        <f aca="false">IF(AE179=P179,"No","Yes")</f>
        <v>Yes</v>
      </c>
      <c r="AH179" s="7" t="str">
        <f aca="false">IF(H179=MAX(D179,E179,H179),"TVK",IF(E179=MAX(D179,E179,H179),"DMK+","AIADMK+"))</f>
        <v>TVK</v>
      </c>
      <c r="AI179" s="27" t="n">
        <f aca="false">EXP(AA179)/(EXP(AA179)+EXP(AB179)+EXP(AC179))</f>
        <v>0.349055240803173</v>
      </c>
      <c r="AJ179" s="27" t="n">
        <f aca="false">EXP(AB179)/(EXP(AA179)+EXP(AB179)+EXP(AC179))</f>
        <v>0.540761532864885</v>
      </c>
      <c r="AK179" s="28" t="s">
        <v>5</v>
      </c>
      <c r="AL179" s="7" t="str">
        <f aca="false">IF(AK179=R179,"Yes","No")</f>
        <v>Yes</v>
      </c>
      <c r="AM179" s="27" t="n">
        <f aca="false">IF(AK179="TVK",AD179,IF(AK179="DMK+",AJ179,AI179))</f>
        <v>0.540761532864885</v>
      </c>
      <c r="AN179" s="7" t="str">
        <f aca="false">IF(AK179=P179,"No","Yes")</f>
        <v>Yes</v>
      </c>
    </row>
    <row r="180" customFormat="false" ht="15" hidden="true" customHeight="false" outlineLevel="0" collapsed="false">
      <c r="A180" s="0" t="n">
        <v>176</v>
      </c>
      <c r="B180" s="4" t="s">
        <v>363</v>
      </c>
      <c r="C180" s="5" t="s">
        <v>140</v>
      </c>
      <c r="D180" s="35" t="n">
        <v>6</v>
      </c>
      <c r="E180" s="35" t="n">
        <v>10</v>
      </c>
      <c r="F180" s="35"/>
      <c r="G180" s="35" t="n">
        <v>16</v>
      </c>
      <c r="H180" s="35" t="n">
        <v>7</v>
      </c>
      <c r="I180" s="5" t="n">
        <f aca="false">SUM(D180:H180)</f>
        <v>39</v>
      </c>
      <c r="J180" s="10" t="n">
        <f aca="false">IF($I180=0,0,D180/$I180)</f>
        <v>0.153846153846154</v>
      </c>
      <c r="K180" s="10" t="n">
        <f aca="false">IF($I180=0,0,E180/$I180)</f>
        <v>0.256410256410256</v>
      </c>
      <c r="L180" s="10" t="n">
        <f aca="false">IF($I180=0,0,F180/$I180)</f>
        <v>0</v>
      </c>
      <c r="M180" s="10" t="n">
        <f aca="false">IF($I180=0,0,G180/$I180)</f>
        <v>0.41025641025641</v>
      </c>
      <c r="N180" s="10" t="n">
        <f aca="false">IF($I180=0,0,H180/$I180)</f>
        <v>0.17948717948718</v>
      </c>
      <c r="O180" s="35" t="s">
        <v>218</v>
      </c>
      <c r="P180" s="0" t="str">
        <f aca="false">IF(O180="TVK","TVK",IF(O180="DMK","DMK+",IF(O180="ADMK","AIADMK+","")))</f>
        <v>AIADMK+</v>
      </c>
      <c r="Q180" s="35" t="s">
        <v>197</v>
      </c>
      <c r="R180" s="36" t="s">
        <v>5</v>
      </c>
      <c r="S180" s="0" t="str">
        <f aca="false">IF(P180=R180,"Yes","No")</f>
        <v>No</v>
      </c>
      <c r="T180" s="2"/>
      <c r="U180" s="27" t="n">
        <f aca="false">IFERROR(SUMIFS($D$5:$D$238,$C$5:$C$238,$C180)/SUMIFS($I$5:$I$238,$C$5:$C$238,$C180),0)</f>
        <v>0.224657534246575</v>
      </c>
      <c r="V180" s="27" t="n">
        <f aca="false">IFERROR(SUMIFS($E$5:$E$238,$C$5:$C$238,$C180)/SUMIFS($I$5:$I$238,$C$5:$C$238,$C180),0)</f>
        <v>0.298630136986301</v>
      </c>
      <c r="W180" s="27" t="n">
        <f aca="false">IFERROR(SUMIFS($F$5:$F$238,$C$5:$C$238,$C180)/SUMIFS($I$5:$I$238,$C$5:$C$238,$C180),0)</f>
        <v>0.00547945205479452</v>
      </c>
      <c r="X180" s="27" t="n">
        <f aca="false">IFERROR(SUMIFS($G$5:$G$238,$C$5:$C$238,$C180)/SUMIFS($I$5:$I$238,$C$5:$C$238,$C180),0)</f>
        <v>0.126027397260274</v>
      </c>
      <c r="Y180" s="27" t="n">
        <f aca="false">IFERROR(SUMIFS($H$5:$H$238,$C$5:$C$238,$C180)/SUMIFS($I$5:$I$238,$C$5:$C$238,$C180),0)</f>
        <v>0.345205479452055</v>
      </c>
      <c r="Z180" s="24" t="n">
        <f aca="false">LN(MAX(I180,1))</f>
        <v>3.66356164612965</v>
      </c>
      <c r="AA180" s="24" t="n">
        <f aca="false">Calibration!$M$35+Calibration!$N$35+SUMPRODUCT(Calibration!$B$35:$F$35,J180:N180)+SUMPRODUCT(Calibration!$G$35:$K$35,U180:Y180)+Calibration!$L$35*Z180</f>
        <v>0.113466894438373</v>
      </c>
      <c r="AB180" s="24" t="n">
        <f aca="false">Calibration!$M$36+Calibration!$N$36+SUMPRODUCT(Calibration!$B$36:$F$36,J180:N180)+SUMPRODUCT(Calibration!$G$36:$K$36,U180:Y180)+Calibration!$L$36*Z180</f>
        <v>0.615764204005069</v>
      </c>
      <c r="AC180" s="24" t="n">
        <f aca="false">Calibration!$M$37+Calibration!$N$37+SUMPRODUCT(Calibration!$B$37:$F$37,J180:N180)+SUMPRODUCT(Calibration!$G$37:$K$37,U180:Y180)+Calibration!$L$37*Z180</f>
        <v>0.0957693796738734</v>
      </c>
      <c r="AD180" s="27" t="n">
        <f aca="false">EXP(AC180)/(EXP(AA180)+EXP(AB180)+EXP(AC180))</f>
        <v>0.270279475273295</v>
      </c>
      <c r="AE180" s="7" t="str">
        <f aca="false">IF(AC180=MAX(AA180:AC180),"TVK",IF(AB180=MAX(AA180:AC180),"DMK+","AIADMK+"))</f>
        <v>DMK+</v>
      </c>
      <c r="AF180" s="7" t="str">
        <f aca="false">IF(AE180=R180,"Yes","No")</f>
        <v>Yes</v>
      </c>
      <c r="AG180" s="7" t="str">
        <f aca="false">IF(AE180=P180,"No","Yes")</f>
        <v>Yes</v>
      </c>
      <c r="AH180" s="7" t="str">
        <f aca="false">IF(H180=MAX(D180,E180,H180),"TVK",IF(E180=MAX(D180,E180,H180),"DMK+","AIADMK+"))</f>
        <v>DMK+</v>
      </c>
      <c r="AI180" s="27" t="n">
        <f aca="false">EXP(AA180)/(EXP(AA180)+EXP(AB180)+EXP(AC180))</f>
        <v>0.275105327114701</v>
      </c>
      <c r="AJ180" s="27" t="n">
        <f aca="false">EXP(AB180)/(EXP(AA180)+EXP(AB180)+EXP(AC180))</f>
        <v>0.454615197612004</v>
      </c>
      <c r="AK180" s="28" t="s">
        <v>5</v>
      </c>
      <c r="AL180" s="7" t="str">
        <f aca="false">IF(AK180=R180,"Yes","No")</f>
        <v>Yes</v>
      </c>
      <c r="AM180" s="27" t="n">
        <f aca="false">IF(AK180="TVK",AD180,IF(AK180="DMK+",AJ180,AI180))</f>
        <v>0.454615197612004</v>
      </c>
      <c r="AN180" s="7" t="str">
        <f aca="false">IF(AK180=P180,"No","Yes")</f>
        <v>Yes</v>
      </c>
    </row>
    <row r="181" customFormat="false" ht="15" hidden="true" customHeight="false" outlineLevel="0" collapsed="false">
      <c r="A181" s="0" t="n">
        <v>177</v>
      </c>
      <c r="B181" s="4" t="s">
        <v>364</v>
      </c>
      <c r="C181" s="5" t="s">
        <v>140</v>
      </c>
      <c r="D181" s="35" t="n">
        <v>6</v>
      </c>
      <c r="E181" s="35" t="n">
        <v>9</v>
      </c>
      <c r="F181" s="35"/>
      <c r="G181" s="35" t="n">
        <v>4</v>
      </c>
      <c r="H181" s="35" t="n">
        <v>7</v>
      </c>
      <c r="I181" s="5" t="n">
        <f aca="false">SUM(D181:H181)</f>
        <v>26</v>
      </c>
      <c r="J181" s="10" t="n">
        <f aca="false">IF($I181=0,0,D181/$I181)</f>
        <v>0.230769230769231</v>
      </c>
      <c r="K181" s="10" t="n">
        <f aca="false">IF($I181=0,0,E181/$I181)</f>
        <v>0.346153846153846</v>
      </c>
      <c r="L181" s="10" t="n">
        <f aca="false">IF($I181=0,0,F181/$I181)</f>
        <v>0</v>
      </c>
      <c r="M181" s="10" t="n">
        <f aca="false">IF($I181=0,0,G181/$I181)</f>
        <v>0.153846153846154</v>
      </c>
      <c r="N181" s="10" t="n">
        <f aca="false">IF($I181=0,0,H181/$I181)</f>
        <v>0.269230769230769</v>
      </c>
      <c r="O181" s="35" t="s">
        <v>197</v>
      </c>
      <c r="P181" s="0" t="str">
        <f aca="false">IF(O181="TVK","TVK",IF(O181="DMK","DMK+",IF(O181="ADMK","AIADMK+","")))</f>
        <v>DMK+</v>
      </c>
      <c r="Q181" s="35" t="s">
        <v>197</v>
      </c>
      <c r="R181" s="36" t="s">
        <v>5</v>
      </c>
      <c r="S181" s="0" t="str">
        <f aca="false">IF(P181=R181,"Yes","No")</f>
        <v>Yes</v>
      </c>
      <c r="T181" s="2"/>
      <c r="U181" s="27" t="n">
        <f aca="false">IFERROR(SUMIFS($D$5:$D$238,$C$5:$C$238,$C181)/SUMIFS($I$5:$I$238,$C$5:$C$238,$C181),0)</f>
        <v>0.224657534246575</v>
      </c>
      <c r="V181" s="27" t="n">
        <f aca="false">IFERROR(SUMIFS($E$5:$E$238,$C$5:$C$238,$C181)/SUMIFS($I$5:$I$238,$C$5:$C$238,$C181),0)</f>
        <v>0.298630136986301</v>
      </c>
      <c r="W181" s="27" t="n">
        <f aca="false">IFERROR(SUMIFS($F$5:$F$238,$C$5:$C$238,$C181)/SUMIFS($I$5:$I$238,$C$5:$C$238,$C181),0)</f>
        <v>0.00547945205479452</v>
      </c>
      <c r="X181" s="27" t="n">
        <f aca="false">IFERROR(SUMIFS($G$5:$G$238,$C$5:$C$238,$C181)/SUMIFS($I$5:$I$238,$C$5:$C$238,$C181),0)</f>
        <v>0.126027397260274</v>
      </c>
      <c r="Y181" s="27" t="n">
        <f aca="false">IFERROR(SUMIFS($H$5:$H$238,$C$5:$C$238,$C181)/SUMIFS($I$5:$I$238,$C$5:$C$238,$C181),0)</f>
        <v>0.345205479452055</v>
      </c>
      <c r="Z181" s="24" t="n">
        <f aca="false">LN(MAX(I181,1))</f>
        <v>3.25809653802148</v>
      </c>
      <c r="AA181" s="24" t="n">
        <f aca="false">Calibration!$M$35+Calibration!$N$35+SUMPRODUCT(Calibration!$B$35:$F$35,J181:N181)+SUMPRODUCT(Calibration!$G$35:$K$35,U181:Y181)+Calibration!$L$35*Z181</f>
        <v>0.302385195909658</v>
      </c>
      <c r="AB181" s="24" t="n">
        <f aca="false">Calibration!$M$36+Calibration!$N$36+SUMPRODUCT(Calibration!$B$36:$F$36,J181:N181)+SUMPRODUCT(Calibration!$G$36:$K$36,U181:Y181)+Calibration!$L$36*Z181</f>
        <v>0.834656038423057</v>
      </c>
      <c r="AC181" s="24" t="n">
        <f aca="false">Calibration!$M$37+Calibration!$N$37+SUMPRODUCT(Calibration!$B$37:$F$37,J181:N181)+SUMPRODUCT(Calibration!$G$37:$K$37,U181:Y181)+Calibration!$L$37*Z181</f>
        <v>-0.312040666471809</v>
      </c>
      <c r="AD181" s="27" t="n">
        <f aca="false">EXP(AC181)/(EXP(AA181)+EXP(AB181)+EXP(AC181))</f>
        <v>0.166767488030813</v>
      </c>
      <c r="AE181" s="7" t="str">
        <f aca="false">IF(AC181=MAX(AA181:AC181),"TVK",IF(AB181=MAX(AA181:AC181),"DMK+","AIADMK+"))</f>
        <v>DMK+</v>
      </c>
      <c r="AF181" s="7" t="str">
        <f aca="false">IF(AE181=R181,"Yes","No")</f>
        <v>Yes</v>
      </c>
      <c r="AG181" s="7" t="str">
        <f aca="false">IF(AE181=P181,"No","Yes")</f>
        <v>No</v>
      </c>
      <c r="AH181" s="7" t="str">
        <f aca="false">IF(H181=MAX(D181,E181,H181),"TVK",IF(E181=MAX(D181,E181,H181),"DMK+","AIADMK+"))</f>
        <v>DMK+</v>
      </c>
      <c r="AI181" s="27" t="n">
        <f aca="false">EXP(AA181)/(EXP(AA181)+EXP(AB181)+EXP(AC181))</f>
        <v>0.308285535684249</v>
      </c>
      <c r="AJ181" s="27" t="n">
        <f aca="false">EXP(AB181)/(EXP(AA181)+EXP(AB181)+EXP(AC181))</f>
        <v>0.524946976284938</v>
      </c>
      <c r="AK181" s="28" t="s">
        <v>5</v>
      </c>
      <c r="AL181" s="7" t="str">
        <f aca="false">IF(AK181=R181,"Yes","No")</f>
        <v>Yes</v>
      </c>
      <c r="AM181" s="27" t="n">
        <f aca="false">IF(AK181="TVK",AD181,IF(AK181="DMK+",AJ181,AI181))</f>
        <v>0.524946976284938</v>
      </c>
      <c r="AN181" s="7" t="str">
        <f aca="false">IF(AK181=P181,"No","Yes")</f>
        <v>No</v>
      </c>
    </row>
    <row r="182" customFormat="false" ht="15" hidden="true" customHeight="false" outlineLevel="0" collapsed="false">
      <c r="A182" s="0" t="n">
        <v>178</v>
      </c>
      <c r="B182" s="4" t="s">
        <v>365</v>
      </c>
      <c r="C182" s="5" t="s">
        <v>128</v>
      </c>
      <c r="D182" s="35" t="n">
        <v>8</v>
      </c>
      <c r="E182" s="35" t="n">
        <v>2</v>
      </c>
      <c r="F182" s="35"/>
      <c r="G182" s="35" t="n">
        <v>2</v>
      </c>
      <c r="H182" s="35" t="n">
        <v>7</v>
      </c>
      <c r="I182" s="5" t="n">
        <f aca="false">SUM(D182:H182)</f>
        <v>19</v>
      </c>
      <c r="J182" s="10" t="n">
        <f aca="false">IF($I182=0,0,D182/$I182)</f>
        <v>0.421052631578947</v>
      </c>
      <c r="K182" s="10" t="n">
        <f aca="false">IF($I182=0,0,E182/$I182)</f>
        <v>0.105263157894737</v>
      </c>
      <c r="L182" s="10" t="n">
        <f aca="false">IF($I182=0,0,F182/$I182)</f>
        <v>0</v>
      </c>
      <c r="M182" s="10" t="n">
        <f aca="false">IF($I182=0,0,G182/$I182)</f>
        <v>0.105263157894737</v>
      </c>
      <c r="N182" s="10" t="n">
        <f aca="false">IF($I182=0,0,H182/$I182)</f>
        <v>0.368421052631579</v>
      </c>
      <c r="O182" s="35" t="s">
        <v>218</v>
      </c>
      <c r="P182" s="0" t="str">
        <f aca="false">IF(O182="TVK","TVK",IF(O182="DMK","DMK+",IF(O182="ADMK","AIADMK+","")))</f>
        <v>AIADMK+</v>
      </c>
      <c r="Q182" s="35" t="s">
        <v>3</v>
      </c>
      <c r="R182" s="36" t="s">
        <v>3</v>
      </c>
      <c r="S182" s="0" t="str">
        <f aca="false">IF(P182=R182,"Yes","No")</f>
        <v>No</v>
      </c>
      <c r="T182" s="2"/>
      <c r="U182" s="27" t="n">
        <f aca="false">IFERROR(SUMIFS($D$5:$D$238,$C$5:$C$238,$C182)/SUMIFS($I$5:$I$238,$C$5:$C$238,$C182),0)</f>
        <v>0.223404255319149</v>
      </c>
      <c r="V182" s="27" t="n">
        <f aca="false">IFERROR(SUMIFS($E$5:$E$238,$C$5:$C$238,$C182)/SUMIFS($I$5:$I$238,$C$5:$C$238,$C182),0)</f>
        <v>0.228723404255319</v>
      </c>
      <c r="W182" s="27" t="n">
        <f aca="false">IFERROR(SUMIFS($F$5:$F$238,$C$5:$C$238,$C182)/SUMIFS($I$5:$I$238,$C$5:$C$238,$C182),0)</f>
        <v>0.00531914893617021</v>
      </c>
      <c r="X182" s="27" t="n">
        <f aca="false">IFERROR(SUMIFS($G$5:$G$238,$C$5:$C$238,$C182)/SUMIFS($I$5:$I$238,$C$5:$C$238,$C182),0)</f>
        <v>0.122340425531915</v>
      </c>
      <c r="Y182" s="27" t="n">
        <f aca="false">IFERROR(SUMIFS($H$5:$H$238,$C$5:$C$238,$C182)/SUMIFS($I$5:$I$238,$C$5:$C$238,$C182),0)</f>
        <v>0.420212765957447</v>
      </c>
      <c r="Z182" s="24" t="n">
        <f aca="false">LN(MAX(I182,1))</f>
        <v>2.94443897916644</v>
      </c>
      <c r="AA182" s="24" t="n">
        <f aca="false">Calibration!$M$35+Calibration!$N$35+SUMPRODUCT(Calibration!$B$35:$F$35,J182:N182)+SUMPRODUCT(Calibration!$G$35:$K$35,U182:Y182)+Calibration!$L$35*Z182</f>
        <v>0.825968837752988</v>
      </c>
      <c r="AB182" s="24" t="n">
        <f aca="false">Calibration!$M$36+Calibration!$N$36+SUMPRODUCT(Calibration!$B$36:$F$36,J182:N182)+SUMPRODUCT(Calibration!$G$36:$K$36,U182:Y182)+Calibration!$L$36*Z182</f>
        <v>0.459548461876563</v>
      </c>
      <c r="AC182" s="24" t="n">
        <f aca="false">Calibration!$M$37+Calibration!$N$37+SUMPRODUCT(Calibration!$B$37:$F$37,J182:N182)+SUMPRODUCT(Calibration!$G$37:$K$37,U182:Y182)+Calibration!$L$37*Z182</f>
        <v>-0.460516702485094</v>
      </c>
      <c r="AD182" s="27" t="n">
        <f aca="false">EXP(AC182)/(EXP(AA182)+EXP(AB182)+EXP(AC182))</f>
        <v>0.140262377165923</v>
      </c>
      <c r="AE182" s="7" t="str">
        <f aca="false">IF(AC182=MAX(AA182:AC182),"TVK",IF(AB182=MAX(AA182:AC182),"DMK+","AIADMK+"))</f>
        <v>AIADMK+</v>
      </c>
      <c r="AF182" s="7" t="str">
        <f aca="false">IF(AE182=R182,"Yes","No")</f>
        <v>No</v>
      </c>
      <c r="AG182" s="7" t="str">
        <f aca="false">IF(AE182=P182,"No","Yes")</f>
        <v>No</v>
      </c>
      <c r="AH182" s="7" t="str">
        <f aca="false">IF(H182=MAX(D182,E182,H182),"TVK",IF(E182=MAX(D182,E182,H182),"DMK+","AIADMK+"))</f>
        <v>AIADMK+</v>
      </c>
      <c r="AI182" s="27" t="n">
        <f aca="false">EXP(AA182)/(EXP(AA182)+EXP(AB182)+EXP(AC182))</f>
        <v>0.507755651808862</v>
      </c>
      <c r="AJ182" s="27" t="n">
        <f aca="false">EXP(AB182)/(EXP(AA182)+EXP(AB182)+EXP(AC182))</f>
        <v>0.351981971025216</v>
      </c>
      <c r="AK182" s="28" t="s">
        <v>4</v>
      </c>
      <c r="AL182" s="7" t="str">
        <f aca="false">IF(AK182=R182,"Yes","No")</f>
        <v>No</v>
      </c>
      <c r="AM182" s="27" t="n">
        <f aca="false">IF(AK182="TVK",AD182,IF(AK182="DMK+",AJ182,AI182))</f>
        <v>0.507755651808862</v>
      </c>
      <c r="AN182" s="7" t="str">
        <f aca="false">IF(AK182=P182,"No","Yes")</f>
        <v>No</v>
      </c>
    </row>
    <row r="183" customFormat="false" ht="15" hidden="false" customHeight="false" outlineLevel="0" collapsed="false">
      <c r="A183" s="0" t="n">
        <v>179</v>
      </c>
      <c r="B183" s="4" t="s">
        <v>366</v>
      </c>
      <c r="C183" s="5" t="s">
        <v>128</v>
      </c>
      <c r="D183" s="35" t="n">
        <v>7</v>
      </c>
      <c r="E183" s="35" t="n">
        <v>10</v>
      </c>
      <c r="F183" s="35"/>
      <c r="G183" s="35" t="n">
        <v>5</v>
      </c>
      <c r="H183" s="35" t="n">
        <v>14</v>
      </c>
      <c r="I183" s="5" t="n">
        <f aca="false">SUM(D183:H183)</f>
        <v>36</v>
      </c>
      <c r="J183" s="10" t="n">
        <f aca="false">IF($I183=0,0,D183/$I183)</f>
        <v>0.194444444444444</v>
      </c>
      <c r="K183" s="10" t="n">
        <f aca="false">IF($I183=0,0,E183/$I183)</f>
        <v>0.277777777777778</v>
      </c>
      <c r="L183" s="10" t="n">
        <f aca="false">IF($I183=0,0,F183/$I183)</f>
        <v>0</v>
      </c>
      <c r="M183" s="10" t="n">
        <f aca="false">IF($I183=0,0,G183/$I183)</f>
        <v>0.138888888888889</v>
      </c>
      <c r="N183" s="10" t="n">
        <f aca="false">IF($I183=0,0,H183/$I183)</f>
        <v>0.388888888888889</v>
      </c>
      <c r="O183" s="35" t="s">
        <v>3</v>
      </c>
      <c r="P183" s="0" t="str">
        <f aca="false">IF(O183="TVK","TVK",IF(O183="DMK","DMK+",IF(O183="ADMK","AIADMK+","")))</f>
        <v>TVK</v>
      </c>
      <c r="Q183" s="35" t="s">
        <v>196</v>
      </c>
      <c r="R183" s="36" t="s">
        <v>4</v>
      </c>
      <c r="S183" s="0" t="str">
        <f aca="false">IF(P183=R183,"Yes","No")</f>
        <v>No</v>
      </c>
      <c r="T183" s="2"/>
      <c r="U183" s="27" t="n">
        <f aca="false">IFERROR(SUMIFS($D$5:$D$238,$C$5:$C$238,$C183)/SUMIFS($I$5:$I$238,$C$5:$C$238,$C183),0)</f>
        <v>0.223404255319149</v>
      </c>
      <c r="V183" s="27" t="n">
        <f aca="false">IFERROR(SUMIFS($E$5:$E$238,$C$5:$C$238,$C183)/SUMIFS($I$5:$I$238,$C$5:$C$238,$C183),0)</f>
        <v>0.228723404255319</v>
      </c>
      <c r="W183" s="27" t="n">
        <f aca="false">IFERROR(SUMIFS($F$5:$F$238,$C$5:$C$238,$C183)/SUMIFS($I$5:$I$238,$C$5:$C$238,$C183),0)</f>
        <v>0.00531914893617021</v>
      </c>
      <c r="X183" s="27" t="n">
        <f aca="false">IFERROR(SUMIFS($G$5:$G$238,$C$5:$C$238,$C183)/SUMIFS($I$5:$I$238,$C$5:$C$238,$C183),0)</f>
        <v>0.122340425531915</v>
      </c>
      <c r="Y183" s="27" t="n">
        <f aca="false">IFERROR(SUMIFS($H$5:$H$238,$C$5:$C$238,$C183)/SUMIFS($I$5:$I$238,$C$5:$C$238,$C183),0)</f>
        <v>0.420212765957447</v>
      </c>
      <c r="Z183" s="24" t="n">
        <f aca="false">LN(MAX(I183,1))</f>
        <v>3.58351893845611</v>
      </c>
      <c r="AA183" s="24" t="n">
        <f aca="false">Calibration!$M$35+Calibration!$N$35+SUMPRODUCT(Calibration!$B$35:$F$35,J183:N183)+SUMPRODUCT(Calibration!$G$35:$K$35,U183:Y183)+Calibration!$L$35*Z183</f>
        <v>0.161431251986624</v>
      </c>
      <c r="AB183" s="24" t="n">
        <f aca="false">Calibration!$M$36+Calibration!$N$36+SUMPRODUCT(Calibration!$B$36:$F$36,J183:N183)+SUMPRODUCT(Calibration!$G$36:$K$36,U183:Y183)+Calibration!$L$36*Z183</f>
        <v>0.435386190423582</v>
      </c>
      <c r="AC183" s="24" t="n">
        <f aca="false">Calibration!$M$37+Calibration!$N$37+SUMPRODUCT(Calibration!$B$37:$F$37,J183:N183)+SUMPRODUCT(Calibration!$G$37:$K$37,U183:Y183)+Calibration!$L$37*Z183</f>
        <v>0.228183175202087</v>
      </c>
      <c r="AD183" s="27" t="n">
        <f aca="false">EXP(AC183)/(EXP(AA183)+EXP(AB183)+EXP(AC183))</f>
        <v>0.315889940054118</v>
      </c>
      <c r="AE183" s="7" t="str">
        <f aca="false">IF(AC183=MAX(AA183:AC183),"TVK",IF(AB183=MAX(AA183:AC183),"DMK+","AIADMK+"))</f>
        <v>DMK+</v>
      </c>
      <c r="AF183" s="7" t="str">
        <f aca="false">IF(AE183=R183,"Yes","No")</f>
        <v>No</v>
      </c>
      <c r="AG183" s="7" t="str">
        <f aca="false">IF(AE183=P183,"No","Yes")</f>
        <v>Yes</v>
      </c>
      <c r="AH183" s="7" t="str">
        <f aca="false">IF(H183=MAX(D183,E183,H183),"TVK",IF(E183=MAX(D183,E183,H183),"DMK+","AIADMK+"))</f>
        <v>TVK</v>
      </c>
      <c r="AI183" s="27" t="n">
        <f aca="false">EXP(AA183)/(EXP(AA183)+EXP(AB183)+EXP(AC183))</f>
        <v>0.295492051715371</v>
      </c>
      <c r="AJ183" s="27" t="n">
        <f aca="false">EXP(AB183)/(EXP(AA183)+EXP(AB183)+EXP(AC183))</f>
        <v>0.388618008230511</v>
      </c>
      <c r="AK183" s="28" t="s">
        <v>3</v>
      </c>
      <c r="AL183" s="7" t="str">
        <f aca="false">IF(AK183=R183,"Yes","No")</f>
        <v>No</v>
      </c>
      <c r="AM183" s="27" t="n">
        <f aca="false">IF(AK183="TVK",AD183,IF(AK183="DMK+",AJ183,AI183))</f>
        <v>0.315889940054118</v>
      </c>
      <c r="AN183" s="7" t="str">
        <f aca="false">IF(AK183=P183,"No","Yes")</f>
        <v>No</v>
      </c>
    </row>
    <row r="184" customFormat="false" ht="15" hidden="false" customHeight="false" outlineLevel="0" collapsed="false">
      <c r="A184" s="0" t="n">
        <v>180</v>
      </c>
      <c r="B184" s="4" t="s">
        <v>128</v>
      </c>
      <c r="C184" s="5" t="s">
        <v>128</v>
      </c>
      <c r="D184" s="35" t="n">
        <v>8</v>
      </c>
      <c r="E184" s="35" t="n">
        <v>6</v>
      </c>
      <c r="F184" s="35"/>
      <c r="G184" s="35" t="n">
        <v>3</v>
      </c>
      <c r="H184" s="35" t="n">
        <v>30</v>
      </c>
      <c r="I184" s="5" t="n">
        <f aca="false">SUM(D184:H184)</f>
        <v>47</v>
      </c>
      <c r="J184" s="10" t="n">
        <f aca="false">IF($I184=0,0,D184/$I184)</f>
        <v>0.170212765957447</v>
      </c>
      <c r="K184" s="10" t="n">
        <f aca="false">IF($I184=0,0,E184/$I184)</f>
        <v>0.127659574468085</v>
      </c>
      <c r="L184" s="10" t="n">
        <f aca="false">IF($I184=0,0,F184/$I184)</f>
        <v>0</v>
      </c>
      <c r="M184" s="10" t="n">
        <f aca="false">IF($I184=0,0,G184/$I184)</f>
        <v>0.0638297872340426</v>
      </c>
      <c r="N184" s="10" t="n">
        <f aca="false">IF($I184=0,0,H184/$I184)</f>
        <v>0.638297872340426</v>
      </c>
      <c r="O184" s="35" t="s">
        <v>3</v>
      </c>
      <c r="P184" s="0" t="str">
        <f aca="false">IF(O184="TVK","TVK",IF(O184="DMK","DMK+",IF(O184="ADMK","AIADMK+","")))</f>
        <v>TVK</v>
      </c>
      <c r="Q184" s="35" t="s">
        <v>197</v>
      </c>
      <c r="R184" s="36" t="s">
        <v>5</v>
      </c>
      <c r="S184" s="0" t="str">
        <f aca="false">IF(P184=R184,"Yes","No")</f>
        <v>No</v>
      </c>
      <c r="T184" s="2"/>
      <c r="U184" s="27" t="n">
        <f aca="false">IFERROR(SUMIFS($D$5:$D$238,$C$5:$C$238,$C184)/SUMIFS($I$5:$I$238,$C$5:$C$238,$C184),0)</f>
        <v>0.223404255319149</v>
      </c>
      <c r="V184" s="27" t="n">
        <f aca="false">IFERROR(SUMIFS($E$5:$E$238,$C$5:$C$238,$C184)/SUMIFS($I$5:$I$238,$C$5:$C$238,$C184),0)</f>
        <v>0.228723404255319</v>
      </c>
      <c r="W184" s="27" t="n">
        <f aca="false">IFERROR(SUMIFS($F$5:$F$238,$C$5:$C$238,$C184)/SUMIFS($I$5:$I$238,$C$5:$C$238,$C184),0)</f>
        <v>0.00531914893617021</v>
      </c>
      <c r="X184" s="27" t="n">
        <f aca="false">IFERROR(SUMIFS($G$5:$G$238,$C$5:$C$238,$C184)/SUMIFS($I$5:$I$238,$C$5:$C$238,$C184),0)</f>
        <v>0.122340425531915</v>
      </c>
      <c r="Y184" s="27" t="n">
        <f aca="false">IFERROR(SUMIFS($H$5:$H$238,$C$5:$C$238,$C184)/SUMIFS($I$5:$I$238,$C$5:$C$238,$C184),0)</f>
        <v>0.420212765957447</v>
      </c>
      <c r="Z184" s="24" t="n">
        <f aca="false">LN(MAX(I184,1))</f>
        <v>3.85014760171006</v>
      </c>
      <c r="AA184" s="24" t="n">
        <f aca="false">Calibration!$M$35+Calibration!$N$35+SUMPRODUCT(Calibration!$B$35:$F$35,J184:N184)+SUMPRODUCT(Calibration!$G$35:$K$35,U184:Y184)+Calibration!$L$35*Z184</f>
        <v>0.061300980445298</v>
      </c>
      <c r="AB184" s="24" t="n">
        <f aca="false">Calibration!$M$36+Calibration!$N$36+SUMPRODUCT(Calibration!$B$36:$F$36,J184:N184)+SUMPRODUCT(Calibration!$G$36:$K$36,U184:Y184)+Calibration!$L$36*Z184</f>
        <v>0.0346804868436146</v>
      </c>
      <c r="AC184" s="24" t="n">
        <f aca="false">Calibration!$M$37+Calibration!$N$37+SUMPRODUCT(Calibration!$B$37:$F$37,J184:N184)+SUMPRODUCT(Calibration!$G$37:$K$37,U184:Y184)+Calibration!$L$37*Z184</f>
        <v>0.729019399732365</v>
      </c>
      <c r="AD184" s="27" t="n">
        <f aca="false">EXP(AC184)/(EXP(AA184)+EXP(AB184)+EXP(AC184))</f>
        <v>0.496948264597735</v>
      </c>
      <c r="AE184" s="7" t="str">
        <f aca="false">IF(AC184=MAX(AA184:AC184),"TVK",IF(AB184=MAX(AA184:AC184),"DMK+","AIADMK+"))</f>
        <v>TVK</v>
      </c>
      <c r="AF184" s="7" t="str">
        <f aca="false">IF(AE184=R184,"Yes","No")</f>
        <v>No</v>
      </c>
      <c r="AG184" s="7" t="str">
        <f aca="false">IF(AE184=P184,"No","Yes")</f>
        <v>No</v>
      </c>
      <c r="AH184" s="7" t="str">
        <f aca="false">IF(H184=MAX(D184,E184,H184),"TVK",IF(E184=MAX(D184,E184,H184),"DMK+","AIADMK+"))</f>
        <v>TVK</v>
      </c>
      <c r="AI184" s="27" t="n">
        <f aca="false">EXP(AA184)/(EXP(AA184)+EXP(AB184)+EXP(AC184))</f>
        <v>0.254873541385096</v>
      </c>
      <c r="AJ184" s="27" t="n">
        <f aca="false">EXP(AB184)/(EXP(AA184)+EXP(AB184)+EXP(AC184))</f>
        <v>0.248178194017169</v>
      </c>
      <c r="AK184" s="28" t="s">
        <v>3</v>
      </c>
      <c r="AL184" s="7" t="str">
        <f aca="false">IF(AK184=R184,"Yes","No")</f>
        <v>No</v>
      </c>
      <c r="AM184" s="27" t="n">
        <f aca="false">IF(AK184="TVK",AD184,IF(AK184="DMK+",AJ184,AI184))</f>
        <v>0.496948264597735</v>
      </c>
      <c r="AN184" s="7" t="str">
        <f aca="false">IF(AK184=P184,"No","Yes")</f>
        <v>No</v>
      </c>
    </row>
    <row r="185" customFormat="false" ht="15" hidden="true" customHeight="false" outlineLevel="0" collapsed="false">
      <c r="A185" s="0" t="n">
        <v>181</v>
      </c>
      <c r="B185" s="4" t="s">
        <v>367</v>
      </c>
      <c r="C185" s="5" t="s">
        <v>128</v>
      </c>
      <c r="D185" s="35" t="n">
        <v>7</v>
      </c>
      <c r="E185" s="35" t="n">
        <v>5</v>
      </c>
      <c r="F185" s="35"/>
      <c r="G185" s="35" t="n">
        <v>3</v>
      </c>
      <c r="H185" s="35" t="n">
        <v>7</v>
      </c>
      <c r="I185" s="5" t="n">
        <f aca="false">SUM(D185:H185)</f>
        <v>22</v>
      </c>
      <c r="J185" s="10" t="n">
        <f aca="false">IF($I185=0,0,D185/$I185)</f>
        <v>0.318181818181818</v>
      </c>
      <c r="K185" s="10" t="n">
        <f aca="false">IF($I185=0,0,E185/$I185)</f>
        <v>0.227272727272727</v>
      </c>
      <c r="L185" s="10" t="n">
        <f aca="false">IF($I185=0,0,F185/$I185)</f>
        <v>0</v>
      </c>
      <c r="M185" s="10" t="n">
        <f aca="false">IF($I185=0,0,G185/$I185)</f>
        <v>0.136363636363636</v>
      </c>
      <c r="N185" s="10" t="n">
        <f aca="false">IF($I185=0,0,H185/$I185)</f>
        <v>0.318181818181818</v>
      </c>
      <c r="O185" s="35" t="s">
        <v>218</v>
      </c>
      <c r="P185" s="0" t="str">
        <f aca="false">IF(O185="TVK","TVK",IF(O185="DMK","DMK+",IF(O185="ADMK","AIADMK+","")))</f>
        <v>AIADMK+</v>
      </c>
      <c r="Q185" s="35" t="s">
        <v>197</v>
      </c>
      <c r="R185" s="36" t="s">
        <v>5</v>
      </c>
      <c r="S185" s="0" t="str">
        <f aca="false">IF(P185=R185,"Yes","No")</f>
        <v>No</v>
      </c>
      <c r="T185" s="2"/>
      <c r="U185" s="27" t="n">
        <f aca="false">IFERROR(SUMIFS($D$5:$D$238,$C$5:$C$238,$C185)/SUMIFS($I$5:$I$238,$C$5:$C$238,$C185),0)</f>
        <v>0.223404255319149</v>
      </c>
      <c r="V185" s="27" t="n">
        <f aca="false">IFERROR(SUMIFS($E$5:$E$238,$C$5:$C$238,$C185)/SUMIFS($I$5:$I$238,$C$5:$C$238,$C185),0)</f>
        <v>0.228723404255319</v>
      </c>
      <c r="W185" s="27" t="n">
        <f aca="false">IFERROR(SUMIFS($F$5:$F$238,$C$5:$C$238,$C185)/SUMIFS($I$5:$I$238,$C$5:$C$238,$C185),0)</f>
        <v>0.00531914893617021</v>
      </c>
      <c r="X185" s="27" t="n">
        <f aca="false">IFERROR(SUMIFS($G$5:$G$238,$C$5:$C$238,$C185)/SUMIFS($I$5:$I$238,$C$5:$C$238,$C185),0)</f>
        <v>0.122340425531915</v>
      </c>
      <c r="Y185" s="27" t="n">
        <f aca="false">IFERROR(SUMIFS($H$5:$H$238,$C$5:$C$238,$C185)/SUMIFS($I$5:$I$238,$C$5:$C$238,$C185),0)</f>
        <v>0.420212765957447</v>
      </c>
      <c r="Z185" s="24" t="n">
        <f aca="false">LN(MAX(I185,1))</f>
        <v>3.09104245335832</v>
      </c>
      <c r="AA185" s="24" t="n">
        <f aca="false">Calibration!$M$35+Calibration!$N$35+SUMPRODUCT(Calibration!$B$35:$F$35,J185:N185)+SUMPRODUCT(Calibration!$G$35:$K$35,U185:Y185)+Calibration!$L$35*Z185</f>
        <v>0.578972194219812</v>
      </c>
      <c r="AB185" s="24" t="n">
        <f aca="false">Calibration!$M$36+Calibration!$N$36+SUMPRODUCT(Calibration!$B$36:$F$36,J185:N185)+SUMPRODUCT(Calibration!$G$36:$K$36,U185:Y185)+Calibration!$L$36*Z185</f>
        <v>0.60657547958207</v>
      </c>
      <c r="AC185" s="24" t="n">
        <f aca="false">Calibration!$M$37+Calibration!$N$37+SUMPRODUCT(Calibration!$B$37:$F$37,J185:N185)+SUMPRODUCT(Calibration!$G$37:$K$37,U185:Y185)+Calibration!$L$37*Z185</f>
        <v>-0.36054712689666</v>
      </c>
      <c r="AD185" s="27" t="n">
        <f aca="false">EXP(AC185)/(EXP(AA185)+EXP(AB185)+EXP(AC185))</f>
        <v>0.161573959153532</v>
      </c>
      <c r="AE185" s="7" t="str">
        <f aca="false">IF(AC185=MAX(AA185:AC185),"TVK",IF(AB185=MAX(AA185:AC185),"DMK+","AIADMK+"))</f>
        <v>DMK+</v>
      </c>
      <c r="AF185" s="7" t="str">
        <f aca="false">IF(AE185=R185,"Yes","No")</f>
        <v>Yes</v>
      </c>
      <c r="AG185" s="7" t="str">
        <f aca="false">IF(AE185=P185,"No","Yes")</f>
        <v>Yes</v>
      </c>
      <c r="AH185" s="7" t="str">
        <f aca="false">IF(H185=MAX(D185,E185,H185),"TVK",IF(E185=MAX(D185,E185,H185),"DMK+","AIADMK+"))</f>
        <v>TVK</v>
      </c>
      <c r="AI185" s="27" t="n">
        <f aca="false">EXP(AA185)/(EXP(AA185)+EXP(AB185)+EXP(AC185))</f>
        <v>0.413427559451912</v>
      </c>
      <c r="AJ185" s="27" t="n">
        <f aca="false">EXP(AB185)/(EXP(AA185)+EXP(AB185)+EXP(AC185))</f>
        <v>0.424998481394556</v>
      </c>
      <c r="AK185" s="28" t="s">
        <v>5</v>
      </c>
      <c r="AL185" s="7" t="str">
        <f aca="false">IF(AK185=R185,"Yes","No")</f>
        <v>Yes</v>
      </c>
      <c r="AM185" s="27" t="n">
        <f aca="false">IF(AK185="TVK",AD185,IF(AK185="DMK+",AJ185,AI185))</f>
        <v>0.424998481394556</v>
      </c>
      <c r="AN185" s="7" t="str">
        <f aca="false">IF(AK185=P185,"No","Yes")</f>
        <v>Yes</v>
      </c>
    </row>
    <row r="186" customFormat="false" ht="15" hidden="true" customHeight="false" outlineLevel="0" collapsed="false">
      <c r="A186" s="0" t="n">
        <v>182</v>
      </c>
      <c r="B186" s="4" t="s">
        <v>368</v>
      </c>
      <c r="C186" s="5" t="s">
        <v>128</v>
      </c>
      <c r="D186" s="35" t="n">
        <v>7</v>
      </c>
      <c r="E186" s="35" t="n">
        <v>15</v>
      </c>
      <c r="F186" s="35" t="n">
        <v>1</v>
      </c>
      <c r="G186" s="35" t="n">
        <v>6</v>
      </c>
      <c r="H186" s="35" t="n">
        <v>10</v>
      </c>
      <c r="I186" s="5" t="n">
        <f aca="false">SUM(D186:H186)</f>
        <v>39</v>
      </c>
      <c r="J186" s="10" t="n">
        <f aca="false">IF($I186=0,0,D186/$I186)</f>
        <v>0.17948717948718</v>
      </c>
      <c r="K186" s="10" t="n">
        <f aca="false">IF($I186=0,0,E186/$I186)</f>
        <v>0.384615384615385</v>
      </c>
      <c r="L186" s="10" t="n">
        <f aca="false">IF($I186=0,0,F186/$I186)</f>
        <v>0.0256410256410256</v>
      </c>
      <c r="M186" s="10" t="n">
        <f aca="false">IF($I186=0,0,G186/$I186)</f>
        <v>0.153846153846154</v>
      </c>
      <c r="N186" s="10" t="n">
        <f aca="false">IF($I186=0,0,H186/$I186)</f>
        <v>0.256410256410256</v>
      </c>
      <c r="O186" s="35" t="s">
        <v>197</v>
      </c>
      <c r="P186" s="0" t="str">
        <f aca="false">IF(O186="TVK","TVK",IF(O186="DMK","DMK+",IF(O186="ADMK","AIADMK+","")))</f>
        <v>DMK+</v>
      </c>
      <c r="Q186" s="35" t="s">
        <v>197</v>
      </c>
      <c r="R186" s="36" t="s">
        <v>5</v>
      </c>
      <c r="S186" s="0" t="str">
        <f aca="false">IF(P186=R186,"Yes","No")</f>
        <v>Yes</v>
      </c>
      <c r="T186" s="2"/>
      <c r="U186" s="27" t="n">
        <f aca="false">IFERROR(SUMIFS($D$5:$D$238,$C$5:$C$238,$C186)/SUMIFS($I$5:$I$238,$C$5:$C$238,$C186),0)</f>
        <v>0.223404255319149</v>
      </c>
      <c r="V186" s="27" t="n">
        <f aca="false">IFERROR(SUMIFS($E$5:$E$238,$C$5:$C$238,$C186)/SUMIFS($I$5:$I$238,$C$5:$C$238,$C186),0)</f>
        <v>0.228723404255319</v>
      </c>
      <c r="W186" s="27" t="n">
        <f aca="false">IFERROR(SUMIFS($F$5:$F$238,$C$5:$C$238,$C186)/SUMIFS($I$5:$I$238,$C$5:$C$238,$C186),0)</f>
        <v>0.00531914893617021</v>
      </c>
      <c r="X186" s="27" t="n">
        <f aca="false">IFERROR(SUMIFS($G$5:$G$238,$C$5:$C$238,$C186)/SUMIFS($I$5:$I$238,$C$5:$C$238,$C186),0)</f>
        <v>0.122340425531915</v>
      </c>
      <c r="Y186" s="27" t="n">
        <f aca="false">IFERROR(SUMIFS($H$5:$H$238,$C$5:$C$238,$C186)/SUMIFS($I$5:$I$238,$C$5:$C$238,$C186),0)</f>
        <v>0.420212765957447</v>
      </c>
      <c r="Z186" s="24" t="n">
        <f aca="false">LN(MAX(I186,1))</f>
        <v>3.66356164612965</v>
      </c>
      <c r="AA186" s="24" t="n">
        <f aca="false">Calibration!$M$35+Calibration!$N$35+SUMPRODUCT(Calibration!$B$35:$F$35,J186:N186)+SUMPRODUCT(Calibration!$G$35:$K$35,U186:Y186)+Calibration!$L$35*Z186</f>
        <v>0.0554169134725937</v>
      </c>
      <c r="AB186" s="24" t="n">
        <f aca="false">Calibration!$M$36+Calibration!$N$36+SUMPRODUCT(Calibration!$B$36:$F$36,J186:N186)+SUMPRODUCT(Calibration!$G$36:$K$36,U186:Y186)+Calibration!$L$36*Z186</f>
        <v>0.558583878796377</v>
      </c>
      <c r="AC186" s="24" t="n">
        <f aca="false">Calibration!$M$37+Calibration!$N$37+SUMPRODUCT(Calibration!$B$37:$F$37,J186:N186)+SUMPRODUCT(Calibration!$G$37:$K$37,U186:Y186)+Calibration!$L$37*Z186</f>
        <v>0.21099969286469</v>
      </c>
      <c r="AD186" s="27" t="n">
        <f aca="false">EXP(AC186)/(EXP(AA186)+EXP(AB186)+EXP(AC186))</f>
        <v>0.305664603517111</v>
      </c>
      <c r="AE186" s="7" t="str">
        <f aca="false">IF(AC186=MAX(AA186:AC186),"TVK",IF(AB186=MAX(AA186:AC186),"DMK+","AIADMK+"))</f>
        <v>DMK+</v>
      </c>
      <c r="AF186" s="7" t="str">
        <f aca="false">IF(AE186=R186,"Yes","No")</f>
        <v>Yes</v>
      </c>
      <c r="AG186" s="7" t="str">
        <f aca="false">IF(AE186=P186,"No","Yes")</f>
        <v>No</v>
      </c>
      <c r="AH186" s="7" t="str">
        <f aca="false">IF(H186=MAX(D186,E186,H186),"TVK",IF(E186=MAX(D186,E186,H186),"DMK+","AIADMK+"))</f>
        <v>DMK+</v>
      </c>
      <c r="AI186" s="27" t="n">
        <f aca="false">EXP(AA186)/(EXP(AA186)+EXP(AB186)+EXP(AC186))</f>
        <v>0.261623292571732</v>
      </c>
      <c r="AJ186" s="27" t="n">
        <f aca="false">EXP(AB186)/(EXP(AA186)+EXP(AB186)+EXP(AC186))</f>
        <v>0.432712103911157</v>
      </c>
      <c r="AK186" s="28" t="s">
        <v>5</v>
      </c>
      <c r="AL186" s="7" t="str">
        <f aca="false">IF(AK186=R186,"Yes","No")</f>
        <v>Yes</v>
      </c>
      <c r="AM186" s="27" t="n">
        <f aca="false">IF(AK186="TVK",AD186,IF(AK186="DMK+",AJ186,AI186))</f>
        <v>0.432712103911157</v>
      </c>
      <c r="AN186" s="7" t="str">
        <f aca="false">IF(AK186=P186,"No","Yes")</f>
        <v>No</v>
      </c>
    </row>
    <row r="187" customFormat="false" ht="15" hidden="false" customHeight="false" outlineLevel="0" collapsed="false">
      <c r="A187" s="0" t="n">
        <v>183</v>
      </c>
      <c r="B187" s="4" t="s">
        <v>369</v>
      </c>
      <c r="C187" s="5" t="s">
        <v>128</v>
      </c>
      <c r="D187" s="35" t="n">
        <v>5</v>
      </c>
      <c r="E187" s="35" t="n">
        <v>5</v>
      </c>
      <c r="F187" s="35"/>
      <c r="G187" s="35" t="n">
        <v>4</v>
      </c>
      <c r="H187" s="35" t="n">
        <v>11</v>
      </c>
      <c r="I187" s="5" t="n">
        <f aca="false">SUM(D187:H187)</f>
        <v>25</v>
      </c>
      <c r="J187" s="10" t="n">
        <f aca="false">IF($I187=0,0,D187/$I187)</f>
        <v>0.2</v>
      </c>
      <c r="K187" s="10" t="n">
        <f aca="false">IF($I187=0,0,E187/$I187)</f>
        <v>0.2</v>
      </c>
      <c r="L187" s="10" t="n">
        <f aca="false">IF($I187=0,0,F187/$I187)</f>
        <v>0</v>
      </c>
      <c r="M187" s="10" t="n">
        <f aca="false">IF($I187=0,0,G187/$I187)</f>
        <v>0.16</v>
      </c>
      <c r="N187" s="10" t="n">
        <f aca="false">IF($I187=0,0,H187/$I187)</f>
        <v>0.44</v>
      </c>
      <c r="O187" s="35" t="s">
        <v>3</v>
      </c>
      <c r="P187" s="0" t="str">
        <f aca="false">IF(O187="TVK","TVK",IF(O187="DMK","DMK+",IF(O187="ADMK","AIADMK+","")))</f>
        <v>TVK</v>
      </c>
      <c r="Q187" s="35" t="s">
        <v>3</v>
      </c>
      <c r="R187" s="36" t="s">
        <v>3</v>
      </c>
      <c r="S187" s="0" t="str">
        <f aca="false">IF(P187=R187,"Yes","No")</f>
        <v>Yes</v>
      </c>
      <c r="T187" s="2"/>
      <c r="U187" s="27" t="n">
        <f aca="false">IFERROR(SUMIFS($D$5:$D$238,$C$5:$C$238,$C187)/SUMIFS($I$5:$I$238,$C$5:$C$238,$C187),0)</f>
        <v>0.223404255319149</v>
      </c>
      <c r="V187" s="27" t="n">
        <f aca="false">IFERROR(SUMIFS($E$5:$E$238,$C$5:$C$238,$C187)/SUMIFS($I$5:$I$238,$C$5:$C$238,$C187),0)</f>
        <v>0.228723404255319</v>
      </c>
      <c r="W187" s="27" t="n">
        <f aca="false">IFERROR(SUMIFS($F$5:$F$238,$C$5:$C$238,$C187)/SUMIFS($I$5:$I$238,$C$5:$C$238,$C187),0)</f>
        <v>0.00531914893617021</v>
      </c>
      <c r="X187" s="27" t="n">
        <f aca="false">IFERROR(SUMIFS($G$5:$G$238,$C$5:$C$238,$C187)/SUMIFS($I$5:$I$238,$C$5:$C$238,$C187),0)</f>
        <v>0.122340425531915</v>
      </c>
      <c r="Y187" s="27" t="n">
        <f aca="false">IFERROR(SUMIFS($H$5:$H$238,$C$5:$C$238,$C187)/SUMIFS($I$5:$I$238,$C$5:$C$238,$C187),0)</f>
        <v>0.420212765957447</v>
      </c>
      <c r="Z187" s="24" t="n">
        <f aca="false">LN(MAX(I187,1))</f>
        <v>3.2188758248682</v>
      </c>
      <c r="AA187" s="24" t="n">
        <f aca="false">Calibration!$M$35+Calibration!$N$35+SUMPRODUCT(Calibration!$B$35:$F$35,J187:N187)+SUMPRODUCT(Calibration!$G$35:$K$35,U187:Y187)+Calibration!$L$35*Z187</f>
        <v>0.405141204051968</v>
      </c>
      <c r="AB187" s="24" t="n">
        <f aca="false">Calibration!$M$36+Calibration!$N$36+SUMPRODUCT(Calibration!$B$36:$F$36,J187:N187)+SUMPRODUCT(Calibration!$G$36:$K$36,U187:Y187)+Calibration!$L$36*Z187</f>
        <v>0.558042567768976</v>
      </c>
      <c r="AC187" s="24" t="n">
        <f aca="false">Calibration!$M$37+Calibration!$N$37+SUMPRODUCT(Calibration!$B$37:$F$37,J187:N187)+SUMPRODUCT(Calibration!$G$37:$K$37,U187:Y187)+Calibration!$L$37*Z187</f>
        <v>-0.13818310309754</v>
      </c>
      <c r="AD187" s="27" t="n">
        <f aca="false">EXP(AC187)/(EXP(AA187)+EXP(AB187)+EXP(AC187))</f>
        <v>0.211510961394765</v>
      </c>
      <c r="AE187" s="7" t="str">
        <f aca="false">IF(AC187=MAX(AA187:AC187),"TVK",IF(AB187=MAX(AA187:AC187),"DMK+","AIADMK+"))</f>
        <v>DMK+</v>
      </c>
      <c r="AF187" s="7" t="str">
        <f aca="false">IF(AE187=R187,"Yes","No")</f>
        <v>No</v>
      </c>
      <c r="AG187" s="7" t="str">
        <f aca="false">IF(AE187=P187,"No","Yes")</f>
        <v>Yes</v>
      </c>
      <c r="AH187" s="7" t="str">
        <f aca="false">IF(H187=MAX(D187,E187,H187),"TVK",IF(E187=MAX(D187,E187,H187),"DMK+","AIADMK+"))</f>
        <v>TVK</v>
      </c>
      <c r="AI187" s="27" t="n">
        <f aca="false">EXP(AA187)/(EXP(AA187)+EXP(AB187)+EXP(AC187))</f>
        <v>0.364162840357317</v>
      </c>
      <c r="AJ187" s="27" t="n">
        <f aca="false">EXP(AB187)/(EXP(AA187)+EXP(AB187)+EXP(AC187))</f>
        <v>0.424326198247919</v>
      </c>
      <c r="AK187" s="28" t="s">
        <v>5</v>
      </c>
      <c r="AL187" s="7" t="str">
        <f aca="false">IF(AK187=R187,"Yes","No")</f>
        <v>No</v>
      </c>
      <c r="AM187" s="27" t="n">
        <f aca="false">IF(AK187="TVK",AD187,IF(AK187="DMK+",AJ187,AI187))</f>
        <v>0.424326198247919</v>
      </c>
      <c r="AN187" s="7" t="str">
        <f aca="false">IF(AK187=P187,"No","Yes")</f>
        <v>Yes</v>
      </c>
    </row>
    <row r="188" customFormat="false" ht="15" hidden="false" customHeight="false" outlineLevel="0" collapsed="false">
      <c r="A188" s="0" t="n">
        <v>184</v>
      </c>
      <c r="B188" s="4" t="s">
        <v>370</v>
      </c>
      <c r="C188" s="5" t="s">
        <v>136</v>
      </c>
      <c r="D188" s="35" t="n">
        <v>8</v>
      </c>
      <c r="E188" s="35" t="n">
        <v>12</v>
      </c>
      <c r="F188" s="35"/>
      <c r="G188" s="35" t="n">
        <v>7</v>
      </c>
      <c r="H188" s="35" t="n">
        <v>24</v>
      </c>
      <c r="I188" s="5" t="n">
        <f aca="false">SUM(D188:H188)</f>
        <v>51</v>
      </c>
      <c r="J188" s="10" t="n">
        <f aca="false">IF($I188=0,0,D188/$I188)</f>
        <v>0.156862745098039</v>
      </c>
      <c r="K188" s="10" t="n">
        <f aca="false">IF($I188=0,0,E188/$I188)</f>
        <v>0.235294117647059</v>
      </c>
      <c r="L188" s="10" t="n">
        <f aca="false">IF($I188=0,0,F188/$I188)</f>
        <v>0</v>
      </c>
      <c r="M188" s="10" t="n">
        <f aca="false">IF($I188=0,0,G188/$I188)</f>
        <v>0.137254901960784</v>
      </c>
      <c r="N188" s="10" t="n">
        <f aca="false">IF($I188=0,0,H188/$I188)</f>
        <v>0.470588235294118</v>
      </c>
      <c r="O188" s="35" t="s">
        <v>3</v>
      </c>
      <c r="P188" s="0" t="str">
        <f aca="false">IF(O188="TVK","TVK",IF(O188="DMK","DMK+",IF(O188="ADMK","AIADMK+","")))</f>
        <v>TVK</v>
      </c>
      <c r="Q188" s="35" t="s">
        <v>3</v>
      </c>
      <c r="R188" s="36" t="s">
        <v>3</v>
      </c>
      <c r="S188" s="0" t="str">
        <f aca="false">IF(P188=R188,"Yes","No")</f>
        <v>Yes</v>
      </c>
      <c r="T188" s="2"/>
      <c r="U188" s="27" t="n">
        <f aca="false">IFERROR(SUMIFS($D$5:$D$238,$C$5:$C$238,$C188)/SUMIFS($I$5:$I$238,$C$5:$C$238,$C188),0)</f>
        <v>0.207142857142857</v>
      </c>
      <c r="V188" s="27" t="n">
        <f aca="false">IFERROR(SUMIFS($E$5:$E$238,$C$5:$C$238,$C188)/SUMIFS($I$5:$I$238,$C$5:$C$238,$C188),0)</f>
        <v>0.235714285714286</v>
      </c>
      <c r="W188" s="27" t="n">
        <f aca="false">IFERROR(SUMIFS($F$5:$F$238,$C$5:$C$238,$C188)/SUMIFS($I$5:$I$238,$C$5:$C$238,$C188),0)</f>
        <v>0.00714285714285714</v>
      </c>
      <c r="X188" s="27" t="n">
        <f aca="false">IFERROR(SUMIFS($G$5:$G$238,$C$5:$C$238,$C188)/SUMIFS($I$5:$I$238,$C$5:$C$238,$C188),0)</f>
        <v>0.15</v>
      </c>
      <c r="Y188" s="27" t="n">
        <f aca="false">IFERROR(SUMIFS($H$5:$H$238,$C$5:$C$238,$C188)/SUMIFS($I$5:$I$238,$C$5:$C$238,$C188),0)</f>
        <v>0.4</v>
      </c>
      <c r="Z188" s="24" t="n">
        <f aca="false">LN(MAX(I188,1))</f>
        <v>3.93182563272433</v>
      </c>
      <c r="AA188" s="24" t="n">
        <f aca="false">Calibration!$M$35+Calibration!$N$35+SUMPRODUCT(Calibration!$B$35:$F$35,J188:N188)+SUMPRODUCT(Calibration!$G$35:$K$35,U188:Y188)+Calibration!$L$35*Z188</f>
        <v>-0.0554912110499897</v>
      </c>
      <c r="AB188" s="24" t="n">
        <f aca="false">Calibration!$M$36+Calibration!$N$36+SUMPRODUCT(Calibration!$B$36:$F$36,J188:N188)+SUMPRODUCT(Calibration!$G$36:$K$36,U188:Y188)+Calibration!$L$36*Z188</f>
        <v>0.220182091411431</v>
      </c>
      <c r="AC188" s="24" t="n">
        <f aca="false">Calibration!$M$37+Calibration!$N$37+SUMPRODUCT(Calibration!$B$37:$F$37,J188:N188)+SUMPRODUCT(Calibration!$G$37:$K$37,U188:Y188)+Calibration!$L$37*Z188</f>
        <v>0.660309825941079</v>
      </c>
      <c r="AD188" s="27" t="n">
        <f aca="false">EXP(AC188)/(EXP(AA188)+EXP(AB188)+EXP(AC188))</f>
        <v>0.468877204545457</v>
      </c>
      <c r="AE188" s="7" t="str">
        <f aca="false">IF(AC188=MAX(AA188:AC188),"TVK",IF(AB188=MAX(AA188:AC188),"DMK+","AIADMK+"))</f>
        <v>TVK</v>
      </c>
      <c r="AF188" s="7" t="str">
        <f aca="false">IF(AE188=R188,"Yes","No")</f>
        <v>Yes</v>
      </c>
      <c r="AG188" s="7" t="str">
        <f aca="false">IF(AE188=P188,"No","Yes")</f>
        <v>No</v>
      </c>
      <c r="AH188" s="7" t="str">
        <f aca="false">IF(H188=MAX(D188,E188,H188),"TVK",IF(E188=MAX(D188,E188,H188),"DMK+","AIADMK+"))</f>
        <v>TVK</v>
      </c>
      <c r="AI188" s="27" t="n">
        <f aca="false">EXP(AA188)/(EXP(AA188)+EXP(AB188)+EXP(AC188))</f>
        <v>0.229187368754644</v>
      </c>
      <c r="AJ188" s="27" t="n">
        <f aca="false">EXP(AB188)/(EXP(AA188)+EXP(AB188)+EXP(AC188))</f>
        <v>0.3019354266999</v>
      </c>
      <c r="AK188" s="28" t="s">
        <v>3</v>
      </c>
      <c r="AL188" s="7" t="str">
        <f aca="false">IF(AK188=R188,"Yes","No")</f>
        <v>Yes</v>
      </c>
      <c r="AM188" s="27" t="n">
        <f aca="false">IF(AK188="TVK",AD188,IF(AK188="DMK+",AJ188,AI188))</f>
        <v>0.468877204545457</v>
      </c>
      <c r="AN188" s="7" t="str">
        <f aca="false">IF(AK188=P188,"No","Yes")</f>
        <v>No</v>
      </c>
    </row>
    <row r="189" customFormat="false" ht="15" hidden="true" customHeight="false" outlineLevel="0" collapsed="false">
      <c r="A189" s="0" t="n">
        <v>185</v>
      </c>
      <c r="B189" s="4" t="s">
        <v>241</v>
      </c>
      <c r="C189" s="5" t="s">
        <v>136</v>
      </c>
      <c r="D189" s="35" t="n">
        <v>2</v>
      </c>
      <c r="E189" s="35" t="n">
        <v>2</v>
      </c>
      <c r="F189" s="35"/>
      <c r="G189" s="35" t="n">
        <v>4</v>
      </c>
      <c r="H189" s="35" t="n">
        <v>6</v>
      </c>
      <c r="I189" s="5" t="n">
        <f aca="false">SUM(D189:H189)</f>
        <v>14</v>
      </c>
      <c r="J189" s="10" t="n">
        <f aca="false">IF($I189=0,0,D189/$I189)</f>
        <v>0.142857142857143</v>
      </c>
      <c r="K189" s="10" t="n">
        <f aca="false">IF($I189=0,0,E189/$I189)</f>
        <v>0.142857142857143</v>
      </c>
      <c r="L189" s="10" t="n">
        <f aca="false">IF($I189=0,0,F189/$I189)</f>
        <v>0</v>
      </c>
      <c r="M189" s="10" t="n">
        <f aca="false">IF($I189=0,0,G189/$I189)</f>
        <v>0.285714285714286</v>
      </c>
      <c r="N189" s="10" t="n">
        <f aca="false">IF($I189=0,0,H189/$I189)</f>
        <v>0.428571428571429</v>
      </c>
      <c r="O189" s="35" t="s">
        <v>197</v>
      </c>
      <c r="P189" s="0" t="str">
        <f aca="false">IF(O189="TVK","TVK",IF(O189="DMK","DMK+",IF(O189="ADMK","AIADMK+","")))</f>
        <v>DMK+</v>
      </c>
      <c r="Q189" s="35" t="s">
        <v>3</v>
      </c>
      <c r="R189" s="36" t="s">
        <v>3</v>
      </c>
      <c r="S189" s="0" t="str">
        <f aca="false">IF(P189=R189,"Yes","No")</f>
        <v>No</v>
      </c>
      <c r="T189" s="2" t="s">
        <v>371</v>
      </c>
      <c r="U189" s="27" t="n">
        <f aca="false">IFERROR(SUMIFS($D$5:$D$238,$C$5:$C$238,$C189)/SUMIFS($I$5:$I$238,$C$5:$C$238,$C189),0)</f>
        <v>0.207142857142857</v>
      </c>
      <c r="V189" s="27" t="n">
        <f aca="false">IFERROR(SUMIFS($E$5:$E$238,$C$5:$C$238,$C189)/SUMIFS($I$5:$I$238,$C$5:$C$238,$C189),0)</f>
        <v>0.235714285714286</v>
      </c>
      <c r="W189" s="27" t="n">
        <f aca="false">IFERROR(SUMIFS($F$5:$F$238,$C$5:$C$238,$C189)/SUMIFS($I$5:$I$238,$C$5:$C$238,$C189),0)</f>
        <v>0.00714285714285714</v>
      </c>
      <c r="X189" s="27" t="n">
        <f aca="false">IFERROR(SUMIFS($G$5:$G$238,$C$5:$C$238,$C189)/SUMIFS($I$5:$I$238,$C$5:$C$238,$C189),0)</f>
        <v>0.15</v>
      </c>
      <c r="Y189" s="27" t="n">
        <f aca="false">IFERROR(SUMIFS($H$5:$H$238,$C$5:$C$238,$C189)/SUMIFS($I$5:$I$238,$C$5:$C$238,$C189),0)</f>
        <v>0.4</v>
      </c>
      <c r="Z189" s="24" t="n">
        <f aca="false">LN(MAX(I189,1))</f>
        <v>2.63905732961526</v>
      </c>
      <c r="AA189" s="24" t="n">
        <f aca="false">Calibration!$M$35+Calibration!$N$35+SUMPRODUCT(Calibration!$B$35:$F$35,J189:N189)+SUMPRODUCT(Calibration!$G$35:$K$35,U189:Y189)+Calibration!$L$35*Z189</f>
        <v>0.688535588834567</v>
      </c>
      <c r="AB189" s="24" t="n">
        <f aca="false">Calibration!$M$36+Calibration!$N$36+SUMPRODUCT(Calibration!$B$36:$F$36,J189:N189)+SUMPRODUCT(Calibration!$G$36:$K$36,U189:Y189)+Calibration!$L$36*Z189</f>
        <v>0.965561781630727</v>
      </c>
      <c r="AC189" s="24" t="n">
        <f aca="false">Calibration!$M$37+Calibration!$N$37+SUMPRODUCT(Calibration!$B$37:$F$37,J189:N189)+SUMPRODUCT(Calibration!$G$37:$K$37,U189:Y189)+Calibration!$L$37*Z189</f>
        <v>-0.82909670617958</v>
      </c>
      <c r="AD189" s="27" t="n">
        <f aca="false">EXP(AC189)/(EXP(AA189)+EXP(AB189)+EXP(AC189))</f>
        <v>0.086364499333573</v>
      </c>
      <c r="AE189" s="7" t="str">
        <f aca="false">IF(AC189=MAX(AA189:AC189),"TVK",IF(AB189=MAX(AA189:AC189),"DMK+","AIADMK+"))</f>
        <v>DMK+</v>
      </c>
      <c r="AF189" s="7" t="str">
        <f aca="false">IF(AE189=R189,"Yes","No")</f>
        <v>No</v>
      </c>
      <c r="AG189" s="7" t="str">
        <f aca="false">IF(AE189=P189,"No","Yes")</f>
        <v>No</v>
      </c>
      <c r="AH189" s="7" t="str">
        <f aca="false">IF(H189=MAX(D189,E189,H189),"TVK",IF(E189=MAX(D189,E189,H189),"DMK+","AIADMK+"))</f>
        <v>TVK</v>
      </c>
      <c r="AI189" s="27" t="n">
        <f aca="false">EXP(AA189)/(EXP(AA189)+EXP(AB189)+EXP(AC189))</f>
        <v>0.393944091327018</v>
      </c>
      <c r="AJ189" s="27" t="n">
        <f aca="false">EXP(AB189)/(EXP(AA189)+EXP(AB189)+EXP(AC189))</f>
        <v>0.519691409339409</v>
      </c>
      <c r="AK189" s="28" t="s">
        <v>3</v>
      </c>
      <c r="AL189" s="7" t="str">
        <f aca="false">IF(AK189=R189,"Yes","No")</f>
        <v>Yes</v>
      </c>
      <c r="AM189" s="27" t="n">
        <f aca="false">IF(AK189="TVK",AD189,IF(AK189="DMK+",AJ189,AI189))</f>
        <v>0.086364499333573</v>
      </c>
      <c r="AN189" s="7" t="str">
        <f aca="false">IF(AK189=P189,"No","Yes")</f>
        <v>Yes</v>
      </c>
    </row>
    <row r="190" customFormat="false" ht="15" hidden="false" customHeight="false" outlineLevel="0" collapsed="false">
      <c r="A190" s="0" t="n">
        <v>186</v>
      </c>
      <c r="B190" s="4" t="s">
        <v>136</v>
      </c>
      <c r="C190" s="5" t="s">
        <v>136</v>
      </c>
      <c r="D190" s="35" t="n">
        <v>12</v>
      </c>
      <c r="E190" s="35" t="n">
        <v>8</v>
      </c>
      <c r="F190" s="35"/>
      <c r="G190" s="35" t="n">
        <v>3</v>
      </c>
      <c r="H190" s="35" t="n">
        <v>17</v>
      </c>
      <c r="I190" s="5" t="n">
        <f aca="false">SUM(D190:H190)</f>
        <v>40</v>
      </c>
      <c r="J190" s="10" t="n">
        <f aca="false">IF($I190=0,0,D190/$I190)</f>
        <v>0.3</v>
      </c>
      <c r="K190" s="10" t="n">
        <f aca="false">IF($I190=0,0,E190/$I190)</f>
        <v>0.2</v>
      </c>
      <c r="L190" s="10" t="n">
        <f aca="false">IF($I190=0,0,F190/$I190)</f>
        <v>0</v>
      </c>
      <c r="M190" s="10" t="n">
        <f aca="false">IF($I190=0,0,G190/$I190)</f>
        <v>0.075</v>
      </c>
      <c r="N190" s="10" t="n">
        <f aca="false">IF($I190=0,0,H190/$I190)</f>
        <v>0.425</v>
      </c>
      <c r="O190" s="35" t="s">
        <v>3</v>
      </c>
      <c r="P190" s="0" t="str">
        <f aca="false">IF(O190="TVK","TVK",IF(O190="DMK","DMK+",IF(O190="ADMK","AIADMK+","")))</f>
        <v>TVK</v>
      </c>
      <c r="Q190" s="35" t="s">
        <v>3</v>
      </c>
      <c r="R190" s="36" t="s">
        <v>3</v>
      </c>
      <c r="S190" s="0" t="str">
        <f aca="false">IF(P190=R190,"Yes","No")</f>
        <v>Yes</v>
      </c>
      <c r="T190" s="2"/>
      <c r="U190" s="27" t="n">
        <f aca="false">IFERROR(SUMIFS($D$5:$D$238,$C$5:$C$238,$C190)/SUMIFS($I$5:$I$238,$C$5:$C$238,$C190),0)</f>
        <v>0.207142857142857</v>
      </c>
      <c r="V190" s="27" t="n">
        <f aca="false">IFERROR(SUMIFS($E$5:$E$238,$C$5:$C$238,$C190)/SUMIFS($I$5:$I$238,$C$5:$C$238,$C190),0)</f>
        <v>0.235714285714286</v>
      </c>
      <c r="W190" s="27" t="n">
        <f aca="false">IFERROR(SUMIFS($F$5:$F$238,$C$5:$C$238,$C190)/SUMIFS($I$5:$I$238,$C$5:$C$238,$C190),0)</f>
        <v>0.00714285714285714</v>
      </c>
      <c r="X190" s="27" t="n">
        <f aca="false">IFERROR(SUMIFS($G$5:$G$238,$C$5:$C$238,$C190)/SUMIFS($I$5:$I$238,$C$5:$C$238,$C190),0)</f>
        <v>0.15</v>
      </c>
      <c r="Y190" s="27" t="n">
        <f aca="false">IFERROR(SUMIFS($H$5:$H$238,$C$5:$C$238,$C190)/SUMIFS($I$5:$I$238,$C$5:$C$238,$C190),0)</f>
        <v>0.4</v>
      </c>
      <c r="Z190" s="24" t="n">
        <f aca="false">LN(MAX(I190,1))</f>
        <v>3.68887945411394</v>
      </c>
      <c r="AA190" s="24" t="n">
        <f aca="false">Calibration!$M$35+Calibration!$N$35+SUMPRODUCT(Calibration!$B$35:$F$35,J190:N190)+SUMPRODUCT(Calibration!$G$35:$K$35,U190:Y190)+Calibration!$L$35*Z190</f>
        <v>0.230951786129512</v>
      </c>
      <c r="AB190" s="24" t="n">
        <f aca="false">Calibration!$M$36+Calibration!$N$36+SUMPRODUCT(Calibration!$B$36:$F$36,J190:N190)+SUMPRODUCT(Calibration!$G$36:$K$36,U190:Y190)+Calibration!$L$36*Z190</f>
        <v>0.220929820332897</v>
      </c>
      <c r="AC190" s="24" t="n">
        <f aca="false">Calibration!$M$37+Calibration!$N$37+SUMPRODUCT(Calibration!$B$37:$F$37,J190:N190)+SUMPRODUCT(Calibration!$G$37:$K$37,U190:Y190)+Calibration!$L$37*Z190</f>
        <v>0.373119054251877</v>
      </c>
      <c r="AD190" s="27" t="n">
        <f aca="false">EXP(AC190)/(EXP(AA190)+EXP(AB190)+EXP(AC190))</f>
        <v>0.366797236871669</v>
      </c>
      <c r="AE190" s="7" t="str">
        <f aca="false">IF(AC190=MAX(AA190:AC190),"TVK",IF(AB190=MAX(AA190:AC190),"DMK+","AIADMK+"))</f>
        <v>TVK</v>
      </c>
      <c r="AF190" s="7" t="str">
        <f aca="false">IF(AE190=R190,"Yes","No")</f>
        <v>Yes</v>
      </c>
      <c r="AG190" s="7" t="str">
        <f aca="false">IF(AE190=P190,"No","Yes")</f>
        <v>No</v>
      </c>
      <c r="AH190" s="7" t="str">
        <f aca="false">IF(H190=MAX(D190,E190,H190),"TVK",IF(E190=MAX(D190,E190,H190),"DMK+","AIADMK+"))</f>
        <v>TVK</v>
      </c>
      <c r="AI190" s="27" t="n">
        <f aca="false">EXP(AA190)/(EXP(AA190)+EXP(AB190)+EXP(AC190))</f>
        <v>0.318187852394052</v>
      </c>
      <c r="AJ190" s="27" t="n">
        <f aca="false">EXP(AB190)/(EXP(AA190)+EXP(AB190)+EXP(AC190))</f>
        <v>0.315014910734279</v>
      </c>
      <c r="AK190" s="28" t="s">
        <v>3</v>
      </c>
      <c r="AL190" s="7" t="str">
        <f aca="false">IF(AK190=R190,"Yes","No")</f>
        <v>Yes</v>
      </c>
      <c r="AM190" s="27" t="n">
        <f aca="false">IF(AK190="TVK",AD190,IF(AK190="DMK+",AJ190,AI190))</f>
        <v>0.366797236871669</v>
      </c>
      <c r="AN190" s="7" t="str">
        <f aca="false">IF(AK190=P190,"No","Yes")</f>
        <v>No</v>
      </c>
    </row>
    <row r="191" customFormat="false" ht="15" hidden="true" customHeight="false" outlineLevel="0" collapsed="false">
      <c r="A191" s="0" t="n">
        <v>187</v>
      </c>
      <c r="B191" s="4" t="s">
        <v>372</v>
      </c>
      <c r="C191" s="5" t="s">
        <v>136</v>
      </c>
      <c r="D191" s="35" t="n">
        <v>7</v>
      </c>
      <c r="E191" s="35" t="n">
        <v>11</v>
      </c>
      <c r="F191" s="35" t="n">
        <v>1</v>
      </c>
      <c r="G191" s="35" t="n">
        <v>7</v>
      </c>
      <c r="H191" s="35" t="n">
        <v>9</v>
      </c>
      <c r="I191" s="5" t="n">
        <f aca="false">SUM(D191:H191)</f>
        <v>35</v>
      </c>
      <c r="J191" s="10" t="n">
        <f aca="false">IF($I191=0,0,D191/$I191)</f>
        <v>0.2</v>
      </c>
      <c r="K191" s="10" t="n">
        <f aca="false">IF($I191=0,0,E191/$I191)</f>
        <v>0.314285714285714</v>
      </c>
      <c r="L191" s="10" t="n">
        <f aca="false">IF($I191=0,0,F191/$I191)</f>
        <v>0.0285714285714286</v>
      </c>
      <c r="M191" s="10" t="n">
        <f aca="false">IF($I191=0,0,G191/$I191)</f>
        <v>0.2</v>
      </c>
      <c r="N191" s="10" t="n">
        <f aca="false">IF($I191=0,0,H191/$I191)</f>
        <v>0.257142857142857</v>
      </c>
      <c r="O191" s="35" t="s">
        <v>197</v>
      </c>
      <c r="P191" s="0" t="str">
        <f aca="false">IF(O191="TVK","TVK",IF(O191="DMK","DMK+",IF(O191="ADMK","AIADMK+","")))</f>
        <v>DMK+</v>
      </c>
      <c r="Q191" s="35" t="s">
        <v>3</v>
      </c>
      <c r="R191" s="36" t="s">
        <v>3</v>
      </c>
      <c r="S191" s="0" t="str">
        <f aca="false">IF(P191=R191,"Yes","No")</f>
        <v>No</v>
      </c>
      <c r="T191" s="2"/>
      <c r="U191" s="27" t="n">
        <f aca="false">IFERROR(SUMIFS($D$5:$D$238,$C$5:$C$238,$C191)/SUMIFS($I$5:$I$238,$C$5:$C$238,$C191),0)</f>
        <v>0.207142857142857</v>
      </c>
      <c r="V191" s="27" t="n">
        <f aca="false">IFERROR(SUMIFS($E$5:$E$238,$C$5:$C$238,$C191)/SUMIFS($I$5:$I$238,$C$5:$C$238,$C191),0)</f>
        <v>0.235714285714286</v>
      </c>
      <c r="W191" s="27" t="n">
        <f aca="false">IFERROR(SUMIFS($F$5:$F$238,$C$5:$C$238,$C191)/SUMIFS($I$5:$I$238,$C$5:$C$238,$C191),0)</f>
        <v>0.00714285714285714</v>
      </c>
      <c r="X191" s="27" t="n">
        <f aca="false">IFERROR(SUMIFS($G$5:$G$238,$C$5:$C$238,$C191)/SUMIFS($I$5:$I$238,$C$5:$C$238,$C191),0)</f>
        <v>0.15</v>
      </c>
      <c r="Y191" s="27" t="n">
        <f aca="false">IFERROR(SUMIFS($H$5:$H$238,$C$5:$C$238,$C191)/SUMIFS($I$5:$I$238,$C$5:$C$238,$C191),0)</f>
        <v>0.4</v>
      </c>
      <c r="Z191" s="24" t="n">
        <f aca="false">LN(MAX(I191,1))</f>
        <v>3.55534806148941</v>
      </c>
      <c r="AA191" s="24" t="n">
        <f aca="false">Calibration!$M$35+Calibration!$N$35+SUMPRODUCT(Calibration!$B$35:$F$35,J191:N191)+SUMPRODUCT(Calibration!$G$35:$K$35,U191:Y191)+Calibration!$L$35*Z191</f>
        <v>0.166194064887845</v>
      </c>
      <c r="AB191" s="24" t="n">
        <f aca="false">Calibration!$M$36+Calibration!$N$36+SUMPRODUCT(Calibration!$B$36:$F$36,J191:N191)+SUMPRODUCT(Calibration!$G$36:$K$36,U191:Y191)+Calibration!$L$36*Z191</f>
        <v>0.58112221058459</v>
      </c>
      <c r="AC191" s="24" t="n">
        <f aca="false">Calibration!$M$37+Calibration!$N$37+SUMPRODUCT(Calibration!$B$37:$F$37,J191:N191)+SUMPRODUCT(Calibration!$G$37:$K$37,U191:Y191)+Calibration!$L$37*Z191</f>
        <v>0.0776842173847081</v>
      </c>
      <c r="AD191" s="27" t="n">
        <f aca="false">EXP(AC191)/(EXP(AA191)+EXP(AB191)+EXP(AC191))</f>
        <v>0.266884135990254</v>
      </c>
      <c r="AE191" s="7" t="str">
        <f aca="false">IF(AC191=MAX(AA191:AC191),"TVK",IF(AB191=MAX(AA191:AC191),"DMK+","AIADMK+"))</f>
        <v>DMK+</v>
      </c>
      <c r="AF191" s="7" t="str">
        <f aca="false">IF(AE191=R191,"Yes","No")</f>
        <v>No</v>
      </c>
      <c r="AG191" s="7" t="str">
        <f aca="false">IF(AE191=P191,"No","Yes")</f>
        <v>No</v>
      </c>
      <c r="AH191" s="7" t="str">
        <f aca="false">IF(H191=MAX(D191,E191,H191),"TVK",IF(E191=MAX(D191,E191,H191),"DMK+","AIADMK+"))</f>
        <v>DMK+</v>
      </c>
      <c r="AI191" s="27" t="n">
        <f aca="false">EXP(AA191)/(EXP(AA191)+EXP(AB191)+EXP(AC191))</f>
        <v>0.291582931397399</v>
      </c>
      <c r="AJ191" s="27" t="n">
        <f aca="false">EXP(AB191)/(EXP(AA191)+EXP(AB191)+EXP(AC191))</f>
        <v>0.441532932612347</v>
      </c>
      <c r="AK191" s="28" t="s">
        <v>3</v>
      </c>
      <c r="AL191" s="7" t="str">
        <f aca="false">IF(AK191=R191,"Yes","No")</f>
        <v>Yes</v>
      </c>
      <c r="AM191" s="27" t="n">
        <f aca="false">IF(AK191="TVK",AD191,IF(AK191="DMK+",AJ191,AI191))</f>
        <v>0.266884135990254</v>
      </c>
      <c r="AN191" s="7" t="str">
        <f aca="false">IF(AK191=P191,"No","Yes")</f>
        <v>Yes</v>
      </c>
    </row>
    <row r="192" customFormat="false" ht="15" hidden="true" customHeight="false" outlineLevel="0" collapsed="false">
      <c r="A192" s="0" t="n">
        <v>188</v>
      </c>
      <c r="B192" s="4" t="s">
        <v>373</v>
      </c>
      <c r="C192" s="5" t="s">
        <v>118</v>
      </c>
      <c r="D192" s="35" t="n">
        <v>1</v>
      </c>
      <c r="E192" s="35" t="n">
        <v>7</v>
      </c>
      <c r="F192" s="35"/>
      <c r="G192" s="35" t="n">
        <v>5</v>
      </c>
      <c r="H192" s="35" t="n">
        <v>4</v>
      </c>
      <c r="I192" s="5" t="n">
        <f aca="false">SUM(D192:H192)</f>
        <v>17</v>
      </c>
      <c r="J192" s="10" t="n">
        <f aca="false">IF($I192=0,0,D192/$I192)</f>
        <v>0.0588235294117647</v>
      </c>
      <c r="K192" s="10" t="n">
        <f aca="false">IF($I192=0,0,E192/$I192)</f>
        <v>0.411764705882353</v>
      </c>
      <c r="L192" s="10" t="n">
        <f aca="false">IF($I192=0,0,F192/$I192)</f>
        <v>0</v>
      </c>
      <c r="M192" s="10" t="n">
        <f aca="false">IF($I192=0,0,G192/$I192)</f>
        <v>0.294117647058824</v>
      </c>
      <c r="N192" s="10" t="n">
        <f aca="false">IF($I192=0,0,H192/$I192)</f>
        <v>0.235294117647059</v>
      </c>
      <c r="O192" s="35" t="s">
        <v>197</v>
      </c>
      <c r="P192" s="0" t="str">
        <f aca="false">IF(O192="TVK","TVK",IF(O192="DMK","DMK+",IF(O192="ADMK","AIADMK+","")))</f>
        <v>DMK+</v>
      </c>
      <c r="Q192" s="35" t="s">
        <v>348</v>
      </c>
      <c r="R192" s="36" t="s">
        <v>5</v>
      </c>
      <c r="S192" s="0" t="str">
        <f aca="false">IF(P192=R192,"Yes","No")</f>
        <v>Yes</v>
      </c>
      <c r="T192" s="2"/>
      <c r="U192" s="27" t="n">
        <f aca="false">IFERROR(SUMIFS($D$5:$D$238,$C$5:$C$238,$C192)/SUMIFS($I$5:$I$238,$C$5:$C$238,$C192),0)</f>
        <v>0.229571984435798</v>
      </c>
      <c r="V192" s="27" t="n">
        <f aca="false">IFERROR(SUMIFS($E$5:$E$238,$C$5:$C$238,$C192)/SUMIFS($I$5:$I$238,$C$5:$C$238,$C192),0)</f>
        <v>0.303501945525292</v>
      </c>
      <c r="W192" s="27" t="n">
        <f aca="false">IFERROR(SUMIFS($F$5:$F$238,$C$5:$C$238,$C192)/SUMIFS($I$5:$I$238,$C$5:$C$238,$C192),0)</f>
        <v>0.00389105058365759</v>
      </c>
      <c r="X192" s="27" t="n">
        <f aca="false">IFERROR(SUMIFS($G$5:$G$238,$C$5:$C$238,$C192)/SUMIFS($I$5:$I$238,$C$5:$C$238,$C192),0)</f>
        <v>0.105058365758755</v>
      </c>
      <c r="Y192" s="27" t="n">
        <f aca="false">IFERROR(SUMIFS($H$5:$H$238,$C$5:$C$238,$C192)/SUMIFS($I$5:$I$238,$C$5:$C$238,$C192),0)</f>
        <v>0.357976653696498</v>
      </c>
      <c r="Z192" s="24" t="n">
        <f aca="false">LN(MAX(I192,1))</f>
        <v>2.83321334405622</v>
      </c>
      <c r="AA192" s="24" t="n">
        <f aca="false">Calibration!$M$35+Calibration!$N$35+SUMPRODUCT(Calibration!$B$35:$F$35,J192:N192)+SUMPRODUCT(Calibration!$G$35:$K$35,U192:Y192)+Calibration!$L$35*Z192</f>
        <v>0.338319303395484</v>
      </c>
      <c r="AB192" s="24" t="n">
        <f aca="false">Calibration!$M$36+Calibration!$N$36+SUMPRODUCT(Calibration!$B$36:$F$36,J192:N192)+SUMPRODUCT(Calibration!$G$36:$K$36,U192:Y192)+Calibration!$L$36*Z192</f>
        <v>1.32105511613942</v>
      </c>
      <c r="AC192" s="24" t="n">
        <f aca="false">Calibration!$M$37+Calibration!$N$37+SUMPRODUCT(Calibration!$B$37:$F$37,J192:N192)+SUMPRODUCT(Calibration!$G$37:$K$37,U192:Y192)+Calibration!$L$37*Z192</f>
        <v>-0.834373880738841</v>
      </c>
      <c r="AD192" s="27" t="n">
        <f aca="false">EXP(AC192)/(EXP(AA192)+EXP(AB192)+EXP(AC192))</f>
        <v>0.0777467495245253</v>
      </c>
      <c r="AE192" s="7" t="str">
        <f aca="false">IF(AC192=MAX(AA192:AC192),"TVK",IF(AB192=MAX(AA192:AC192),"DMK+","AIADMK+"))</f>
        <v>DMK+</v>
      </c>
      <c r="AF192" s="7" t="str">
        <f aca="false">IF(AE192=R192,"Yes","No")</f>
        <v>Yes</v>
      </c>
      <c r="AG192" s="7" t="str">
        <f aca="false">IF(AE192=P192,"No","Yes")</f>
        <v>No</v>
      </c>
      <c r="AH192" s="7" t="str">
        <f aca="false">IF(H192=MAX(D192,E192,H192),"TVK",IF(E192=MAX(D192,E192,H192),"DMK+","AIADMK+"))</f>
        <v>DMK+</v>
      </c>
      <c r="AI192" s="27" t="n">
        <f aca="false">EXP(AA192)/(EXP(AA192)+EXP(AB192)+EXP(AC192))</f>
        <v>0.251175005076962</v>
      </c>
      <c r="AJ192" s="27" t="n">
        <f aca="false">EXP(AB192)/(EXP(AA192)+EXP(AB192)+EXP(AC192))</f>
        <v>0.671078245398513</v>
      </c>
      <c r="AK192" s="28" t="s">
        <v>5</v>
      </c>
      <c r="AL192" s="7" t="str">
        <f aca="false">IF(AK192=R192,"Yes","No")</f>
        <v>Yes</v>
      </c>
      <c r="AM192" s="27" t="n">
        <f aca="false">IF(AK192="TVK",AD192,IF(AK192="DMK+",AJ192,AI192))</f>
        <v>0.671078245398513</v>
      </c>
      <c r="AN192" s="7" t="str">
        <f aca="false">IF(AK192=P192,"No","Yes")</f>
        <v>No</v>
      </c>
    </row>
    <row r="193" customFormat="false" ht="15" hidden="true" customHeight="false" outlineLevel="0" collapsed="false">
      <c r="A193" s="0" t="n">
        <v>189</v>
      </c>
      <c r="B193" s="4" t="s">
        <v>374</v>
      </c>
      <c r="C193" s="5" t="s">
        <v>118</v>
      </c>
      <c r="D193" s="35" t="n">
        <v>15</v>
      </c>
      <c r="E193" s="35" t="n">
        <v>32</v>
      </c>
      <c r="F193" s="35"/>
      <c r="G193" s="35" t="n">
        <v>6</v>
      </c>
      <c r="H193" s="35" t="n">
        <v>29</v>
      </c>
      <c r="I193" s="5" t="n">
        <f aca="false">SUM(D193:H193)</f>
        <v>82</v>
      </c>
      <c r="J193" s="10" t="n">
        <f aca="false">IF($I193=0,0,D193/$I193)</f>
        <v>0.182926829268293</v>
      </c>
      <c r="K193" s="10" t="n">
        <f aca="false">IF($I193=0,0,E193/$I193)</f>
        <v>0.390243902439024</v>
      </c>
      <c r="L193" s="10" t="n">
        <f aca="false">IF($I193=0,0,F193/$I193)</f>
        <v>0</v>
      </c>
      <c r="M193" s="10" t="n">
        <f aca="false">IF($I193=0,0,G193/$I193)</f>
        <v>0.0731707317073171</v>
      </c>
      <c r="N193" s="10" t="n">
        <f aca="false">IF($I193=0,0,H193/$I193)</f>
        <v>0.353658536585366</v>
      </c>
      <c r="O193" s="35" t="s">
        <v>197</v>
      </c>
      <c r="P193" s="0" t="str">
        <f aca="false">IF(O193="TVK","TVK",IF(O193="DMK","DMK+",IF(O193="ADMK","AIADMK+","")))</f>
        <v>DMK+</v>
      </c>
      <c r="Q193" s="35" t="s">
        <v>3</v>
      </c>
      <c r="R193" s="36" t="s">
        <v>3</v>
      </c>
      <c r="S193" s="0" t="str">
        <f aca="false">IF(P193=R193,"Yes","No")</f>
        <v>No</v>
      </c>
      <c r="T193" s="2"/>
      <c r="U193" s="27" t="n">
        <f aca="false">IFERROR(SUMIFS($D$5:$D$238,$C$5:$C$238,$C193)/SUMIFS($I$5:$I$238,$C$5:$C$238,$C193),0)</f>
        <v>0.229571984435798</v>
      </c>
      <c r="V193" s="27" t="n">
        <f aca="false">IFERROR(SUMIFS($E$5:$E$238,$C$5:$C$238,$C193)/SUMIFS($I$5:$I$238,$C$5:$C$238,$C193),0)</f>
        <v>0.303501945525292</v>
      </c>
      <c r="W193" s="27" t="n">
        <f aca="false">IFERROR(SUMIFS($F$5:$F$238,$C$5:$C$238,$C193)/SUMIFS($I$5:$I$238,$C$5:$C$238,$C193),0)</f>
        <v>0.00389105058365759</v>
      </c>
      <c r="X193" s="27" t="n">
        <f aca="false">IFERROR(SUMIFS($G$5:$G$238,$C$5:$C$238,$C193)/SUMIFS($I$5:$I$238,$C$5:$C$238,$C193),0)</f>
        <v>0.105058365758755</v>
      </c>
      <c r="Y193" s="27" t="n">
        <f aca="false">IFERROR(SUMIFS($H$5:$H$238,$C$5:$C$238,$C193)/SUMIFS($I$5:$I$238,$C$5:$C$238,$C193),0)</f>
        <v>0.357976653696498</v>
      </c>
      <c r="Z193" s="24" t="n">
        <f aca="false">LN(MAX(I193,1))</f>
        <v>4.40671924726425</v>
      </c>
      <c r="AA193" s="24" t="n">
        <f aca="false">Calibration!$M$35+Calibration!$N$35+SUMPRODUCT(Calibration!$B$35:$F$35,J193:N193)+SUMPRODUCT(Calibration!$G$35:$K$35,U193:Y193)+Calibration!$L$35*Z193</f>
        <v>-0.38787892251196</v>
      </c>
      <c r="AB193" s="24" t="n">
        <f aca="false">Calibration!$M$36+Calibration!$N$36+SUMPRODUCT(Calibration!$B$36:$F$36,J193:N193)+SUMPRODUCT(Calibration!$G$36:$K$36,U193:Y193)+Calibration!$L$36*Z193</f>
        <v>0.15277893693161</v>
      </c>
      <c r="AC193" s="24" t="n">
        <f aca="false">Calibration!$M$37+Calibration!$N$37+SUMPRODUCT(Calibration!$B$37:$F$37,J193:N193)+SUMPRODUCT(Calibration!$G$37:$K$37,U193:Y193)+Calibration!$L$37*Z193</f>
        <v>1.06010064274083</v>
      </c>
      <c r="AD193" s="27" t="n">
        <f aca="false">EXP(AC193)/(EXP(AA193)+EXP(AB193)+EXP(AC193))</f>
        <v>0.610259022264223</v>
      </c>
      <c r="AE193" s="7" t="str">
        <f aca="false">IF(AC193=MAX(AA193:AC193),"TVK",IF(AB193=MAX(AA193:AC193),"DMK+","AIADMK+"))</f>
        <v>TVK</v>
      </c>
      <c r="AF193" s="7" t="str">
        <f aca="false">IF(AE193=R193,"Yes","No")</f>
        <v>Yes</v>
      </c>
      <c r="AG193" s="7" t="str">
        <f aca="false">IF(AE193=P193,"No","Yes")</f>
        <v>Yes</v>
      </c>
      <c r="AH193" s="7" t="str">
        <f aca="false">IF(H193=MAX(D193,E193,H193),"TVK",IF(E193=MAX(D193,E193,H193),"DMK+","AIADMK+"))</f>
        <v>DMK+</v>
      </c>
      <c r="AI193" s="27" t="n">
        <f aca="false">EXP(AA193)/(EXP(AA193)+EXP(AB193)+EXP(AC193))</f>
        <v>0.143438149514294</v>
      </c>
      <c r="AJ193" s="27" t="n">
        <f aca="false">EXP(AB193)/(EXP(AA193)+EXP(AB193)+EXP(AC193))</f>
        <v>0.246302828221483</v>
      </c>
      <c r="AK193" s="28" t="s">
        <v>3</v>
      </c>
      <c r="AL193" s="7" t="str">
        <f aca="false">IF(AK193=R193,"Yes","No")</f>
        <v>Yes</v>
      </c>
      <c r="AM193" s="27" t="n">
        <f aca="false">IF(AK193="TVK",AD193,IF(AK193="DMK+",AJ193,AI193))</f>
        <v>0.610259022264223</v>
      </c>
      <c r="AN193" s="7" t="str">
        <f aca="false">IF(AK193=P193,"No","Yes")</f>
        <v>Yes</v>
      </c>
    </row>
    <row r="194" customFormat="false" ht="15" hidden="true" customHeight="false" outlineLevel="0" collapsed="false">
      <c r="A194" s="0" t="n">
        <v>190</v>
      </c>
      <c r="B194" s="4" t="s">
        <v>375</v>
      </c>
      <c r="C194" s="5" t="s">
        <v>118</v>
      </c>
      <c r="D194" s="35" t="n">
        <v>12</v>
      </c>
      <c r="E194" s="35" t="n">
        <v>15</v>
      </c>
      <c r="F194" s="35"/>
      <c r="G194" s="35" t="n">
        <v>5</v>
      </c>
      <c r="H194" s="35" t="n">
        <v>13</v>
      </c>
      <c r="I194" s="5" t="n">
        <f aca="false">SUM(D194:H194)</f>
        <v>45</v>
      </c>
      <c r="J194" s="10" t="n">
        <f aca="false">IF($I194=0,0,D194/$I194)</f>
        <v>0.266666666666667</v>
      </c>
      <c r="K194" s="10" t="n">
        <f aca="false">IF($I194=0,0,E194/$I194)</f>
        <v>0.333333333333333</v>
      </c>
      <c r="L194" s="10" t="n">
        <f aca="false">IF($I194=0,0,F194/$I194)</f>
        <v>0</v>
      </c>
      <c r="M194" s="10" t="n">
        <f aca="false">IF($I194=0,0,G194/$I194)</f>
        <v>0.111111111111111</v>
      </c>
      <c r="N194" s="10" t="n">
        <f aca="false">IF($I194=0,0,H194/$I194)</f>
        <v>0.288888888888889</v>
      </c>
      <c r="O194" s="35" t="s">
        <v>197</v>
      </c>
      <c r="P194" s="0" t="str">
        <f aca="false">IF(O194="TVK","TVK",IF(O194="DMK","DMK+",IF(O194="ADMK","AIADMK+","")))</f>
        <v>DMK+</v>
      </c>
      <c r="Q194" s="35" t="s">
        <v>3</v>
      </c>
      <c r="R194" s="36" t="s">
        <v>3</v>
      </c>
      <c r="S194" s="0" t="str">
        <f aca="false">IF(P194=R194,"Yes","No")</f>
        <v>No</v>
      </c>
      <c r="T194" s="2"/>
      <c r="U194" s="27" t="n">
        <f aca="false">IFERROR(SUMIFS($D$5:$D$238,$C$5:$C$238,$C194)/SUMIFS($I$5:$I$238,$C$5:$C$238,$C194),0)</f>
        <v>0.229571984435798</v>
      </c>
      <c r="V194" s="27" t="n">
        <f aca="false">IFERROR(SUMIFS($E$5:$E$238,$C$5:$C$238,$C194)/SUMIFS($I$5:$I$238,$C$5:$C$238,$C194),0)</f>
        <v>0.303501945525292</v>
      </c>
      <c r="W194" s="27" t="n">
        <f aca="false">IFERROR(SUMIFS($F$5:$F$238,$C$5:$C$238,$C194)/SUMIFS($I$5:$I$238,$C$5:$C$238,$C194),0)</f>
        <v>0.00389105058365759</v>
      </c>
      <c r="X194" s="27" t="n">
        <f aca="false">IFERROR(SUMIFS($G$5:$G$238,$C$5:$C$238,$C194)/SUMIFS($I$5:$I$238,$C$5:$C$238,$C194),0)</f>
        <v>0.105058365758755</v>
      </c>
      <c r="Y194" s="27" t="n">
        <f aca="false">IFERROR(SUMIFS($H$5:$H$238,$C$5:$C$238,$C194)/SUMIFS($I$5:$I$238,$C$5:$C$238,$C194),0)</f>
        <v>0.357976653696498</v>
      </c>
      <c r="Z194" s="24" t="n">
        <f aca="false">LN(MAX(I194,1))</f>
        <v>3.80666248977032</v>
      </c>
      <c r="AA194" s="24" t="n">
        <f aca="false">Calibration!$M$35+Calibration!$N$35+SUMPRODUCT(Calibration!$B$35:$F$35,J194:N194)+SUMPRODUCT(Calibration!$G$35:$K$35,U194:Y194)+Calibration!$L$35*Z194</f>
        <v>0.0553294857161828</v>
      </c>
      <c r="AB194" s="24" t="n">
        <f aca="false">Calibration!$M$36+Calibration!$N$36+SUMPRODUCT(Calibration!$B$36:$F$36,J194:N194)+SUMPRODUCT(Calibration!$G$36:$K$36,U194:Y194)+Calibration!$L$36*Z194</f>
        <v>0.420112352126179</v>
      </c>
      <c r="AC194" s="24" t="n">
        <f aca="false">Calibration!$M$37+Calibration!$N$37+SUMPRODUCT(Calibration!$B$37:$F$37,J194:N194)+SUMPRODUCT(Calibration!$G$37:$K$37,U194:Y194)+Calibration!$L$37*Z194</f>
        <v>0.349558754548473</v>
      </c>
      <c r="AD194" s="27" t="n">
        <f aca="false">EXP(AC194)/(EXP(AA194)+EXP(AB194)+EXP(AC194))</f>
        <v>0.354835447650883</v>
      </c>
      <c r="AE194" s="7" t="str">
        <f aca="false">IF(AC194=MAX(AA194:AC194),"TVK",IF(AB194=MAX(AA194:AC194),"DMK+","AIADMK+"))</f>
        <v>DMK+</v>
      </c>
      <c r="AF194" s="7" t="str">
        <f aca="false">IF(AE194=R194,"Yes","No")</f>
        <v>No</v>
      </c>
      <c r="AG194" s="7" t="str">
        <f aca="false">IF(AE194=P194,"No","Yes")</f>
        <v>No</v>
      </c>
      <c r="AH194" s="7" t="str">
        <f aca="false">IF(H194=MAX(D194,E194,H194),"TVK",IF(E194=MAX(D194,E194,H194),"DMK+","AIADMK+"))</f>
        <v>DMK+</v>
      </c>
      <c r="AI194" s="27" t="n">
        <f aca="false">EXP(AA194)/(EXP(AA194)+EXP(AB194)+EXP(AC194))</f>
        <v>0.264389894153405</v>
      </c>
      <c r="AJ194" s="27" t="n">
        <f aca="false">EXP(AB194)/(EXP(AA194)+EXP(AB194)+EXP(AC194))</f>
        <v>0.380774658195712</v>
      </c>
      <c r="AK194" s="28" t="s">
        <v>3</v>
      </c>
      <c r="AL194" s="7" t="str">
        <f aca="false">IF(AK194=R194,"Yes","No")</f>
        <v>Yes</v>
      </c>
      <c r="AM194" s="27" t="n">
        <f aca="false">IF(AK194="TVK",AD194,IF(AK194="DMK+",AJ194,AI194))</f>
        <v>0.354835447650883</v>
      </c>
      <c r="AN194" s="7" t="str">
        <f aca="false">IF(AK194=P194,"No","Yes")</f>
        <v>Yes</v>
      </c>
    </row>
    <row r="195" customFormat="false" ht="15" hidden="false" customHeight="false" outlineLevel="0" collapsed="false">
      <c r="A195" s="0" t="n">
        <v>191</v>
      </c>
      <c r="B195" s="4" t="s">
        <v>376</v>
      </c>
      <c r="C195" s="5" t="s">
        <v>118</v>
      </c>
      <c r="D195" s="35" t="n">
        <v>12</v>
      </c>
      <c r="E195" s="35" t="n">
        <v>21</v>
      </c>
      <c r="F195" s="35" t="n">
        <v>2</v>
      </c>
      <c r="G195" s="35" t="n">
        <v>5</v>
      </c>
      <c r="H195" s="35" t="n">
        <v>35</v>
      </c>
      <c r="I195" s="5" t="n">
        <f aca="false">SUM(D195:H195)</f>
        <v>75</v>
      </c>
      <c r="J195" s="10" t="n">
        <f aca="false">IF($I195=0,0,D195/$I195)</f>
        <v>0.16</v>
      </c>
      <c r="K195" s="10" t="n">
        <f aca="false">IF($I195=0,0,E195/$I195)</f>
        <v>0.28</v>
      </c>
      <c r="L195" s="10" t="n">
        <f aca="false">IF($I195=0,0,F195/$I195)</f>
        <v>0.0266666666666667</v>
      </c>
      <c r="M195" s="10" t="n">
        <f aca="false">IF($I195=0,0,G195/$I195)</f>
        <v>0.0666666666666667</v>
      </c>
      <c r="N195" s="10" t="n">
        <f aca="false">IF($I195=0,0,H195/$I195)</f>
        <v>0.466666666666667</v>
      </c>
      <c r="O195" s="35" t="s">
        <v>3</v>
      </c>
      <c r="P195" s="0" t="str">
        <f aca="false">IF(O195="TVK","TVK",IF(O195="DMK","DMK+",IF(O195="ADMK","AIADMK+","")))</f>
        <v>TVK</v>
      </c>
      <c r="Q195" s="35" t="s">
        <v>3</v>
      </c>
      <c r="R195" s="36" t="s">
        <v>3</v>
      </c>
      <c r="S195" s="0" t="str">
        <f aca="false">IF(P195=R195,"Yes","No")</f>
        <v>Yes</v>
      </c>
      <c r="T195" s="2"/>
      <c r="U195" s="27" t="n">
        <f aca="false">IFERROR(SUMIFS($D$5:$D$238,$C$5:$C$238,$C195)/SUMIFS($I$5:$I$238,$C$5:$C$238,$C195),0)</f>
        <v>0.229571984435798</v>
      </c>
      <c r="V195" s="27" t="n">
        <f aca="false">IFERROR(SUMIFS($E$5:$E$238,$C$5:$C$238,$C195)/SUMIFS($I$5:$I$238,$C$5:$C$238,$C195),0)</f>
        <v>0.303501945525292</v>
      </c>
      <c r="W195" s="27" t="n">
        <f aca="false">IFERROR(SUMIFS($F$5:$F$238,$C$5:$C$238,$C195)/SUMIFS($I$5:$I$238,$C$5:$C$238,$C195),0)</f>
        <v>0.00389105058365759</v>
      </c>
      <c r="X195" s="27" t="n">
        <f aca="false">IFERROR(SUMIFS($G$5:$G$238,$C$5:$C$238,$C195)/SUMIFS($I$5:$I$238,$C$5:$C$238,$C195),0)</f>
        <v>0.105058365758755</v>
      </c>
      <c r="Y195" s="27" t="n">
        <f aca="false">IFERROR(SUMIFS($H$5:$H$238,$C$5:$C$238,$C195)/SUMIFS($I$5:$I$238,$C$5:$C$238,$C195),0)</f>
        <v>0.357976653696498</v>
      </c>
      <c r="Z195" s="24" t="n">
        <f aca="false">LN(MAX(I195,1))</f>
        <v>4.31748811353631</v>
      </c>
      <c r="AA195" s="24" t="n">
        <f aca="false">Calibration!$M$35+Calibration!$N$35+SUMPRODUCT(Calibration!$B$35:$F$35,J195:N195)+SUMPRODUCT(Calibration!$G$35:$K$35,U195:Y195)+Calibration!$L$35*Z195</f>
        <v>-0.29997785265669</v>
      </c>
      <c r="AB195" s="24" t="n">
        <f aca="false">Calibration!$M$36+Calibration!$N$36+SUMPRODUCT(Calibration!$B$36:$F$36,J195:N195)+SUMPRODUCT(Calibration!$G$36:$K$36,U195:Y195)+Calibration!$L$36*Z195</f>
        <v>0.0676480687825229</v>
      </c>
      <c r="AC195" s="24" t="n">
        <f aca="false">Calibration!$M$37+Calibration!$N$37+SUMPRODUCT(Calibration!$B$37:$F$37,J195:N195)+SUMPRODUCT(Calibration!$G$37:$K$37,U195:Y195)+Calibration!$L$37*Z195</f>
        <v>1.05733055404278</v>
      </c>
      <c r="AD195" s="27" t="n">
        <f aca="false">EXP(AC195)/(EXP(AA195)+EXP(AB195)+EXP(AC195))</f>
        <v>0.613855746353921</v>
      </c>
      <c r="AE195" s="7" t="str">
        <f aca="false">IF(AC195=MAX(AA195:AC195),"TVK",IF(AB195=MAX(AA195:AC195),"DMK+","AIADMK+"))</f>
        <v>TVK</v>
      </c>
      <c r="AF195" s="7" t="str">
        <f aca="false">IF(AE195=R195,"Yes","No")</f>
        <v>Yes</v>
      </c>
      <c r="AG195" s="7" t="str">
        <f aca="false">IF(AE195=P195,"No","Yes")</f>
        <v>No</v>
      </c>
      <c r="AH195" s="7" t="str">
        <f aca="false">IF(H195=MAX(D195,E195,H195),"TVK",IF(E195=MAX(D195,E195,H195),"DMK+","AIADMK+"))</f>
        <v>TVK</v>
      </c>
      <c r="AI195" s="27" t="n">
        <f aca="false">EXP(AA195)/(EXP(AA195)+EXP(AB195)+EXP(AC195))</f>
        <v>0.157977331790386</v>
      </c>
      <c r="AJ195" s="27" t="n">
        <f aca="false">EXP(AB195)/(EXP(AA195)+EXP(AB195)+EXP(AC195))</f>
        <v>0.228166921855693</v>
      </c>
      <c r="AK195" s="28" t="s">
        <v>3</v>
      </c>
      <c r="AL195" s="7" t="str">
        <f aca="false">IF(AK195=R195,"Yes","No")</f>
        <v>Yes</v>
      </c>
      <c r="AM195" s="27" t="n">
        <f aca="false">IF(AK195="TVK",AD195,IF(AK195="DMK+",AJ195,AI195))</f>
        <v>0.613855746353921</v>
      </c>
      <c r="AN195" s="7" t="str">
        <f aca="false">IF(AK195=P195,"No","Yes")</f>
        <v>No</v>
      </c>
    </row>
    <row r="196" customFormat="false" ht="15" hidden="true" customHeight="false" outlineLevel="0" collapsed="false">
      <c r="A196" s="0" t="n">
        <v>192</v>
      </c>
      <c r="B196" s="4" t="s">
        <v>377</v>
      </c>
      <c r="C196" s="5" t="s">
        <v>118</v>
      </c>
      <c r="D196" s="35" t="n">
        <v>29</v>
      </c>
      <c r="E196" s="35" t="n">
        <v>16</v>
      </c>
      <c r="F196" s="35"/>
      <c r="G196" s="35" t="n">
        <v>9</v>
      </c>
      <c r="H196" s="35" t="n">
        <v>25</v>
      </c>
      <c r="I196" s="5" t="n">
        <f aca="false">SUM(D196:H196)</f>
        <v>79</v>
      </c>
      <c r="J196" s="10" t="n">
        <f aca="false">IF($I196=0,0,D196/$I196)</f>
        <v>0.367088607594937</v>
      </c>
      <c r="K196" s="10" t="n">
        <f aca="false">IF($I196=0,0,E196/$I196)</f>
        <v>0.20253164556962</v>
      </c>
      <c r="L196" s="10" t="n">
        <f aca="false">IF($I196=0,0,F196/$I196)</f>
        <v>0</v>
      </c>
      <c r="M196" s="10" t="n">
        <f aca="false">IF($I196=0,0,G196/$I196)</f>
        <v>0.113924050632911</v>
      </c>
      <c r="N196" s="10" t="n">
        <f aca="false">IF($I196=0,0,H196/$I196)</f>
        <v>0.316455696202532</v>
      </c>
      <c r="O196" s="35" t="s">
        <v>218</v>
      </c>
      <c r="P196" s="0" t="str">
        <f aca="false">IF(O196="TVK","TVK",IF(O196="DMK","DMK+",IF(O196="ADMK","AIADMK+","")))</f>
        <v>AIADMK+</v>
      </c>
      <c r="Q196" s="35" t="s">
        <v>3</v>
      </c>
      <c r="R196" s="36" t="s">
        <v>3</v>
      </c>
      <c r="S196" s="0" t="str">
        <f aca="false">IF(P196=R196,"Yes","No")</f>
        <v>No</v>
      </c>
      <c r="T196" s="2"/>
      <c r="U196" s="27" t="n">
        <f aca="false">IFERROR(SUMIFS($D$5:$D$238,$C$5:$C$238,$C196)/SUMIFS($I$5:$I$238,$C$5:$C$238,$C196),0)</f>
        <v>0.229571984435798</v>
      </c>
      <c r="V196" s="27" t="n">
        <f aca="false">IFERROR(SUMIFS($E$5:$E$238,$C$5:$C$238,$C196)/SUMIFS($I$5:$I$238,$C$5:$C$238,$C196),0)</f>
        <v>0.303501945525292</v>
      </c>
      <c r="W196" s="27" t="n">
        <f aca="false">IFERROR(SUMIFS($F$5:$F$238,$C$5:$C$238,$C196)/SUMIFS($I$5:$I$238,$C$5:$C$238,$C196),0)</f>
        <v>0.00389105058365759</v>
      </c>
      <c r="X196" s="27" t="n">
        <f aca="false">IFERROR(SUMIFS($G$5:$G$238,$C$5:$C$238,$C196)/SUMIFS($I$5:$I$238,$C$5:$C$238,$C196),0)</f>
        <v>0.105058365758755</v>
      </c>
      <c r="Y196" s="27" t="n">
        <f aca="false">IFERROR(SUMIFS($H$5:$H$238,$C$5:$C$238,$C196)/SUMIFS($I$5:$I$238,$C$5:$C$238,$C196),0)</f>
        <v>0.357976653696498</v>
      </c>
      <c r="Z196" s="24" t="n">
        <f aca="false">LN(MAX(I196,1))</f>
        <v>4.36944785246702</v>
      </c>
      <c r="AA196" s="24" t="n">
        <f aca="false">Calibration!$M$35+Calibration!$N$35+SUMPRODUCT(Calibration!$B$35:$F$35,J196:N196)+SUMPRODUCT(Calibration!$G$35:$K$35,U196:Y196)+Calibration!$L$35*Z196</f>
        <v>-0.0588110308037</v>
      </c>
      <c r="AB196" s="24" t="n">
        <f aca="false">Calibration!$M$36+Calibration!$N$36+SUMPRODUCT(Calibration!$B$36:$F$36,J196:N196)+SUMPRODUCT(Calibration!$G$36:$K$36,U196:Y196)+Calibration!$L$36*Z196</f>
        <v>-0.160693992907771</v>
      </c>
      <c r="AC196" s="24" t="n">
        <f aca="false">Calibration!$M$37+Calibration!$N$37+SUMPRODUCT(Calibration!$B$37:$F$37,J196:N196)+SUMPRODUCT(Calibration!$G$37:$K$37,U196:Y196)+Calibration!$L$37*Z196</f>
        <v>1.04450564366911</v>
      </c>
      <c r="AD196" s="27" t="n">
        <f aca="false">EXP(AC196)/(EXP(AA196)+EXP(AB196)+EXP(AC196))</f>
        <v>0.612970055234239</v>
      </c>
      <c r="AE196" s="7" t="str">
        <f aca="false">IF(AC196=MAX(AA196:AC196),"TVK",IF(AB196=MAX(AA196:AC196),"DMK+","AIADMK+"))</f>
        <v>TVK</v>
      </c>
      <c r="AF196" s="7" t="str">
        <f aca="false">IF(AE196=R196,"Yes","No")</f>
        <v>Yes</v>
      </c>
      <c r="AG196" s="7" t="str">
        <f aca="false">IF(AE196=P196,"No","Yes")</f>
        <v>Yes</v>
      </c>
      <c r="AH196" s="7" t="str">
        <f aca="false">IF(H196=MAX(D196,E196,H196),"TVK",IF(E196=MAX(D196,E196,H196),"DMK+","AIADMK+"))</f>
        <v>AIADMK+</v>
      </c>
      <c r="AI196" s="27" t="n">
        <f aca="false">EXP(AA196)/(EXP(AA196)+EXP(AB196)+EXP(AC196))</f>
        <v>0.203364393293071</v>
      </c>
      <c r="AJ196" s="27" t="n">
        <f aca="false">EXP(AB196)/(EXP(AA196)+EXP(AB196)+EXP(AC196))</f>
        <v>0.18366555147269</v>
      </c>
      <c r="AK196" s="28" t="s">
        <v>3</v>
      </c>
      <c r="AL196" s="7" t="str">
        <f aca="false">IF(AK196=R196,"Yes","No")</f>
        <v>Yes</v>
      </c>
      <c r="AM196" s="27" t="n">
        <f aca="false">IF(AK196="TVK",AD196,IF(AK196="DMK+",AJ196,AI196))</f>
        <v>0.612970055234239</v>
      </c>
      <c r="AN196" s="7" t="str">
        <f aca="false">IF(AK196=P196,"No","Yes")</f>
        <v>Yes</v>
      </c>
    </row>
    <row r="197" customFormat="false" ht="15" hidden="true" customHeight="false" outlineLevel="0" collapsed="false">
      <c r="A197" s="0" t="n">
        <v>193</v>
      </c>
      <c r="B197" s="4" t="s">
        <v>378</v>
      </c>
      <c r="C197" s="5" t="s">
        <v>118</v>
      </c>
      <c r="D197" s="35" t="n">
        <v>12</v>
      </c>
      <c r="E197" s="35" t="n">
        <v>17</v>
      </c>
      <c r="F197" s="35"/>
      <c r="G197" s="35" t="n">
        <v>4</v>
      </c>
      <c r="H197" s="35" t="n">
        <v>11</v>
      </c>
      <c r="I197" s="5" t="n">
        <f aca="false">SUM(D197:H197)</f>
        <v>44</v>
      </c>
      <c r="J197" s="10" t="n">
        <f aca="false">IF($I197=0,0,D197/$I197)</f>
        <v>0.272727272727273</v>
      </c>
      <c r="K197" s="10" t="n">
        <f aca="false">IF($I197=0,0,E197/$I197)</f>
        <v>0.386363636363636</v>
      </c>
      <c r="L197" s="10" t="n">
        <f aca="false">IF($I197=0,0,F197/$I197)</f>
        <v>0</v>
      </c>
      <c r="M197" s="10" t="n">
        <f aca="false">IF($I197=0,0,G197/$I197)</f>
        <v>0.0909090909090909</v>
      </c>
      <c r="N197" s="10" t="n">
        <f aca="false">IF($I197=0,0,H197/$I197)</f>
        <v>0.25</v>
      </c>
      <c r="O197" s="35" t="s">
        <v>197</v>
      </c>
      <c r="P197" s="0" t="str">
        <f aca="false">IF(O197="TVK","TVK",IF(O197="DMK","DMK+",IF(O197="ADMK","AIADMK+","")))</f>
        <v>DMK+</v>
      </c>
      <c r="Q197" s="35" t="s">
        <v>3</v>
      </c>
      <c r="R197" s="36" t="s">
        <v>3</v>
      </c>
      <c r="S197" s="0" t="str">
        <f aca="false">IF(P197=R197,"Yes","No")</f>
        <v>No</v>
      </c>
      <c r="T197" s="2"/>
      <c r="U197" s="27" t="n">
        <f aca="false">IFERROR(SUMIFS($D$5:$D$238,$C$5:$C$238,$C197)/SUMIFS($I$5:$I$238,$C$5:$C$238,$C197),0)</f>
        <v>0.229571984435798</v>
      </c>
      <c r="V197" s="27" t="n">
        <f aca="false">IFERROR(SUMIFS($E$5:$E$238,$C$5:$C$238,$C197)/SUMIFS($I$5:$I$238,$C$5:$C$238,$C197),0)</f>
        <v>0.303501945525292</v>
      </c>
      <c r="W197" s="27" t="n">
        <f aca="false">IFERROR(SUMIFS($F$5:$F$238,$C$5:$C$238,$C197)/SUMIFS($I$5:$I$238,$C$5:$C$238,$C197),0)</f>
        <v>0.00389105058365759</v>
      </c>
      <c r="X197" s="27" t="n">
        <f aca="false">IFERROR(SUMIFS($G$5:$G$238,$C$5:$C$238,$C197)/SUMIFS($I$5:$I$238,$C$5:$C$238,$C197),0)</f>
        <v>0.105058365758755</v>
      </c>
      <c r="Y197" s="27" t="n">
        <f aca="false">IFERROR(SUMIFS($H$5:$H$238,$C$5:$C$238,$C197)/SUMIFS($I$5:$I$238,$C$5:$C$238,$C197),0)</f>
        <v>0.357976653696498</v>
      </c>
      <c r="Z197" s="24" t="n">
        <f aca="false">LN(MAX(I197,1))</f>
        <v>3.78418963391826</v>
      </c>
      <c r="AA197" s="24" t="n">
        <f aca="false">Calibration!$M$35+Calibration!$N$35+SUMPRODUCT(Calibration!$B$35:$F$35,J197:N197)+SUMPRODUCT(Calibration!$G$35:$K$35,U197:Y197)+Calibration!$L$35*Z197</f>
        <v>0.0401777115698527</v>
      </c>
      <c r="AB197" s="24" t="n">
        <f aca="false">Calibration!$M$36+Calibration!$N$36+SUMPRODUCT(Calibration!$B$36:$F$36,J197:N197)+SUMPRODUCT(Calibration!$G$36:$K$36,U197:Y197)+Calibration!$L$36*Z197</f>
        <v>0.496507252915703</v>
      </c>
      <c r="AC197" s="24" t="n">
        <f aca="false">Calibration!$M$37+Calibration!$N$37+SUMPRODUCT(Calibration!$B$37:$F$37,J197:N197)+SUMPRODUCT(Calibration!$G$37:$K$37,U197:Y197)+Calibration!$L$37*Z197</f>
        <v>0.28831558901639</v>
      </c>
      <c r="AD197" s="27" t="n">
        <f aca="false">EXP(AC197)/(EXP(AA197)+EXP(AB197)+EXP(AC197))</f>
        <v>0.332038215182593</v>
      </c>
      <c r="AE197" s="7" t="str">
        <f aca="false">IF(AC197=MAX(AA197:AC197),"TVK",IF(AB197=MAX(AA197:AC197),"DMK+","AIADMK+"))</f>
        <v>DMK+</v>
      </c>
      <c r="AF197" s="7" t="str">
        <f aca="false">IF(AE197=R197,"Yes","No")</f>
        <v>No</v>
      </c>
      <c r="AG197" s="7" t="str">
        <f aca="false">IF(AE197=P197,"No","Yes")</f>
        <v>No</v>
      </c>
      <c r="AH197" s="7" t="str">
        <f aca="false">IF(H197=MAX(D197,E197,H197),"TVK",IF(E197=MAX(D197,E197,H197),"DMK+","AIADMK+"))</f>
        <v>DMK+</v>
      </c>
      <c r="AI197" s="27" t="n">
        <f aca="false">EXP(AA197)/(EXP(AA197)+EXP(AB197)+EXP(AC197))</f>
        <v>0.259073599896977</v>
      </c>
      <c r="AJ197" s="27" t="n">
        <f aca="false">EXP(AB197)/(EXP(AA197)+EXP(AB197)+EXP(AC197))</f>
        <v>0.40888818492043</v>
      </c>
      <c r="AK197" s="28" t="s">
        <v>3</v>
      </c>
      <c r="AL197" s="7" t="str">
        <f aca="false">IF(AK197=R197,"Yes","No")</f>
        <v>Yes</v>
      </c>
      <c r="AM197" s="27" t="n">
        <f aca="false">IF(AK197="TVK",AD197,IF(AK197="DMK+",AJ197,AI197))</f>
        <v>0.332038215182593</v>
      </c>
      <c r="AN197" s="7" t="str">
        <f aca="false">IF(AK197=P197,"No","Yes")</f>
        <v>Yes</v>
      </c>
    </row>
    <row r="198" customFormat="false" ht="15" hidden="true" customHeight="false" outlineLevel="0" collapsed="false">
      <c r="A198" s="0" t="n">
        <v>194</v>
      </c>
      <c r="B198" s="4" t="s">
        <v>379</v>
      </c>
      <c r="C198" s="5" t="s">
        <v>118</v>
      </c>
      <c r="D198" s="35" t="n">
        <v>10</v>
      </c>
      <c r="E198" s="35" t="n">
        <v>16</v>
      </c>
      <c r="F198" s="35"/>
      <c r="G198" s="35"/>
      <c r="H198" s="35" t="n">
        <v>13</v>
      </c>
      <c r="I198" s="5" t="n">
        <f aca="false">SUM(D198:H198)</f>
        <v>39</v>
      </c>
      <c r="J198" s="10" t="n">
        <f aca="false">IF($I198=0,0,D198/$I198)</f>
        <v>0.256410256410256</v>
      </c>
      <c r="K198" s="10" t="n">
        <f aca="false">IF($I198=0,0,E198/$I198)</f>
        <v>0.41025641025641</v>
      </c>
      <c r="L198" s="10" t="n">
        <f aca="false">IF($I198=0,0,F198/$I198)</f>
        <v>0</v>
      </c>
      <c r="M198" s="10" t="n">
        <f aca="false">IF($I198=0,0,G198/$I198)</f>
        <v>0</v>
      </c>
      <c r="N198" s="10" t="n">
        <f aca="false">IF($I198=0,0,H198/$I198)</f>
        <v>0.333333333333333</v>
      </c>
      <c r="O198" s="35" t="s">
        <v>197</v>
      </c>
      <c r="P198" s="0" t="str">
        <f aca="false">IF(O198="TVK","TVK",IF(O198="DMK","DMK+",IF(O198="ADMK","AIADMK+","")))</f>
        <v>DMK+</v>
      </c>
      <c r="Q198" s="35" t="s">
        <v>3</v>
      </c>
      <c r="R198" s="36" t="s">
        <v>3</v>
      </c>
      <c r="S198" s="0" t="str">
        <f aca="false">IF(P198=R198,"Yes","No")</f>
        <v>No</v>
      </c>
      <c r="T198" s="2"/>
      <c r="U198" s="27" t="n">
        <f aca="false">IFERROR(SUMIFS($D$5:$D$238,$C$5:$C$238,$C198)/SUMIFS($I$5:$I$238,$C$5:$C$238,$C198),0)</f>
        <v>0.229571984435798</v>
      </c>
      <c r="V198" s="27" t="n">
        <f aca="false">IFERROR(SUMIFS($E$5:$E$238,$C$5:$C$238,$C198)/SUMIFS($I$5:$I$238,$C$5:$C$238,$C198),0)</f>
        <v>0.303501945525292</v>
      </c>
      <c r="W198" s="27" t="n">
        <f aca="false">IFERROR(SUMIFS($F$5:$F$238,$C$5:$C$238,$C198)/SUMIFS($I$5:$I$238,$C$5:$C$238,$C198),0)</f>
        <v>0.00389105058365759</v>
      </c>
      <c r="X198" s="27" t="n">
        <f aca="false">IFERROR(SUMIFS($G$5:$G$238,$C$5:$C$238,$C198)/SUMIFS($I$5:$I$238,$C$5:$C$238,$C198),0)</f>
        <v>0.105058365758755</v>
      </c>
      <c r="Y198" s="27" t="n">
        <f aca="false">IFERROR(SUMIFS($H$5:$H$238,$C$5:$C$238,$C198)/SUMIFS($I$5:$I$238,$C$5:$C$238,$C198),0)</f>
        <v>0.357976653696498</v>
      </c>
      <c r="Z198" s="24" t="n">
        <f aca="false">LN(MAX(I198,1))</f>
        <v>3.66356164612965</v>
      </c>
      <c r="AA198" s="24" t="n">
        <f aca="false">Calibration!$M$35+Calibration!$N$35+SUMPRODUCT(Calibration!$B$35:$F$35,J198:N198)+SUMPRODUCT(Calibration!$G$35:$K$35,U198:Y198)+Calibration!$L$35*Z198</f>
        <v>0.0525037987518768</v>
      </c>
      <c r="AB198" s="24" t="n">
        <f aca="false">Calibration!$M$36+Calibration!$N$36+SUMPRODUCT(Calibration!$B$36:$F$36,J198:N198)+SUMPRODUCT(Calibration!$G$36:$K$36,U198:Y198)+Calibration!$L$36*Z198</f>
        <v>0.569967825774179</v>
      </c>
      <c r="AC198" s="24" t="n">
        <f aca="false">Calibration!$M$37+Calibration!$N$37+SUMPRODUCT(Calibration!$B$37:$F$37,J198:N198)+SUMPRODUCT(Calibration!$G$37:$K$37,U198:Y198)+Calibration!$L$37*Z198</f>
        <v>0.202529012309223</v>
      </c>
      <c r="AD198" s="27" t="n">
        <f aca="false">EXP(AC198)/(EXP(AA198)+EXP(AB198)+EXP(AC198))</f>
        <v>0.302597706072954</v>
      </c>
      <c r="AE198" s="7" t="str">
        <f aca="false">IF(AC198=MAX(AA198:AC198),"TVK",IF(AB198=MAX(AA198:AC198),"DMK+","AIADMK+"))</f>
        <v>DMK+</v>
      </c>
      <c r="AF198" s="7" t="str">
        <f aca="false">IF(AE198=R198,"Yes","No")</f>
        <v>No</v>
      </c>
      <c r="AG198" s="7" t="str">
        <f aca="false">IF(AE198=P198,"No","Yes")</f>
        <v>No</v>
      </c>
      <c r="AH198" s="7" t="str">
        <f aca="false">IF(H198=MAX(D198,E198,H198),"TVK",IF(E198=MAX(D198,E198,H198),"DMK+","AIADMK+"))</f>
        <v>DMK+</v>
      </c>
      <c r="AI198" s="27" t="n">
        <f aca="false">EXP(AA198)/(EXP(AA198)+EXP(AB198)+EXP(AC198))</f>
        <v>0.260441692520581</v>
      </c>
      <c r="AJ198" s="27" t="n">
        <f aca="false">EXP(AB198)/(EXP(AA198)+EXP(AB198)+EXP(AC198))</f>
        <v>0.436960601406465</v>
      </c>
      <c r="AK198" s="28" t="s">
        <v>5</v>
      </c>
      <c r="AL198" s="7" t="str">
        <f aca="false">IF(AK198=R198,"Yes","No")</f>
        <v>No</v>
      </c>
      <c r="AM198" s="27" t="n">
        <f aca="false">IF(AK198="TVK",AD198,IF(AK198="DMK+",AJ198,AI198))</f>
        <v>0.436960601406465</v>
      </c>
      <c r="AN198" s="7" t="str">
        <f aca="false">IF(AK198=P198,"No","Yes")</f>
        <v>No</v>
      </c>
    </row>
    <row r="199" customFormat="false" ht="15" hidden="false" customHeight="false" outlineLevel="0" collapsed="false">
      <c r="A199" s="0" t="n">
        <v>195</v>
      </c>
      <c r="B199" s="4" t="s">
        <v>380</v>
      </c>
      <c r="C199" s="5" t="s">
        <v>118</v>
      </c>
      <c r="D199" s="35" t="n">
        <v>10</v>
      </c>
      <c r="E199" s="35" t="n">
        <v>16</v>
      </c>
      <c r="F199" s="35"/>
      <c r="G199" s="35" t="n">
        <v>6</v>
      </c>
      <c r="H199" s="35" t="n">
        <v>29</v>
      </c>
      <c r="I199" s="5" t="n">
        <f aca="false">SUM(D199:H199)</f>
        <v>61</v>
      </c>
      <c r="J199" s="10" t="n">
        <f aca="false">IF($I199=0,0,D199/$I199)</f>
        <v>0.163934426229508</v>
      </c>
      <c r="K199" s="10" t="n">
        <f aca="false">IF($I199=0,0,E199/$I199)</f>
        <v>0.262295081967213</v>
      </c>
      <c r="L199" s="10" t="n">
        <f aca="false">IF($I199=0,0,F199/$I199)</f>
        <v>0</v>
      </c>
      <c r="M199" s="10" t="n">
        <f aca="false">IF($I199=0,0,G199/$I199)</f>
        <v>0.0983606557377049</v>
      </c>
      <c r="N199" s="10" t="n">
        <f aca="false">IF($I199=0,0,H199/$I199)</f>
        <v>0.475409836065574</v>
      </c>
      <c r="O199" s="35" t="s">
        <v>3</v>
      </c>
      <c r="P199" s="0" t="str">
        <f aca="false">IF(O199="TVK","TVK",IF(O199="DMK","DMK+",IF(O199="ADMK","AIADMK+","")))</f>
        <v>TVK</v>
      </c>
      <c r="Q199" s="35" t="s">
        <v>3</v>
      </c>
      <c r="R199" s="36" t="s">
        <v>3</v>
      </c>
      <c r="S199" s="0" t="str">
        <f aca="false">IF(P199=R199,"Yes","No")</f>
        <v>Yes</v>
      </c>
      <c r="T199" s="2"/>
      <c r="U199" s="27" t="n">
        <f aca="false">IFERROR(SUMIFS($D$5:$D$238,$C$5:$C$238,$C199)/SUMIFS($I$5:$I$238,$C$5:$C$238,$C199),0)</f>
        <v>0.229571984435798</v>
      </c>
      <c r="V199" s="27" t="n">
        <f aca="false">IFERROR(SUMIFS($E$5:$E$238,$C$5:$C$238,$C199)/SUMIFS($I$5:$I$238,$C$5:$C$238,$C199),0)</f>
        <v>0.303501945525292</v>
      </c>
      <c r="W199" s="27" t="n">
        <f aca="false">IFERROR(SUMIFS($F$5:$F$238,$C$5:$C$238,$C199)/SUMIFS($I$5:$I$238,$C$5:$C$238,$C199),0)</f>
        <v>0.00389105058365759</v>
      </c>
      <c r="X199" s="27" t="n">
        <f aca="false">IFERROR(SUMIFS($G$5:$G$238,$C$5:$C$238,$C199)/SUMIFS($I$5:$I$238,$C$5:$C$238,$C199),0)</f>
        <v>0.105058365758755</v>
      </c>
      <c r="Y199" s="27" t="n">
        <f aca="false">IFERROR(SUMIFS($H$5:$H$238,$C$5:$C$238,$C199)/SUMIFS($I$5:$I$238,$C$5:$C$238,$C199),0)</f>
        <v>0.357976653696498</v>
      </c>
      <c r="Z199" s="24" t="n">
        <f aca="false">LN(MAX(I199,1))</f>
        <v>4.11087386417331</v>
      </c>
      <c r="AA199" s="24" t="n">
        <f aca="false">Calibration!$M$35+Calibration!$N$35+SUMPRODUCT(Calibration!$B$35:$F$35,J199:N199)+SUMPRODUCT(Calibration!$G$35:$K$35,U199:Y199)+Calibration!$L$35*Z199</f>
        <v>-0.178251155722476</v>
      </c>
      <c r="AB199" s="24" t="n">
        <f aca="false">Calibration!$M$36+Calibration!$N$36+SUMPRODUCT(Calibration!$B$36:$F$36,J199:N199)+SUMPRODUCT(Calibration!$G$36:$K$36,U199:Y199)+Calibration!$L$36*Z199</f>
        <v>0.17589689600346</v>
      </c>
      <c r="AC199" s="24" t="n">
        <f aca="false">Calibration!$M$37+Calibration!$N$37+SUMPRODUCT(Calibration!$B$37:$F$37,J199:N199)+SUMPRODUCT(Calibration!$G$37:$K$37,U199:Y199)+Calibration!$L$37*Z199</f>
        <v>0.827355038630797</v>
      </c>
      <c r="AD199" s="27" t="n">
        <f aca="false">EXP(AC199)/(EXP(AA199)+EXP(AB199)+EXP(AC199))</f>
        <v>0.52991139948821</v>
      </c>
      <c r="AE199" s="7" t="str">
        <f aca="false">IF(AC199=MAX(AA199:AC199),"TVK",IF(AB199=MAX(AA199:AC199),"DMK+","AIADMK+"))</f>
        <v>TVK</v>
      </c>
      <c r="AF199" s="7" t="str">
        <f aca="false">IF(AE199=R199,"Yes","No")</f>
        <v>Yes</v>
      </c>
      <c r="AG199" s="7" t="str">
        <f aca="false">IF(AE199=P199,"No","Yes")</f>
        <v>No</v>
      </c>
      <c r="AH199" s="7" t="str">
        <f aca="false">IF(H199=MAX(D199,E199,H199),"TVK",IF(E199=MAX(D199,E199,H199),"DMK+","AIADMK+"))</f>
        <v>TVK</v>
      </c>
      <c r="AI199" s="27" t="n">
        <f aca="false">EXP(AA199)/(EXP(AA199)+EXP(AB199)+EXP(AC199))</f>
        <v>0.193853676075291</v>
      </c>
      <c r="AJ199" s="27" t="n">
        <f aca="false">EXP(AB199)/(EXP(AA199)+EXP(AB199)+EXP(AC199))</f>
        <v>0.276234924436499</v>
      </c>
      <c r="AK199" s="28" t="s">
        <v>3</v>
      </c>
      <c r="AL199" s="7" t="str">
        <f aca="false">IF(AK199=R199,"Yes","No")</f>
        <v>Yes</v>
      </c>
      <c r="AM199" s="27" t="n">
        <f aca="false">IF(AK199="TVK",AD199,IF(AK199="DMK+",AJ199,AI199))</f>
        <v>0.52991139948821</v>
      </c>
      <c r="AN199" s="7" t="str">
        <f aca="false">IF(AK199=P199,"No","Yes")</f>
        <v>No</v>
      </c>
    </row>
    <row r="200" customFormat="false" ht="15" hidden="false" customHeight="false" outlineLevel="0" collapsed="false">
      <c r="A200" s="0" t="n">
        <v>196</v>
      </c>
      <c r="B200" s="4" t="s">
        <v>381</v>
      </c>
      <c r="C200" s="5" t="s">
        <v>118</v>
      </c>
      <c r="D200" s="35" t="n">
        <v>7</v>
      </c>
      <c r="E200" s="35" t="n">
        <v>9</v>
      </c>
      <c r="F200" s="35"/>
      <c r="G200" s="35" t="n">
        <v>3</v>
      </c>
      <c r="H200" s="35" t="n">
        <v>16</v>
      </c>
      <c r="I200" s="5" t="n">
        <f aca="false">SUM(D200:H200)</f>
        <v>35</v>
      </c>
      <c r="J200" s="10" t="n">
        <f aca="false">IF($I200=0,0,D200/$I200)</f>
        <v>0.2</v>
      </c>
      <c r="K200" s="10" t="n">
        <f aca="false">IF($I200=0,0,E200/$I200)</f>
        <v>0.257142857142857</v>
      </c>
      <c r="L200" s="10" t="n">
        <f aca="false">IF($I200=0,0,F200/$I200)</f>
        <v>0</v>
      </c>
      <c r="M200" s="10" t="n">
        <f aca="false">IF($I200=0,0,G200/$I200)</f>
        <v>0.0857142857142857</v>
      </c>
      <c r="N200" s="10" t="n">
        <f aca="false">IF($I200=0,0,H200/$I200)</f>
        <v>0.457142857142857</v>
      </c>
      <c r="O200" s="35" t="s">
        <v>3</v>
      </c>
      <c r="P200" s="0" t="str">
        <f aca="false">IF(O200="TVK","TVK",IF(O200="DMK","DMK+",IF(O200="ADMK","AIADMK+","")))</f>
        <v>TVK</v>
      </c>
      <c r="Q200" s="35" t="s">
        <v>197</v>
      </c>
      <c r="R200" s="36" t="s">
        <v>5</v>
      </c>
      <c r="S200" s="0" t="str">
        <f aca="false">IF(P200=R200,"Yes","No")</f>
        <v>No</v>
      </c>
      <c r="T200" s="2"/>
      <c r="U200" s="27" t="n">
        <f aca="false">IFERROR(SUMIFS($D$5:$D$238,$C$5:$C$238,$C200)/SUMIFS($I$5:$I$238,$C$5:$C$238,$C200),0)</f>
        <v>0.229571984435798</v>
      </c>
      <c r="V200" s="27" t="n">
        <f aca="false">IFERROR(SUMIFS($E$5:$E$238,$C$5:$C$238,$C200)/SUMIFS($I$5:$I$238,$C$5:$C$238,$C200),0)</f>
        <v>0.303501945525292</v>
      </c>
      <c r="W200" s="27" t="n">
        <f aca="false">IFERROR(SUMIFS($F$5:$F$238,$C$5:$C$238,$C200)/SUMIFS($I$5:$I$238,$C$5:$C$238,$C200),0)</f>
        <v>0.00389105058365759</v>
      </c>
      <c r="X200" s="27" t="n">
        <f aca="false">IFERROR(SUMIFS($G$5:$G$238,$C$5:$C$238,$C200)/SUMIFS($I$5:$I$238,$C$5:$C$238,$C200),0)</f>
        <v>0.105058365758755</v>
      </c>
      <c r="Y200" s="27" t="n">
        <f aca="false">IFERROR(SUMIFS($H$5:$H$238,$C$5:$C$238,$C200)/SUMIFS($I$5:$I$238,$C$5:$C$238,$C200),0)</f>
        <v>0.357976653696498</v>
      </c>
      <c r="Z200" s="24" t="n">
        <f aca="false">LN(MAX(I200,1))</f>
        <v>3.55534806148941</v>
      </c>
      <c r="AA200" s="24" t="n">
        <f aca="false">Calibration!$M$35+Calibration!$N$35+SUMPRODUCT(Calibration!$B$35:$F$35,J200:N200)+SUMPRODUCT(Calibration!$G$35:$K$35,U200:Y200)+Calibration!$L$35*Z200</f>
        <v>0.15094177105794</v>
      </c>
      <c r="AB200" s="24" t="n">
        <f aca="false">Calibration!$M$36+Calibration!$N$36+SUMPRODUCT(Calibration!$B$36:$F$36,J200:N200)+SUMPRODUCT(Calibration!$G$36:$K$36,U200:Y200)+Calibration!$L$36*Z200</f>
        <v>0.488397137988703</v>
      </c>
      <c r="AC200" s="24" t="n">
        <f aca="false">Calibration!$M$37+Calibration!$N$37+SUMPRODUCT(Calibration!$B$37:$F$37,J200:N200)+SUMPRODUCT(Calibration!$G$37:$K$37,U200:Y200)+Calibration!$L$37*Z200</f>
        <v>0.18566185159816</v>
      </c>
      <c r="AD200" s="27" t="n">
        <f aca="false">EXP(AC200)/(EXP(AA200)+EXP(AB200)+EXP(AC200))</f>
        <v>0.301256372397446</v>
      </c>
      <c r="AE200" s="7" t="str">
        <f aca="false">IF(AC200=MAX(AA200:AC200),"TVK",IF(AB200=MAX(AA200:AC200),"DMK+","AIADMK+"))</f>
        <v>DMK+</v>
      </c>
      <c r="AF200" s="7" t="str">
        <f aca="false">IF(AE200=R200,"Yes","No")</f>
        <v>Yes</v>
      </c>
      <c r="AG200" s="7" t="str">
        <f aca="false">IF(AE200=P200,"No","Yes")</f>
        <v>Yes</v>
      </c>
      <c r="AH200" s="7" t="str">
        <f aca="false">IF(H200=MAX(D200,E200,H200),"TVK",IF(E200=MAX(D200,E200,H200),"DMK+","AIADMK+"))</f>
        <v>TVK</v>
      </c>
      <c r="AI200" s="27" t="n">
        <f aca="false">EXP(AA200)/(EXP(AA200)+EXP(AB200)+EXP(AC200))</f>
        <v>0.290976223377694</v>
      </c>
      <c r="AJ200" s="27" t="n">
        <f aca="false">EXP(AB200)/(EXP(AA200)+EXP(AB200)+EXP(AC200))</f>
        <v>0.40776740422486</v>
      </c>
      <c r="AK200" s="28" t="s">
        <v>3</v>
      </c>
      <c r="AL200" s="7" t="str">
        <f aca="false">IF(AK200=R200,"Yes","No")</f>
        <v>No</v>
      </c>
      <c r="AM200" s="27" t="n">
        <f aca="false">IF(AK200="TVK",AD200,IF(AK200="DMK+",AJ200,AI200))</f>
        <v>0.301256372397446</v>
      </c>
      <c r="AN200" s="7" t="str">
        <f aca="false">IF(AK200=P200,"No","Yes")</f>
        <v>No</v>
      </c>
    </row>
    <row r="201" customFormat="false" ht="15" hidden="true" customHeight="false" outlineLevel="0" collapsed="false">
      <c r="A201" s="0" t="n">
        <v>197</v>
      </c>
      <c r="B201" s="4" t="s">
        <v>382</v>
      </c>
      <c r="C201" s="5" t="s">
        <v>118</v>
      </c>
      <c r="D201" s="35" t="n">
        <v>10</v>
      </c>
      <c r="E201" s="35" t="n">
        <v>7</v>
      </c>
      <c r="F201" s="35"/>
      <c r="G201" s="35" t="n">
        <v>11</v>
      </c>
      <c r="H201" s="35" t="n">
        <v>9</v>
      </c>
      <c r="I201" s="5" t="n">
        <f aca="false">SUM(D201:H201)</f>
        <v>37</v>
      </c>
      <c r="J201" s="10" t="n">
        <f aca="false">IF($I201=0,0,D201/$I201)</f>
        <v>0.27027027027027</v>
      </c>
      <c r="K201" s="10" t="n">
        <f aca="false">IF($I201=0,0,E201/$I201)</f>
        <v>0.189189189189189</v>
      </c>
      <c r="L201" s="10" t="n">
        <f aca="false">IF($I201=0,0,F201/$I201)</f>
        <v>0</v>
      </c>
      <c r="M201" s="10" t="n">
        <f aca="false">IF($I201=0,0,G201/$I201)</f>
        <v>0.297297297297297</v>
      </c>
      <c r="N201" s="10" t="n">
        <f aca="false">IF($I201=0,0,H201/$I201)</f>
        <v>0.243243243243243</v>
      </c>
      <c r="O201" s="35" t="s">
        <v>197</v>
      </c>
      <c r="P201" s="0" t="str">
        <f aca="false">IF(O201="TVK","TVK",IF(O201="DMK","DMK+",IF(O201="ADMK","AIADMK+","")))</f>
        <v>DMK+</v>
      </c>
      <c r="Q201" s="35" t="s">
        <v>3</v>
      </c>
      <c r="R201" s="36" t="s">
        <v>3</v>
      </c>
      <c r="S201" s="0" t="str">
        <f aca="false">IF(P201=R201,"Yes","No")</f>
        <v>No</v>
      </c>
      <c r="T201" s="2"/>
      <c r="U201" s="27" t="n">
        <f aca="false">IFERROR(SUMIFS($D$5:$D$238,$C$5:$C$238,$C201)/SUMIFS($I$5:$I$238,$C$5:$C$238,$C201),0)</f>
        <v>0.229571984435798</v>
      </c>
      <c r="V201" s="27" t="n">
        <f aca="false">IFERROR(SUMIFS($E$5:$E$238,$C$5:$C$238,$C201)/SUMIFS($I$5:$I$238,$C$5:$C$238,$C201),0)</f>
        <v>0.303501945525292</v>
      </c>
      <c r="W201" s="27" t="n">
        <f aca="false">IFERROR(SUMIFS($F$5:$F$238,$C$5:$C$238,$C201)/SUMIFS($I$5:$I$238,$C$5:$C$238,$C201),0)</f>
        <v>0.00389105058365759</v>
      </c>
      <c r="X201" s="27" t="n">
        <f aca="false">IFERROR(SUMIFS($G$5:$G$238,$C$5:$C$238,$C201)/SUMIFS($I$5:$I$238,$C$5:$C$238,$C201),0)</f>
        <v>0.105058365758755</v>
      </c>
      <c r="Y201" s="27" t="n">
        <f aca="false">IFERROR(SUMIFS($H$5:$H$238,$C$5:$C$238,$C201)/SUMIFS($I$5:$I$238,$C$5:$C$238,$C201),0)</f>
        <v>0.357976653696498</v>
      </c>
      <c r="Z201" s="24" t="n">
        <f aca="false">LN(MAX(I201,1))</f>
        <v>3.61091791264422</v>
      </c>
      <c r="AA201" s="24" t="n">
        <f aca="false">Calibration!$M$35+Calibration!$N$35+SUMPRODUCT(Calibration!$B$35:$F$35,J201:N201)+SUMPRODUCT(Calibration!$G$35:$K$35,U201:Y201)+Calibration!$L$35*Z201</f>
        <v>0.281438178056185</v>
      </c>
      <c r="AB201" s="24" t="n">
        <f aca="false">Calibration!$M$36+Calibration!$N$36+SUMPRODUCT(Calibration!$B$36:$F$36,J201:N201)+SUMPRODUCT(Calibration!$G$36:$K$36,U201:Y201)+Calibration!$L$36*Z201</f>
        <v>0.423345914863685</v>
      </c>
      <c r="AC201" s="24" t="n">
        <f aca="false">Calibration!$M$37+Calibration!$N$37+SUMPRODUCT(Calibration!$B$37:$F$37,J201:N201)+SUMPRODUCT(Calibration!$G$37:$K$37,U201:Y201)+Calibration!$L$37*Z201</f>
        <v>0.12021645382532</v>
      </c>
      <c r="AD201" s="27" t="n">
        <f aca="false">EXP(AC201)/(EXP(AA201)+EXP(AB201)+EXP(AC201))</f>
        <v>0.283363565632339</v>
      </c>
      <c r="AE201" s="7" t="str">
        <f aca="false">IF(AC201=MAX(AA201:AC201),"TVK",IF(AB201=MAX(AA201:AC201),"DMK+","AIADMK+"))</f>
        <v>DMK+</v>
      </c>
      <c r="AF201" s="7" t="str">
        <f aca="false">IF(AE201=R201,"Yes","No")</f>
        <v>No</v>
      </c>
      <c r="AG201" s="7" t="str">
        <f aca="false">IF(AE201=P201,"No","Yes")</f>
        <v>No</v>
      </c>
      <c r="AH201" s="7" t="str">
        <f aca="false">IF(H201=MAX(D201,E201,H201),"TVK",IF(E201=MAX(D201,E201,H201),"DMK+","AIADMK+"))</f>
        <v>AIADMK+</v>
      </c>
      <c r="AI201" s="27" t="n">
        <f aca="false">EXP(AA201)/(EXP(AA201)+EXP(AB201)+EXP(AC201))</f>
        <v>0.332936733215659</v>
      </c>
      <c r="AJ201" s="27" t="n">
        <f aca="false">EXP(AB201)/(EXP(AA201)+EXP(AB201)+EXP(AC201))</f>
        <v>0.383699701152002</v>
      </c>
      <c r="AK201" s="28" t="s">
        <v>3</v>
      </c>
      <c r="AL201" s="7" t="str">
        <f aca="false">IF(AK201=R201,"Yes","No")</f>
        <v>Yes</v>
      </c>
      <c r="AM201" s="27" t="n">
        <f aca="false">IF(AK201="TVK",AD201,IF(AK201="DMK+",AJ201,AI201))</f>
        <v>0.283363565632339</v>
      </c>
      <c r="AN201" s="7" t="str">
        <f aca="false">IF(AK201=P201,"No","Yes")</f>
        <v>Yes</v>
      </c>
    </row>
    <row r="202" customFormat="false" ht="15" hidden="true" customHeight="false" outlineLevel="0" collapsed="false">
      <c r="A202" s="0" t="n">
        <v>198</v>
      </c>
      <c r="B202" s="4" t="s">
        <v>383</v>
      </c>
      <c r="C202" s="5" t="s">
        <v>144</v>
      </c>
      <c r="D202" s="35" t="n">
        <v>1</v>
      </c>
      <c r="E202" s="35" t="n">
        <v>14</v>
      </c>
      <c r="F202" s="35"/>
      <c r="G202" s="35" t="n">
        <v>5</v>
      </c>
      <c r="H202" s="35" t="n">
        <v>11</v>
      </c>
      <c r="I202" s="5" t="n">
        <f aca="false">SUM(D202:H202)</f>
        <v>31</v>
      </c>
      <c r="J202" s="10" t="n">
        <f aca="false">IF($I202=0,0,D202/$I202)</f>
        <v>0.032258064516129</v>
      </c>
      <c r="K202" s="10" t="n">
        <f aca="false">IF($I202=0,0,E202/$I202)</f>
        <v>0.451612903225806</v>
      </c>
      <c r="L202" s="10" t="n">
        <f aca="false">IF($I202=0,0,F202/$I202)</f>
        <v>0</v>
      </c>
      <c r="M202" s="10" t="n">
        <f aca="false">IF($I202=0,0,G202/$I202)</f>
        <v>0.161290322580645</v>
      </c>
      <c r="N202" s="10" t="n">
        <f aca="false">IF($I202=0,0,H202/$I202)</f>
        <v>0.354838709677419</v>
      </c>
      <c r="O202" s="35" t="s">
        <v>197</v>
      </c>
      <c r="P202" s="0" t="str">
        <f aca="false">IF(O202="TVK","TVK",IF(O202="DMK","DMK+",IF(O202="ADMK","AIADMK+","")))</f>
        <v>DMK+</v>
      </c>
      <c r="Q202" s="35" t="s">
        <v>197</v>
      </c>
      <c r="R202" s="36" t="s">
        <v>5</v>
      </c>
      <c r="S202" s="0" t="str">
        <f aca="false">IF(P202=R202,"Yes","No")</f>
        <v>Yes</v>
      </c>
      <c r="T202" s="2"/>
      <c r="U202" s="27" t="n">
        <f aca="false">IFERROR(SUMIFS($D$5:$D$238,$C$5:$C$238,$C202)/SUMIFS($I$5:$I$238,$C$5:$C$238,$C202),0)</f>
        <v>0.17258883248731</v>
      </c>
      <c r="V202" s="27" t="n">
        <f aca="false">IFERROR(SUMIFS($E$5:$E$238,$C$5:$C$238,$C202)/SUMIFS($I$5:$I$238,$C$5:$C$238,$C202),0)</f>
        <v>0.365482233502538</v>
      </c>
      <c r="W202" s="27" t="n">
        <f aca="false">IFERROR(SUMIFS($F$5:$F$238,$C$5:$C$238,$C202)/SUMIFS($I$5:$I$238,$C$5:$C$238,$C202),0)</f>
        <v>0</v>
      </c>
      <c r="X202" s="27" t="n">
        <f aca="false">IFERROR(SUMIFS($G$5:$G$238,$C$5:$C$238,$C202)/SUMIFS($I$5:$I$238,$C$5:$C$238,$C202),0)</f>
        <v>0.0913705583756345</v>
      </c>
      <c r="Y202" s="27" t="n">
        <f aca="false">IFERROR(SUMIFS($H$5:$H$238,$C$5:$C$238,$C202)/SUMIFS($I$5:$I$238,$C$5:$C$238,$C202),0)</f>
        <v>0.370558375634518</v>
      </c>
      <c r="Z202" s="24" t="n">
        <f aca="false">LN(MAX(I202,1))</f>
        <v>3.43398720448515</v>
      </c>
      <c r="AA202" s="24" t="n">
        <f aca="false">Calibration!$M$35+Calibration!$N$35+SUMPRODUCT(Calibration!$B$35:$F$35,J202:N202)+SUMPRODUCT(Calibration!$G$35:$K$35,U202:Y202)+Calibration!$L$35*Z202</f>
        <v>-0.11882724751664</v>
      </c>
      <c r="AB202" s="24" t="n">
        <f aca="false">Calibration!$M$36+Calibration!$N$36+SUMPRODUCT(Calibration!$B$36:$F$36,J202:N202)+SUMPRODUCT(Calibration!$G$36:$K$36,U202:Y202)+Calibration!$L$36*Z202</f>
        <v>1.00979147089481</v>
      </c>
      <c r="AC202" s="24" t="n">
        <f aca="false">Calibration!$M$37+Calibration!$N$37+SUMPRODUCT(Calibration!$B$37:$F$37,J202:N202)+SUMPRODUCT(Calibration!$G$37:$K$37,U202:Y202)+Calibration!$L$37*Z202</f>
        <v>-0.0659635030572252</v>
      </c>
      <c r="AD202" s="27" t="n">
        <f aca="false">EXP(AC202)/(EXP(AA202)+EXP(AB202)+EXP(AC202))</f>
        <v>0.204888011343967</v>
      </c>
      <c r="AE202" s="7" t="str">
        <f aca="false">IF(AC202=MAX(AA202:AC202),"TVK",IF(AB202=MAX(AA202:AC202),"DMK+","AIADMK+"))</f>
        <v>DMK+</v>
      </c>
      <c r="AF202" s="7" t="str">
        <f aca="false">IF(AE202=R202,"Yes","No")</f>
        <v>Yes</v>
      </c>
      <c r="AG202" s="7" t="str">
        <f aca="false">IF(AE202=P202,"No","Yes")</f>
        <v>No</v>
      </c>
      <c r="AH202" s="7" t="str">
        <f aca="false">IF(H202=MAX(D202,E202,H202),"TVK",IF(E202=MAX(D202,E202,H202),"DMK+","AIADMK+"))</f>
        <v>DMK+</v>
      </c>
      <c r="AI202" s="27" t="n">
        <f aca="false">EXP(AA202)/(EXP(AA202)+EXP(AB202)+EXP(AC202))</f>
        <v>0.194338172604712</v>
      </c>
      <c r="AJ202" s="27" t="n">
        <f aca="false">EXP(AB202)/(EXP(AA202)+EXP(AB202)+EXP(AC202))</f>
        <v>0.600773816051321</v>
      </c>
      <c r="AK202" s="28" t="s">
        <v>5</v>
      </c>
      <c r="AL202" s="7" t="str">
        <f aca="false">IF(AK202=R202,"Yes","No")</f>
        <v>Yes</v>
      </c>
      <c r="AM202" s="27" t="n">
        <f aca="false">IF(AK202="TVK",AD202,IF(AK202="DMK+",AJ202,AI202))</f>
        <v>0.600773816051321</v>
      </c>
      <c r="AN202" s="7" t="str">
        <f aca="false">IF(AK202=P202,"No","Yes")</f>
        <v>No</v>
      </c>
    </row>
    <row r="203" customFormat="false" ht="15" hidden="true" customHeight="false" outlineLevel="0" collapsed="false">
      <c r="A203" s="0" t="n">
        <v>199</v>
      </c>
      <c r="B203" s="4" t="s">
        <v>384</v>
      </c>
      <c r="C203" s="5" t="s">
        <v>144</v>
      </c>
      <c r="D203" s="35" t="n">
        <v>10</v>
      </c>
      <c r="E203" s="35" t="n">
        <v>20</v>
      </c>
      <c r="F203" s="35"/>
      <c r="G203" s="35" t="n">
        <v>6</v>
      </c>
      <c r="H203" s="35" t="n">
        <v>18</v>
      </c>
      <c r="I203" s="5" t="n">
        <f aca="false">SUM(D203:H203)</f>
        <v>54</v>
      </c>
      <c r="J203" s="10" t="n">
        <f aca="false">IF($I203=0,0,D203/$I203)</f>
        <v>0.185185185185185</v>
      </c>
      <c r="K203" s="10" t="n">
        <f aca="false">IF($I203=0,0,E203/$I203)</f>
        <v>0.37037037037037</v>
      </c>
      <c r="L203" s="10" t="n">
        <f aca="false">IF($I203=0,0,F203/$I203)</f>
        <v>0</v>
      </c>
      <c r="M203" s="10" t="n">
        <f aca="false">IF($I203=0,0,G203/$I203)</f>
        <v>0.111111111111111</v>
      </c>
      <c r="N203" s="10" t="n">
        <f aca="false">IF($I203=0,0,H203/$I203)</f>
        <v>0.333333333333333</v>
      </c>
      <c r="O203" s="35" t="s">
        <v>197</v>
      </c>
      <c r="P203" s="0" t="str">
        <f aca="false">IF(O203="TVK","TVK",IF(O203="DMK","DMK+",IF(O203="ADMK","AIADMK+","")))</f>
        <v>DMK+</v>
      </c>
      <c r="Q203" s="35" t="s">
        <v>3</v>
      </c>
      <c r="R203" s="36" t="s">
        <v>3</v>
      </c>
      <c r="S203" s="0" t="str">
        <f aca="false">IF(P203=R203,"Yes","No")</f>
        <v>No</v>
      </c>
      <c r="T203" s="2"/>
      <c r="U203" s="27" t="n">
        <f aca="false">IFERROR(SUMIFS($D$5:$D$238,$C$5:$C$238,$C203)/SUMIFS($I$5:$I$238,$C$5:$C$238,$C203),0)</f>
        <v>0.17258883248731</v>
      </c>
      <c r="V203" s="27" t="n">
        <f aca="false">IFERROR(SUMIFS($E$5:$E$238,$C$5:$C$238,$C203)/SUMIFS($I$5:$I$238,$C$5:$C$238,$C203),0)</f>
        <v>0.365482233502538</v>
      </c>
      <c r="W203" s="27" t="n">
        <f aca="false">IFERROR(SUMIFS($F$5:$F$238,$C$5:$C$238,$C203)/SUMIFS($I$5:$I$238,$C$5:$C$238,$C203),0)</f>
        <v>0</v>
      </c>
      <c r="X203" s="27" t="n">
        <f aca="false">IFERROR(SUMIFS($G$5:$G$238,$C$5:$C$238,$C203)/SUMIFS($I$5:$I$238,$C$5:$C$238,$C203),0)</f>
        <v>0.0913705583756345</v>
      </c>
      <c r="Y203" s="27" t="n">
        <f aca="false">IFERROR(SUMIFS($H$5:$H$238,$C$5:$C$238,$C203)/SUMIFS($I$5:$I$238,$C$5:$C$238,$C203),0)</f>
        <v>0.370558375634518</v>
      </c>
      <c r="Z203" s="24" t="n">
        <f aca="false">LN(MAX(I203,1))</f>
        <v>3.98898404656427</v>
      </c>
      <c r="AA203" s="24" t="n">
        <f aca="false">Calibration!$M$35+Calibration!$N$35+SUMPRODUCT(Calibration!$B$35:$F$35,J203:N203)+SUMPRODUCT(Calibration!$G$35:$K$35,U203:Y203)+Calibration!$L$35*Z203</f>
        <v>-0.211202345033706</v>
      </c>
      <c r="AB203" s="24" t="n">
        <f aca="false">Calibration!$M$36+Calibration!$N$36+SUMPRODUCT(Calibration!$B$36:$F$36,J203:N203)+SUMPRODUCT(Calibration!$G$36:$K$36,U203:Y203)+Calibration!$L$36*Z203</f>
        <v>0.453158137345933</v>
      </c>
      <c r="AC203" s="24" t="n">
        <f aca="false">Calibration!$M$37+Calibration!$N$37+SUMPRODUCT(Calibration!$B$37:$F$37,J203:N203)+SUMPRODUCT(Calibration!$G$37:$K$37,U203:Y203)+Calibration!$L$37*Z203</f>
        <v>0.583044906503339</v>
      </c>
      <c r="AD203" s="27" t="n">
        <f aca="false">EXP(AC203)/(EXP(AA203)+EXP(AB203)+EXP(AC203))</f>
        <v>0.429163154926368</v>
      </c>
      <c r="AE203" s="7" t="str">
        <f aca="false">IF(AC203=MAX(AA203:AC203),"TVK",IF(AB203=MAX(AA203:AC203),"DMK+","AIADMK+"))</f>
        <v>TVK</v>
      </c>
      <c r="AF203" s="7" t="str">
        <f aca="false">IF(AE203=R203,"Yes","No")</f>
        <v>Yes</v>
      </c>
      <c r="AG203" s="7" t="str">
        <f aca="false">IF(AE203=P203,"No","Yes")</f>
        <v>Yes</v>
      </c>
      <c r="AH203" s="7" t="str">
        <f aca="false">IF(H203=MAX(D203,E203,H203),"TVK",IF(E203=MAX(D203,E203,H203),"DMK+","AIADMK+"))</f>
        <v>DMK+</v>
      </c>
      <c r="AI203" s="27" t="n">
        <f aca="false">EXP(AA203)/(EXP(AA203)+EXP(AB203)+EXP(AC203))</f>
        <v>0.193947966584057</v>
      </c>
      <c r="AJ203" s="27" t="n">
        <f aca="false">EXP(AB203)/(EXP(AA203)+EXP(AB203)+EXP(AC203))</f>
        <v>0.376888878489575</v>
      </c>
      <c r="AK203" s="28" t="s">
        <v>3</v>
      </c>
      <c r="AL203" s="7" t="str">
        <f aca="false">IF(AK203=R203,"Yes","No")</f>
        <v>Yes</v>
      </c>
      <c r="AM203" s="27" t="n">
        <f aca="false">IF(AK203="TVK",AD203,IF(AK203="DMK+",AJ203,AI203))</f>
        <v>0.429163154926368</v>
      </c>
      <c r="AN203" s="7" t="str">
        <f aca="false">IF(AK203=P203,"No","Yes")</f>
        <v>Yes</v>
      </c>
    </row>
    <row r="204" customFormat="false" ht="15" hidden="true" customHeight="false" outlineLevel="0" collapsed="false">
      <c r="A204" s="0" t="n">
        <v>200</v>
      </c>
      <c r="B204" s="4" t="s">
        <v>385</v>
      </c>
      <c r="C204" s="5" t="s">
        <v>144</v>
      </c>
      <c r="D204" s="35" t="n">
        <v>8</v>
      </c>
      <c r="E204" s="35" t="n">
        <v>31</v>
      </c>
      <c r="F204" s="35"/>
      <c r="G204" s="35" t="n">
        <v>3</v>
      </c>
      <c r="H204" s="35" t="n">
        <v>29</v>
      </c>
      <c r="I204" s="5" t="n">
        <f aca="false">SUM(D204:H204)</f>
        <v>71</v>
      </c>
      <c r="J204" s="10" t="n">
        <f aca="false">IF($I204=0,0,D204/$I204)</f>
        <v>0.112676056338028</v>
      </c>
      <c r="K204" s="10" t="n">
        <f aca="false">IF($I204=0,0,E204/$I204)</f>
        <v>0.436619718309859</v>
      </c>
      <c r="L204" s="10" t="n">
        <f aca="false">IF($I204=0,0,F204/$I204)</f>
        <v>0</v>
      </c>
      <c r="M204" s="10" t="n">
        <f aca="false">IF($I204=0,0,G204/$I204)</f>
        <v>0.0422535211267606</v>
      </c>
      <c r="N204" s="10" t="n">
        <f aca="false">IF($I204=0,0,H204/$I204)</f>
        <v>0.408450704225352</v>
      </c>
      <c r="O204" s="35" t="s">
        <v>197</v>
      </c>
      <c r="P204" s="0" t="str">
        <f aca="false">IF(O204="TVK","TVK",IF(O204="DMK","DMK+",IF(O204="ADMK","AIADMK+","")))</f>
        <v>DMK+</v>
      </c>
      <c r="Q204" s="35" t="s">
        <v>197</v>
      </c>
      <c r="R204" s="36" t="s">
        <v>5</v>
      </c>
      <c r="S204" s="0" t="str">
        <f aca="false">IF(P204=R204,"Yes","No")</f>
        <v>Yes</v>
      </c>
      <c r="T204" s="2"/>
      <c r="U204" s="27" t="n">
        <f aca="false">IFERROR(SUMIFS($D$5:$D$238,$C$5:$C$238,$C204)/SUMIFS($I$5:$I$238,$C$5:$C$238,$C204),0)</f>
        <v>0.17258883248731</v>
      </c>
      <c r="V204" s="27" t="n">
        <f aca="false">IFERROR(SUMIFS($E$5:$E$238,$C$5:$C$238,$C204)/SUMIFS($I$5:$I$238,$C$5:$C$238,$C204),0)</f>
        <v>0.365482233502538</v>
      </c>
      <c r="W204" s="27" t="n">
        <f aca="false">IFERROR(SUMIFS($F$5:$F$238,$C$5:$C$238,$C204)/SUMIFS($I$5:$I$238,$C$5:$C$238,$C204),0)</f>
        <v>0</v>
      </c>
      <c r="X204" s="27" t="n">
        <f aca="false">IFERROR(SUMIFS($G$5:$G$238,$C$5:$C$238,$C204)/SUMIFS($I$5:$I$238,$C$5:$C$238,$C204),0)</f>
        <v>0.0913705583756345</v>
      </c>
      <c r="Y204" s="27" t="n">
        <f aca="false">IFERROR(SUMIFS($H$5:$H$238,$C$5:$C$238,$C204)/SUMIFS($I$5:$I$238,$C$5:$C$238,$C204),0)</f>
        <v>0.370558375634518</v>
      </c>
      <c r="Z204" s="24" t="n">
        <f aca="false">LN(MAX(I204,1))</f>
        <v>4.26267987704132</v>
      </c>
      <c r="AA204" s="24" t="n">
        <f aca="false">Calibration!$M$35+Calibration!$N$35+SUMPRODUCT(Calibration!$B$35:$F$35,J204:N204)+SUMPRODUCT(Calibration!$G$35:$K$35,U204:Y204)+Calibration!$L$35*Z204</f>
        <v>-0.483678655283916</v>
      </c>
      <c r="AB204" s="24" t="n">
        <f aca="false">Calibration!$M$36+Calibration!$N$36+SUMPRODUCT(Calibration!$B$36:$F$36,J204:N204)+SUMPRODUCT(Calibration!$G$36:$K$36,U204:Y204)+Calibration!$L$36*Z204</f>
        <v>0.380697590881676</v>
      </c>
      <c r="AC204" s="24" t="n">
        <f aca="false">Calibration!$M$37+Calibration!$N$37+SUMPRODUCT(Calibration!$B$37:$F$37,J204:N204)+SUMPRODUCT(Calibration!$G$37:$K$37,U204:Y204)+Calibration!$L$37*Z204</f>
        <v>0.927981838335178</v>
      </c>
      <c r="AD204" s="27" t="n">
        <f aca="false">EXP(AC204)/(EXP(AA204)+EXP(AB204)+EXP(AC204))</f>
        <v>0.548770010111994</v>
      </c>
      <c r="AE204" s="7" t="str">
        <f aca="false">IF(AC204=MAX(AA204:AC204),"TVK",IF(AB204=MAX(AA204:AC204),"DMK+","AIADMK+"))</f>
        <v>TVK</v>
      </c>
      <c r="AF204" s="7" t="str">
        <f aca="false">IF(AE204=R204,"Yes","No")</f>
        <v>No</v>
      </c>
      <c r="AG204" s="7" t="str">
        <f aca="false">IF(AE204=P204,"No","Yes")</f>
        <v>Yes</v>
      </c>
      <c r="AH204" s="7" t="str">
        <f aca="false">IF(H204=MAX(D204,E204,H204),"TVK",IF(E204=MAX(D204,E204,H204),"DMK+","AIADMK+"))</f>
        <v>DMK+</v>
      </c>
      <c r="AI204" s="27" t="n">
        <f aca="false">EXP(AA204)/(EXP(AA204)+EXP(AB204)+EXP(AC204))</f>
        <v>0.133756226103875</v>
      </c>
      <c r="AJ204" s="27" t="n">
        <f aca="false">EXP(AB204)/(EXP(AA204)+EXP(AB204)+EXP(AC204))</f>
        <v>0.317473763784131</v>
      </c>
      <c r="AK204" s="28" t="s">
        <v>3</v>
      </c>
      <c r="AL204" s="7" t="str">
        <f aca="false">IF(AK204=R204,"Yes","No")</f>
        <v>No</v>
      </c>
      <c r="AM204" s="27" t="n">
        <f aca="false">IF(AK204="TVK",AD204,IF(AK204="DMK+",AJ204,AI204))</f>
        <v>0.548770010111994</v>
      </c>
      <c r="AN204" s="7" t="str">
        <f aca="false">IF(AK204=P204,"No","Yes")</f>
        <v>Yes</v>
      </c>
    </row>
    <row r="205" customFormat="false" ht="15" hidden="false" customHeight="false" outlineLevel="0" collapsed="false">
      <c r="A205" s="0" t="n">
        <v>201</v>
      </c>
      <c r="B205" s="4" t="s">
        <v>386</v>
      </c>
      <c r="C205" s="5" t="s">
        <v>144</v>
      </c>
      <c r="D205" s="35" t="n">
        <v>15</v>
      </c>
      <c r="E205" s="35" t="n">
        <v>7</v>
      </c>
      <c r="F205" s="35"/>
      <c r="G205" s="35" t="n">
        <v>4</v>
      </c>
      <c r="H205" s="35" t="n">
        <v>15</v>
      </c>
      <c r="I205" s="5" t="n">
        <f aca="false">SUM(D205:H205)</f>
        <v>41</v>
      </c>
      <c r="J205" s="10" t="n">
        <f aca="false">IF($I205=0,0,D205/$I205)</f>
        <v>0.365853658536585</v>
      </c>
      <c r="K205" s="10" t="n">
        <f aca="false">IF($I205=0,0,E205/$I205)</f>
        <v>0.170731707317073</v>
      </c>
      <c r="L205" s="10" t="n">
        <f aca="false">IF($I205=0,0,F205/$I205)</f>
        <v>0</v>
      </c>
      <c r="M205" s="10" t="n">
        <f aca="false">IF($I205=0,0,G205/$I205)</f>
        <v>0.0975609756097561</v>
      </c>
      <c r="N205" s="10" t="n">
        <f aca="false">IF($I205=0,0,H205/$I205)</f>
        <v>0.365853658536585</v>
      </c>
      <c r="O205" s="35" t="s">
        <v>3</v>
      </c>
      <c r="P205" s="0" t="str">
        <f aca="false">IF(O205="TVK","TVK",IF(O205="DMK","DMK+",IF(O205="ADMK","AIADMK+","")))</f>
        <v>TVK</v>
      </c>
      <c r="Q205" s="35" t="s">
        <v>3</v>
      </c>
      <c r="R205" s="36" t="s">
        <v>3</v>
      </c>
      <c r="S205" s="0" t="str">
        <f aca="false">IF(P205=R205,"Yes","No")</f>
        <v>Yes</v>
      </c>
      <c r="T205" s="2"/>
      <c r="U205" s="27" t="n">
        <f aca="false">IFERROR(SUMIFS($D$5:$D$238,$C$5:$C$238,$C205)/SUMIFS($I$5:$I$238,$C$5:$C$238,$C205),0)</f>
        <v>0.17258883248731</v>
      </c>
      <c r="V205" s="27" t="n">
        <f aca="false">IFERROR(SUMIFS($E$5:$E$238,$C$5:$C$238,$C205)/SUMIFS($I$5:$I$238,$C$5:$C$238,$C205),0)</f>
        <v>0.365482233502538</v>
      </c>
      <c r="W205" s="27" t="n">
        <f aca="false">IFERROR(SUMIFS($F$5:$F$238,$C$5:$C$238,$C205)/SUMIFS($I$5:$I$238,$C$5:$C$238,$C205),0)</f>
        <v>0</v>
      </c>
      <c r="X205" s="27" t="n">
        <f aca="false">IFERROR(SUMIFS($G$5:$G$238,$C$5:$C$238,$C205)/SUMIFS($I$5:$I$238,$C$5:$C$238,$C205),0)</f>
        <v>0.0913705583756345</v>
      </c>
      <c r="Y205" s="27" t="n">
        <f aca="false">IFERROR(SUMIFS($H$5:$H$238,$C$5:$C$238,$C205)/SUMIFS($I$5:$I$238,$C$5:$C$238,$C205),0)</f>
        <v>0.370558375634518</v>
      </c>
      <c r="Z205" s="24" t="n">
        <f aca="false">LN(MAX(I205,1))</f>
        <v>3.71357206670431</v>
      </c>
      <c r="AA205" s="24" t="n">
        <f aca="false">Calibration!$M$35+Calibration!$N$35+SUMPRODUCT(Calibration!$B$35:$F$35,J205:N205)+SUMPRODUCT(Calibration!$G$35:$K$35,U205:Y205)+Calibration!$L$35*Z205</f>
        <v>0.233070608296513</v>
      </c>
      <c r="AB205" s="24" t="n">
        <f aca="false">Calibration!$M$36+Calibration!$N$36+SUMPRODUCT(Calibration!$B$36:$F$36,J205:N205)+SUMPRODUCT(Calibration!$G$36:$K$36,U205:Y205)+Calibration!$L$36*Z205</f>
        <v>0.246121200247822</v>
      </c>
      <c r="AC205" s="24" t="n">
        <f aca="false">Calibration!$M$37+Calibration!$N$37+SUMPRODUCT(Calibration!$B$37:$F$37,J205:N205)+SUMPRODUCT(Calibration!$G$37:$K$37,U205:Y205)+Calibration!$L$37*Z205</f>
        <v>0.345808922791556</v>
      </c>
      <c r="AD205" s="27" t="n">
        <f aca="false">EXP(AC205)/(EXP(AA205)+EXP(AB205)+EXP(AC205))</f>
        <v>0.357333719576896</v>
      </c>
      <c r="AE205" s="7" t="str">
        <f aca="false">IF(AC205=MAX(AA205:AC205),"TVK",IF(AB205=MAX(AA205:AC205),"DMK+","AIADMK+"))</f>
        <v>TVK</v>
      </c>
      <c r="AF205" s="7" t="str">
        <f aca="false">IF(AE205=R205,"Yes","No")</f>
        <v>Yes</v>
      </c>
      <c r="AG205" s="7" t="str">
        <f aca="false">IF(AE205=P205,"No","Yes")</f>
        <v>No</v>
      </c>
      <c r="AH205" s="7" t="str">
        <f aca="false">IF(H205=MAX(D205,E205,H205),"TVK",IF(E205=MAX(D205,E205,H205),"DMK+","AIADMK+"))</f>
        <v>TVK</v>
      </c>
      <c r="AI205" s="27" t="n">
        <f aca="false">EXP(AA205)/(EXP(AA205)+EXP(AB205)+EXP(AC205))</f>
        <v>0.319236376124514</v>
      </c>
      <c r="AJ205" s="27" t="n">
        <f aca="false">EXP(AB205)/(EXP(AA205)+EXP(AB205)+EXP(AC205))</f>
        <v>0.32342990429859</v>
      </c>
      <c r="AK205" s="28" t="s">
        <v>5</v>
      </c>
      <c r="AL205" s="7" t="str">
        <f aca="false">IF(AK205=R205,"Yes","No")</f>
        <v>No</v>
      </c>
      <c r="AM205" s="27" t="n">
        <f aca="false">IF(AK205="TVK",AD205,IF(AK205="DMK+",AJ205,AI205))</f>
        <v>0.32342990429859</v>
      </c>
      <c r="AN205" s="7" t="str">
        <f aca="false">IF(AK205=P205,"No","Yes")</f>
        <v>Yes</v>
      </c>
    </row>
    <row r="206" customFormat="false" ht="15" hidden="false" customHeight="false" outlineLevel="0" collapsed="false">
      <c r="A206" s="0" t="n">
        <v>202</v>
      </c>
      <c r="B206" s="4" t="s">
        <v>387</v>
      </c>
      <c r="C206" s="5" t="s">
        <v>166</v>
      </c>
      <c r="D206" s="35" t="n">
        <v>19</v>
      </c>
      <c r="E206" s="35" t="n">
        <v>7</v>
      </c>
      <c r="F206" s="35" t="n">
        <v>1</v>
      </c>
      <c r="G206" s="35" t="n">
        <v>5</v>
      </c>
      <c r="H206" s="35" t="n">
        <v>27</v>
      </c>
      <c r="I206" s="5" t="n">
        <f aca="false">SUM(D206:H206)</f>
        <v>59</v>
      </c>
      <c r="J206" s="10" t="n">
        <f aca="false">IF($I206=0,0,D206/$I206)</f>
        <v>0.322033898305085</v>
      </c>
      <c r="K206" s="10" t="n">
        <f aca="false">IF($I206=0,0,E206/$I206)</f>
        <v>0.11864406779661</v>
      </c>
      <c r="L206" s="10" t="n">
        <f aca="false">IF($I206=0,0,F206/$I206)</f>
        <v>0.0169491525423729</v>
      </c>
      <c r="M206" s="10" t="n">
        <f aca="false">IF($I206=0,0,G206/$I206)</f>
        <v>0.0847457627118644</v>
      </c>
      <c r="N206" s="10" t="n">
        <f aca="false">IF($I206=0,0,H206/$I206)</f>
        <v>0.457627118644068</v>
      </c>
      <c r="O206" s="35" t="s">
        <v>3</v>
      </c>
      <c r="P206" s="0" t="str">
        <f aca="false">IF(O206="TVK","TVK",IF(O206="DMK","DMK+",IF(O206="ADMK","AIADMK+","")))</f>
        <v>TVK</v>
      </c>
      <c r="Q206" s="35" t="s">
        <v>3</v>
      </c>
      <c r="R206" s="36" t="s">
        <v>3</v>
      </c>
      <c r="S206" s="0" t="str">
        <f aca="false">IF(P206=R206,"Yes","No")</f>
        <v>Yes</v>
      </c>
      <c r="T206" s="2"/>
      <c r="U206" s="27" t="n">
        <f aca="false">IFERROR(SUMIFS($D$5:$D$238,$C$5:$C$238,$C206)/SUMIFS($I$5:$I$238,$C$5:$C$238,$C206),0)</f>
        <v>0.292452830188679</v>
      </c>
      <c r="V206" s="27" t="n">
        <f aca="false">IFERROR(SUMIFS($E$5:$E$238,$C$5:$C$238,$C206)/SUMIFS($I$5:$I$238,$C$5:$C$238,$C206),0)</f>
        <v>0.216981132075472</v>
      </c>
      <c r="W206" s="27" t="n">
        <f aca="false">IFERROR(SUMIFS($F$5:$F$238,$C$5:$C$238,$C206)/SUMIFS($I$5:$I$238,$C$5:$C$238,$C206),0)</f>
        <v>0.00314465408805031</v>
      </c>
      <c r="X206" s="27" t="n">
        <f aca="false">IFERROR(SUMIFS($G$5:$G$238,$C$5:$C$238,$C206)/SUMIFS($I$5:$I$238,$C$5:$C$238,$C206),0)</f>
        <v>0.0786163522012579</v>
      </c>
      <c r="Y206" s="27" t="n">
        <f aca="false">IFERROR(SUMIFS($H$5:$H$238,$C$5:$C$238,$C206)/SUMIFS($I$5:$I$238,$C$5:$C$238,$C206),0)</f>
        <v>0.408805031446541</v>
      </c>
      <c r="Z206" s="24" t="n">
        <f aca="false">LN(MAX(I206,1))</f>
        <v>4.07753744390572</v>
      </c>
      <c r="AA206" s="24" t="n">
        <f aca="false">Calibration!$M$35+Calibration!$N$35+SUMPRODUCT(Calibration!$B$35:$F$35,J206:N206)+SUMPRODUCT(Calibration!$G$35:$K$35,U206:Y206)+Calibration!$L$35*Z206</f>
        <v>0.173927258090441</v>
      </c>
      <c r="AB206" s="24" t="n">
        <f aca="false">Calibration!$M$36+Calibration!$N$36+SUMPRODUCT(Calibration!$B$36:$F$36,J206:N206)+SUMPRODUCT(Calibration!$G$36:$K$36,U206:Y206)+Calibration!$L$36*Z206</f>
        <v>-0.230883341274447</v>
      </c>
      <c r="AC206" s="24" t="n">
        <f aca="false">Calibration!$M$37+Calibration!$N$37+SUMPRODUCT(Calibration!$B$37:$F$37,J206:N206)+SUMPRODUCT(Calibration!$G$37:$K$37,U206:Y206)+Calibration!$L$37*Z206</f>
        <v>0.881956757792257</v>
      </c>
      <c r="AD206" s="27" t="n">
        <f aca="false">EXP(AC206)/(EXP(AA206)+EXP(AB206)+EXP(AC206))</f>
        <v>0.549076982065884</v>
      </c>
      <c r="AE206" s="7" t="str">
        <f aca="false">IF(AC206=MAX(AA206:AC206),"TVK",IF(AB206=MAX(AA206:AC206),"DMK+","AIADMK+"))</f>
        <v>TVK</v>
      </c>
      <c r="AF206" s="7" t="str">
        <f aca="false">IF(AE206=R206,"Yes","No")</f>
        <v>Yes</v>
      </c>
      <c r="AG206" s="7" t="str">
        <f aca="false">IF(AE206=P206,"No","Yes")</f>
        <v>No</v>
      </c>
      <c r="AH206" s="7" t="str">
        <f aca="false">IF(H206=MAX(D206,E206,H206),"TVK",IF(E206=MAX(D206,E206,H206),"DMK+","AIADMK+"))</f>
        <v>TVK</v>
      </c>
      <c r="AI206" s="27" t="n">
        <f aca="false">EXP(AA206)/(EXP(AA206)+EXP(AB206)+EXP(AC206))</f>
        <v>0.270482974192815</v>
      </c>
      <c r="AJ206" s="27" t="n">
        <f aca="false">EXP(AB206)/(EXP(AA206)+EXP(AB206)+EXP(AC206))</f>
        <v>0.180440043741301</v>
      </c>
      <c r="AK206" s="28" t="s">
        <v>3</v>
      </c>
      <c r="AL206" s="7" t="str">
        <f aca="false">IF(AK206=R206,"Yes","No")</f>
        <v>Yes</v>
      </c>
      <c r="AM206" s="27" t="n">
        <f aca="false">IF(AK206="TVK",AD206,IF(AK206="DMK+",AJ206,AI206))</f>
        <v>0.549076982065884</v>
      </c>
      <c r="AN206" s="7" t="str">
        <f aca="false">IF(AK206=P206,"No","Yes")</f>
        <v>No</v>
      </c>
    </row>
    <row r="207" customFormat="false" ht="15" hidden="false" customHeight="false" outlineLevel="0" collapsed="false">
      <c r="A207" s="0" t="n">
        <v>203</v>
      </c>
      <c r="B207" s="4" t="s">
        <v>388</v>
      </c>
      <c r="C207" s="5" t="s">
        <v>166</v>
      </c>
      <c r="D207" s="35" t="n">
        <v>11</v>
      </c>
      <c r="E207" s="35" t="n">
        <v>11</v>
      </c>
      <c r="F207" s="35"/>
      <c r="G207" s="35" t="n">
        <v>3</v>
      </c>
      <c r="H207" s="35" t="n">
        <v>15</v>
      </c>
      <c r="I207" s="5" t="n">
        <f aca="false">SUM(D207:H207)</f>
        <v>40</v>
      </c>
      <c r="J207" s="10" t="n">
        <f aca="false">IF($I207=0,0,D207/$I207)</f>
        <v>0.275</v>
      </c>
      <c r="K207" s="10" t="n">
        <f aca="false">IF($I207=0,0,E207/$I207)</f>
        <v>0.275</v>
      </c>
      <c r="L207" s="10" t="n">
        <f aca="false">IF($I207=0,0,F207/$I207)</f>
        <v>0</v>
      </c>
      <c r="M207" s="10" t="n">
        <f aca="false">IF($I207=0,0,G207/$I207)</f>
        <v>0.075</v>
      </c>
      <c r="N207" s="10" t="n">
        <f aca="false">IF($I207=0,0,H207/$I207)</f>
        <v>0.375</v>
      </c>
      <c r="O207" s="35" t="s">
        <v>3</v>
      </c>
      <c r="P207" s="0" t="str">
        <f aca="false">IF(O207="TVK","TVK",IF(O207="DMK","DMK+",IF(O207="ADMK","AIADMK+","")))</f>
        <v>TVK</v>
      </c>
      <c r="Q207" s="35" t="s">
        <v>3</v>
      </c>
      <c r="R207" s="36" t="s">
        <v>3</v>
      </c>
      <c r="S207" s="0" t="str">
        <f aca="false">IF(P207=R207,"Yes","No")</f>
        <v>Yes</v>
      </c>
      <c r="T207" s="2"/>
      <c r="U207" s="27" t="n">
        <f aca="false">IFERROR(SUMIFS($D$5:$D$238,$C$5:$C$238,$C207)/SUMIFS($I$5:$I$238,$C$5:$C$238,$C207),0)</f>
        <v>0.292452830188679</v>
      </c>
      <c r="V207" s="27" t="n">
        <f aca="false">IFERROR(SUMIFS($E$5:$E$238,$C$5:$C$238,$C207)/SUMIFS($I$5:$I$238,$C$5:$C$238,$C207),0)</f>
        <v>0.216981132075472</v>
      </c>
      <c r="W207" s="27" t="n">
        <f aca="false">IFERROR(SUMIFS($F$5:$F$238,$C$5:$C$238,$C207)/SUMIFS($I$5:$I$238,$C$5:$C$238,$C207),0)</f>
        <v>0.00314465408805031</v>
      </c>
      <c r="X207" s="27" t="n">
        <f aca="false">IFERROR(SUMIFS($G$5:$G$238,$C$5:$C$238,$C207)/SUMIFS($I$5:$I$238,$C$5:$C$238,$C207),0)</f>
        <v>0.0786163522012579</v>
      </c>
      <c r="Y207" s="27" t="n">
        <f aca="false">IFERROR(SUMIFS($H$5:$H$238,$C$5:$C$238,$C207)/SUMIFS($I$5:$I$238,$C$5:$C$238,$C207),0)</f>
        <v>0.408805031446541</v>
      </c>
      <c r="Z207" s="24" t="n">
        <f aca="false">LN(MAX(I207,1))</f>
        <v>3.68887945411394</v>
      </c>
      <c r="AA207" s="24" t="n">
        <f aca="false">Calibration!$M$35+Calibration!$N$35+SUMPRODUCT(Calibration!$B$35:$F$35,J207:N207)+SUMPRODUCT(Calibration!$G$35:$K$35,U207:Y207)+Calibration!$L$35*Z207</f>
        <v>0.234424695338856</v>
      </c>
      <c r="AB207" s="24" t="n">
        <f aca="false">Calibration!$M$36+Calibration!$N$36+SUMPRODUCT(Calibration!$B$36:$F$36,J207:N207)+SUMPRODUCT(Calibration!$G$36:$K$36,U207:Y207)+Calibration!$L$36*Z207</f>
        <v>0.244238907844128</v>
      </c>
      <c r="AC207" s="24" t="n">
        <f aca="false">Calibration!$M$37+Calibration!$N$37+SUMPRODUCT(Calibration!$B$37:$F$37,J207:N207)+SUMPRODUCT(Calibration!$G$37:$K$37,U207:Y207)+Calibration!$L$37*Z207</f>
        <v>0.346336988798149</v>
      </c>
      <c r="AD207" s="27" t="n">
        <f aca="false">EXP(AC207)/(EXP(AA207)+EXP(AB207)+EXP(AC207))</f>
        <v>0.357517783427283</v>
      </c>
      <c r="AE207" s="7" t="str">
        <f aca="false">IF(AC207=MAX(AA207:AC207),"TVK",IF(AB207=MAX(AA207:AC207),"DMK+","AIADMK+"))</f>
        <v>TVK</v>
      </c>
      <c r="AF207" s="7" t="str">
        <f aca="false">IF(AE207=R207,"Yes","No")</f>
        <v>Yes</v>
      </c>
      <c r="AG207" s="7" t="str">
        <f aca="false">IF(AE207=P207,"No","Yes")</f>
        <v>No</v>
      </c>
      <c r="AH207" s="7" t="str">
        <f aca="false">IF(H207=MAX(D207,E207,H207),"TVK",IF(E207=MAX(D207,E207,H207),"DMK+","AIADMK+"))</f>
        <v>TVK</v>
      </c>
      <c r="AI207" s="27" t="n">
        <f aca="false">EXP(AA207)/(EXP(AA207)+EXP(AB207)+EXP(AC207))</f>
        <v>0.319664756687949</v>
      </c>
      <c r="AJ207" s="27" t="n">
        <f aca="false">EXP(AB207)/(EXP(AA207)+EXP(AB207)+EXP(AC207))</f>
        <v>0.322817459884768</v>
      </c>
      <c r="AK207" s="28" t="s">
        <v>5</v>
      </c>
      <c r="AL207" s="7" t="str">
        <f aca="false">IF(AK207=R207,"Yes","No")</f>
        <v>No</v>
      </c>
      <c r="AM207" s="27" t="n">
        <f aca="false">IF(AK207="TVK",AD207,IF(AK207="DMK+",AJ207,AI207))</f>
        <v>0.322817459884768</v>
      </c>
      <c r="AN207" s="7" t="str">
        <f aca="false">IF(AK207=P207,"No","Yes")</f>
        <v>Yes</v>
      </c>
    </row>
    <row r="208" customFormat="false" ht="15" hidden="true" customHeight="false" outlineLevel="0" collapsed="false">
      <c r="A208" s="0" t="n">
        <v>204</v>
      </c>
      <c r="B208" s="4" t="s">
        <v>389</v>
      </c>
      <c r="C208" s="5" t="s">
        <v>166</v>
      </c>
      <c r="D208" s="35" t="n">
        <v>22</v>
      </c>
      <c r="E208" s="35" t="n">
        <v>7</v>
      </c>
      <c r="F208" s="35"/>
      <c r="G208" s="35" t="n">
        <v>5</v>
      </c>
      <c r="H208" s="35" t="n">
        <v>15</v>
      </c>
      <c r="I208" s="5" t="n">
        <f aca="false">SUM(D208:H208)</f>
        <v>49</v>
      </c>
      <c r="J208" s="10" t="n">
        <f aca="false">IF($I208=0,0,D208/$I208)</f>
        <v>0.448979591836735</v>
      </c>
      <c r="K208" s="10" t="n">
        <f aca="false">IF($I208=0,0,E208/$I208)</f>
        <v>0.142857142857143</v>
      </c>
      <c r="L208" s="10" t="n">
        <f aca="false">IF($I208=0,0,F208/$I208)</f>
        <v>0</v>
      </c>
      <c r="M208" s="10" t="n">
        <f aca="false">IF($I208=0,0,G208/$I208)</f>
        <v>0.102040816326531</v>
      </c>
      <c r="N208" s="10" t="n">
        <f aca="false">IF($I208=0,0,H208/$I208)</f>
        <v>0.306122448979592</v>
      </c>
      <c r="O208" s="35" t="s">
        <v>218</v>
      </c>
      <c r="P208" s="0" t="str">
        <f aca="false">IF(O208="TVK","TVK",IF(O208="DMK","DMK+",IF(O208="ADMK","AIADMK+","")))</f>
        <v>AIADMK+</v>
      </c>
      <c r="Q208" s="35" t="s">
        <v>197</v>
      </c>
      <c r="R208" s="36" t="s">
        <v>5</v>
      </c>
      <c r="S208" s="0" t="str">
        <f aca="false">IF(P208=R208,"Yes","No")</f>
        <v>No</v>
      </c>
      <c r="T208" s="2"/>
      <c r="U208" s="27" t="n">
        <f aca="false">IFERROR(SUMIFS($D$5:$D$238,$C$5:$C$238,$C208)/SUMIFS($I$5:$I$238,$C$5:$C$238,$C208),0)</f>
        <v>0.292452830188679</v>
      </c>
      <c r="V208" s="27" t="n">
        <f aca="false">IFERROR(SUMIFS($E$5:$E$238,$C$5:$C$238,$C208)/SUMIFS($I$5:$I$238,$C$5:$C$238,$C208),0)</f>
        <v>0.216981132075472</v>
      </c>
      <c r="W208" s="27" t="n">
        <f aca="false">IFERROR(SUMIFS($F$5:$F$238,$C$5:$C$238,$C208)/SUMIFS($I$5:$I$238,$C$5:$C$238,$C208),0)</f>
        <v>0.00314465408805031</v>
      </c>
      <c r="X208" s="27" t="n">
        <f aca="false">IFERROR(SUMIFS($G$5:$G$238,$C$5:$C$238,$C208)/SUMIFS($I$5:$I$238,$C$5:$C$238,$C208),0)</f>
        <v>0.0786163522012579</v>
      </c>
      <c r="Y208" s="27" t="n">
        <f aca="false">IFERROR(SUMIFS($H$5:$H$238,$C$5:$C$238,$C208)/SUMIFS($I$5:$I$238,$C$5:$C$238,$C208),0)</f>
        <v>0.408805031446541</v>
      </c>
      <c r="Z208" s="24" t="n">
        <f aca="false">LN(MAX(I208,1))</f>
        <v>3.89182029811063</v>
      </c>
      <c r="AA208" s="24" t="n">
        <f aca="false">Calibration!$M$35+Calibration!$N$35+SUMPRODUCT(Calibration!$B$35:$F$35,J208:N208)+SUMPRODUCT(Calibration!$G$35:$K$35,U208:Y208)+Calibration!$L$35*Z208</f>
        <v>0.393608424442402</v>
      </c>
      <c r="AB208" s="24" t="n">
        <f aca="false">Calibration!$M$36+Calibration!$N$36+SUMPRODUCT(Calibration!$B$36:$F$36,J208:N208)+SUMPRODUCT(Calibration!$G$36:$K$36,U208:Y208)+Calibration!$L$36*Z208</f>
        <v>-0.140619085988261</v>
      </c>
      <c r="AC208" s="24" t="n">
        <f aca="false">Calibration!$M$37+Calibration!$N$37+SUMPRODUCT(Calibration!$B$37:$F$37,J208:N208)+SUMPRODUCT(Calibration!$G$37:$K$37,U208:Y208)+Calibration!$L$37*Z208</f>
        <v>0.57201118464944</v>
      </c>
      <c r="AD208" s="27" t="n">
        <f aca="false">EXP(AC208)/(EXP(AA208)+EXP(AB208)+EXP(AC208))</f>
        <v>0.429745589857863</v>
      </c>
      <c r="AE208" s="7" t="str">
        <f aca="false">IF(AC208=MAX(AA208:AC208),"TVK",IF(AB208=MAX(AA208:AC208),"DMK+","AIADMK+"))</f>
        <v>TVK</v>
      </c>
      <c r="AF208" s="7" t="str">
        <f aca="false">IF(AE208=R208,"Yes","No")</f>
        <v>No</v>
      </c>
      <c r="AG208" s="7" t="str">
        <f aca="false">IF(AE208=P208,"No","Yes")</f>
        <v>Yes</v>
      </c>
      <c r="AH208" s="7" t="str">
        <f aca="false">IF(H208=MAX(D208,E208,H208),"TVK",IF(E208=MAX(D208,E208,H208),"DMK+","AIADMK+"))</f>
        <v>AIADMK+</v>
      </c>
      <c r="AI208" s="27" t="n">
        <f aca="false">EXP(AA208)/(EXP(AA208)+EXP(AB208)+EXP(AC208))</f>
        <v>0.359527482931357</v>
      </c>
      <c r="AJ208" s="27" t="n">
        <f aca="false">EXP(AB208)/(EXP(AA208)+EXP(AB208)+EXP(AC208))</f>
        <v>0.21072692721078</v>
      </c>
      <c r="AK208" s="28" t="s">
        <v>3</v>
      </c>
      <c r="AL208" s="7" t="str">
        <f aca="false">IF(AK208=R208,"Yes","No")</f>
        <v>No</v>
      </c>
      <c r="AM208" s="27" t="n">
        <f aca="false">IF(AK208="TVK",AD208,IF(AK208="DMK+",AJ208,AI208))</f>
        <v>0.429745589857863</v>
      </c>
      <c r="AN208" s="7" t="str">
        <f aca="false">IF(AK208=P208,"No","Yes")</f>
        <v>Yes</v>
      </c>
    </row>
    <row r="209" customFormat="false" ht="15" hidden="false" customHeight="false" outlineLevel="0" collapsed="false">
      <c r="A209" s="0" t="n">
        <v>205</v>
      </c>
      <c r="B209" s="4" t="s">
        <v>390</v>
      </c>
      <c r="C209" s="5" t="s">
        <v>166</v>
      </c>
      <c r="D209" s="35" t="n">
        <v>22</v>
      </c>
      <c r="E209" s="35" t="n">
        <v>13</v>
      </c>
      <c r="F209" s="35"/>
      <c r="G209" s="35" t="n">
        <v>7</v>
      </c>
      <c r="H209" s="35" t="n">
        <v>31</v>
      </c>
      <c r="I209" s="5" t="n">
        <f aca="false">SUM(D209:H209)</f>
        <v>73</v>
      </c>
      <c r="J209" s="10" t="n">
        <f aca="false">IF($I209=0,0,D209/$I209)</f>
        <v>0.301369863013699</v>
      </c>
      <c r="K209" s="10" t="n">
        <f aca="false">IF($I209=0,0,E209/$I209)</f>
        <v>0.178082191780822</v>
      </c>
      <c r="L209" s="10" t="n">
        <f aca="false">IF($I209=0,0,F209/$I209)</f>
        <v>0</v>
      </c>
      <c r="M209" s="10" t="n">
        <f aca="false">IF($I209=0,0,G209/$I209)</f>
        <v>0.0958904109589041</v>
      </c>
      <c r="N209" s="10" t="n">
        <f aca="false">IF($I209=0,0,H209/$I209)</f>
        <v>0.424657534246575</v>
      </c>
      <c r="O209" s="35" t="s">
        <v>3</v>
      </c>
      <c r="P209" s="0" t="str">
        <f aca="false">IF(O209="TVK","TVK",IF(O209="DMK","DMK+",IF(O209="ADMK","AIADMK+","")))</f>
        <v>TVK</v>
      </c>
      <c r="Q209" s="35" t="s">
        <v>3</v>
      </c>
      <c r="R209" s="36" t="s">
        <v>3</v>
      </c>
      <c r="S209" s="0" t="str">
        <f aca="false">IF(P209=R209,"Yes","No")</f>
        <v>Yes</v>
      </c>
      <c r="T209" s="2"/>
      <c r="U209" s="27" t="n">
        <f aca="false">IFERROR(SUMIFS($D$5:$D$238,$C$5:$C$238,$C209)/SUMIFS($I$5:$I$238,$C$5:$C$238,$C209),0)</f>
        <v>0.292452830188679</v>
      </c>
      <c r="V209" s="27" t="n">
        <f aca="false">IFERROR(SUMIFS($E$5:$E$238,$C$5:$C$238,$C209)/SUMIFS($I$5:$I$238,$C$5:$C$238,$C209),0)</f>
        <v>0.216981132075472</v>
      </c>
      <c r="W209" s="27" t="n">
        <f aca="false">IFERROR(SUMIFS($F$5:$F$238,$C$5:$C$238,$C209)/SUMIFS($I$5:$I$238,$C$5:$C$238,$C209),0)</f>
        <v>0.00314465408805031</v>
      </c>
      <c r="X209" s="27" t="n">
        <f aca="false">IFERROR(SUMIFS($G$5:$G$238,$C$5:$C$238,$C209)/SUMIFS($I$5:$I$238,$C$5:$C$238,$C209),0)</f>
        <v>0.0786163522012579</v>
      </c>
      <c r="Y209" s="27" t="n">
        <f aca="false">IFERROR(SUMIFS($H$5:$H$238,$C$5:$C$238,$C209)/SUMIFS($I$5:$I$238,$C$5:$C$238,$C209),0)</f>
        <v>0.408805031446541</v>
      </c>
      <c r="Z209" s="24" t="n">
        <f aca="false">LN(MAX(I209,1))</f>
        <v>4.29045944114839</v>
      </c>
      <c r="AA209" s="24" t="n">
        <f aca="false">Calibration!$M$35+Calibration!$N$35+SUMPRODUCT(Calibration!$B$35:$F$35,J209:N209)+SUMPRODUCT(Calibration!$G$35:$K$35,U209:Y209)+Calibration!$L$35*Z209</f>
        <v>0.00585656950691726</v>
      </c>
      <c r="AB209" s="24" t="n">
        <f aca="false">Calibration!$M$36+Calibration!$N$36+SUMPRODUCT(Calibration!$B$36:$F$36,J209:N209)+SUMPRODUCT(Calibration!$G$36:$K$36,U209:Y209)+Calibration!$L$36*Z209</f>
        <v>-0.267805295853371</v>
      </c>
      <c r="AC209" s="24" t="n">
        <f aca="false">Calibration!$M$37+Calibration!$N$37+SUMPRODUCT(Calibration!$B$37:$F$37,J209:N209)+SUMPRODUCT(Calibration!$G$37:$K$37,U209:Y209)+Calibration!$L$37*Z209</f>
        <v>1.08694936798512</v>
      </c>
      <c r="AD209" s="27" t="n">
        <f aca="false">EXP(AC209)/(EXP(AA209)+EXP(AB209)+EXP(AC209))</f>
        <v>0.626081867555295</v>
      </c>
      <c r="AE209" s="7" t="str">
        <f aca="false">IF(AC209=MAX(AA209:AC209),"TVK",IF(AB209=MAX(AA209:AC209),"DMK+","AIADMK+"))</f>
        <v>TVK</v>
      </c>
      <c r="AF209" s="7" t="str">
        <f aca="false">IF(AE209=R209,"Yes","No")</f>
        <v>Yes</v>
      </c>
      <c r="AG209" s="7" t="str">
        <f aca="false">IF(AE209=P209,"No","Yes")</f>
        <v>No</v>
      </c>
      <c r="AH209" s="7" t="str">
        <f aca="false">IF(H209=MAX(D209,E209,H209),"TVK",IF(E209=MAX(D209,E209,H209),"DMK+","AIADMK+"))</f>
        <v>TVK</v>
      </c>
      <c r="AI209" s="27" t="n">
        <f aca="false">EXP(AA209)/(EXP(AA209)+EXP(AB209)+EXP(AC209))</f>
        <v>0.212382382903739</v>
      </c>
      <c r="AJ209" s="27" t="n">
        <f aca="false">EXP(AB209)/(EXP(AA209)+EXP(AB209)+EXP(AC209))</f>
        <v>0.161535749540966</v>
      </c>
      <c r="AK209" s="28" t="s">
        <v>3</v>
      </c>
      <c r="AL209" s="7" t="str">
        <f aca="false">IF(AK209=R209,"Yes","No")</f>
        <v>Yes</v>
      </c>
      <c r="AM209" s="27" t="n">
        <f aca="false">IF(AK209="TVK",AD209,IF(AK209="DMK+",AJ209,AI209))</f>
        <v>0.626081867555295</v>
      </c>
      <c r="AN209" s="7" t="str">
        <f aca="false">IF(AK209=P209,"No","Yes")</f>
        <v>No</v>
      </c>
    </row>
    <row r="210" customFormat="false" ht="15" hidden="true" customHeight="false" outlineLevel="0" collapsed="false">
      <c r="A210" s="0" t="n">
        <v>206</v>
      </c>
      <c r="B210" s="4" t="s">
        <v>166</v>
      </c>
      <c r="C210" s="5" t="s">
        <v>166</v>
      </c>
      <c r="D210" s="35" t="n">
        <v>8</v>
      </c>
      <c r="E210" s="35" t="n">
        <v>21</v>
      </c>
      <c r="F210" s="35"/>
      <c r="G210" s="35" t="n">
        <v>2</v>
      </c>
      <c r="H210" s="35" t="n">
        <v>19</v>
      </c>
      <c r="I210" s="5" t="n">
        <f aca="false">SUM(D210:H210)</f>
        <v>50</v>
      </c>
      <c r="J210" s="10" t="n">
        <f aca="false">IF($I210=0,0,D210/$I210)</f>
        <v>0.16</v>
      </c>
      <c r="K210" s="10" t="n">
        <f aca="false">IF($I210=0,0,E210/$I210)</f>
        <v>0.42</v>
      </c>
      <c r="L210" s="10" t="n">
        <f aca="false">IF($I210=0,0,F210/$I210)</f>
        <v>0</v>
      </c>
      <c r="M210" s="10" t="n">
        <f aca="false">IF($I210=0,0,G210/$I210)</f>
        <v>0.04</v>
      </c>
      <c r="N210" s="10" t="n">
        <f aca="false">IF($I210=0,0,H210/$I210)</f>
        <v>0.38</v>
      </c>
      <c r="O210" s="35" t="s">
        <v>197</v>
      </c>
      <c r="P210" s="0" t="str">
        <f aca="false">IF(O210="TVK","TVK",IF(O210="DMK","DMK+",IF(O210="ADMK","AIADMK+","")))</f>
        <v>DMK+</v>
      </c>
      <c r="Q210" s="35" t="s">
        <v>3</v>
      </c>
      <c r="R210" s="36" t="s">
        <v>3</v>
      </c>
      <c r="S210" s="0" t="str">
        <f aca="false">IF(P210=R210,"Yes","No")</f>
        <v>No</v>
      </c>
      <c r="T210" s="2"/>
      <c r="U210" s="27" t="n">
        <f aca="false">IFERROR(SUMIFS($D$5:$D$238,$C$5:$C$238,$C210)/SUMIFS($I$5:$I$238,$C$5:$C$238,$C210),0)</f>
        <v>0.292452830188679</v>
      </c>
      <c r="V210" s="27" t="n">
        <f aca="false">IFERROR(SUMIFS($E$5:$E$238,$C$5:$C$238,$C210)/SUMIFS($I$5:$I$238,$C$5:$C$238,$C210),0)</f>
        <v>0.216981132075472</v>
      </c>
      <c r="W210" s="27" t="n">
        <f aca="false">IFERROR(SUMIFS($F$5:$F$238,$C$5:$C$238,$C210)/SUMIFS($I$5:$I$238,$C$5:$C$238,$C210),0)</f>
        <v>0.00314465408805031</v>
      </c>
      <c r="X210" s="27" t="n">
        <f aca="false">IFERROR(SUMIFS($G$5:$G$238,$C$5:$C$238,$C210)/SUMIFS($I$5:$I$238,$C$5:$C$238,$C210),0)</f>
        <v>0.0786163522012579</v>
      </c>
      <c r="Y210" s="27" t="n">
        <f aca="false">IFERROR(SUMIFS($H$5:$H$238,$C$5:$C$238,$C210)/SUMIFS($I$5:$I$238,$C$5:$C$238,$C210),0)</f>
        <v>0.408805031446541</v>
      </c>
      <c r="Z210" s="24" t="n">
        <f aca="false">LN(MAX(I210,1))</f>
        <v>3.91202300542815</v>
      </c>
      <c r="AA210" s="24" t="n">
        <f aca="false">Calibration!$M$35+Calibration!$N$35+SUMPRODUCT(Calibration!$B$35:$F$35,J210:N210)+SUMPRODUCT(Calibration!$G$35:$K$35,U210:Y210)+Calibration!$L$35*Z210</f>
        <v>-0.0928175930912101</v>
      </c>
      <c r="AB210" s="24" t="n">
        <f aca="false">Calibration!$M$36+Calibration!$N$36+SUMPRODUCT(Calibration!$B$36:$F$36,J210:N210)+SUMPRODUCT(Calibration!$G$36:$K$36,U210:Y210)+Calibration!$L$36*Z210</f>
        <v>0.351215330560375</v>
      </c>
      <c r="AC210" s="24" t="n">
        <f aca="false">Calibration!$M$37+Calibration!$N$37+SUMPRODUCT(Calibration!$B$37:$F$37,J210:N210)+SUMPRODUCT(Calibration!$G$37:$K$37,U210:Y210)+Calibration!$L$37*Z210</f>
        <v>0.566602859511967</v>
      </c>
      <c r="AD210" s="27" t="n">
        <f aca="false">EXP(AC210)/(EXP(AA210)+EXP(AB210)+EXP(AC210))</f>
        <v>0.430407441502031</v>
      </c>
      <c r="AE210" s="7" t="str">
        <f aca="false">IF(AC210=MAX(AA210:AC210),"TVK",IF(AB210=MAX(AA210:AC210),"DMK+","AIADMK+"))</f>
        <v>TVK</v>
      </c>
      <c r="AF210" s="7" t="str">
        <f aca="false">IF(AE210=R210,"Yes","No")</f>
        <v>Yes</v>
      </c>
      <c r="AG210" s="7" t="str">
        <f aca="false">IF(AE210=P210,"No","Yes")</f>
        <v>Yes</v>
      </c>
      <c r="AH210" s="7" t="str">
        <f aca="false">IF(H210=MAX(D210,E210,H210),"TVK",IF(E210=MAX(D210,E210,H210),"DMK+","AIADMK+"))</f>
        <v>DMK+</v>
      </c>
      <c r="AI210" s="27" t="n">
        <f aca="false">EXP(AA210)/(EXP(AA210)+EXP(AB210)+EXP(AC210))</f>
        <v>0.222585622060045</v>
      </c>
      <c r="AJ210" s="27" t="n">
        <f aca="false">EXP(AB210)/(EXP(AA210)+EXP(AB210)+EXP(AC210))</f>
        <v>0.347006936437924</v>
      </c>
      <c r="AK210" s="28" t="s">
        <v>3</v>
      </c>
      <c r="AL210" s="7" t="str">
        <f aca="false">IF(AK210=R210,"Yes","No")</f>
        <v>Yes</v>
      </c>
      <c r="AM210" s="27" t="n">
        <f aca="false">IF(AK210="TVK",AD210,IF(AK210="DMK+",AJ210,AI210))</f>
        <v>0.430407441502031</v>
      </c>
      <c r="AN210" s="7" t="str">
        <f aca="false">IF(AK210=P210,"No","Yes")</f>
        <v>Yes</v>
      </c>
    </row>
    <row r="211" customFormat="false" ht="15" hidden="false" customHeight="false" outlineLevel="0" collapsed="false">
      <c r="A211" s="0" t="n">
        <v>207</v>
      </c>
      <c r="B211" s="4" t="s">
        <v>391</v>
      </c>
      <c r="C211" s="5" t="s">
        <v>166</v>
      </c>
      <c r="D211" s="35" t="n">
        <v>6</v>
      </c>
      <c r="E211" s="35" t="n">
        <v>7</v>
      </c>
      <c r="F211" s="35"/>
      <c r="G211" s="35" t="n">
        <v>2</v>
      </c>
      <c r="H211" s="35" t="n">
        <v>12</v>
      </c>
      <c r="I211" s="5" t="n">
        <f aca="false">SUM(D211:H211)</f>
        <v>27</v>
      </c>
      <c r="J211" s="10" t="n">
        <f aca="false">IF($I211=0,0,D211/$I211)</f>
        <v>0.222222222222222</v>
      </c>
      <c r="K211" s="10" t="n">
        <f aca="false">IF($I211=0,0,E211/$I211)</f>
        <v>0.259259259259259</v>
      </c>
      <c r="L211" s="10" t="n">
        <f aca="false">IF($I211=0,0,F211/$I211)</f>
        <v>0</v>
      </c>
      <c r="M211" s="10" t="n">
        <f aca="false">IF($I211=0,0,G211/$I211)</f>
        <v>0.0740740740740741</v>
      </c>
      <c r="N211" s="10" t="n">
        <f aca="false">IF($I211=0,0,H211/$I211)</f>
        <v>0.444444444444444</v>
      </c>
      <c r="O211" s="35" t="s">
        <v>3</v>
      </c>
      <c r="P211" s="0" t="str">
        <f aca="false">IF(O211="TVK","TVK",IF(O211="DMK","DMK+",IF(O211="ADMK","AIADMK+","")))</f>
        <v>TVK</v>
      </c>
      <c r="Q211" s="35" t="s">
        <v>197</v>
      </c>
      <c r="R211" s="36" t="s">
        <v>5</v>
      </c>
      <c r="S211" s="0" t="str">
        <f aca="false">IF(P211=R211,"Yes","No")</f>
        <v>No</v>
      </c>
      <c r="T211" s="2"/>
      <c r="U211" s="27" t="n">
        <f aca="false">IFERROR(SUMIFS($D$5:$D$238,$C$5:$C$238,$C211)/SUMIFS($I$5:$I$238,$C$5:$C$238,$C211),0)</f>
        <v>0.292452830188679</v>
      </c>
      <c r="V211" s="27" t="n">
        <f aca="false">IFERROR(SUMIFS($E$5:$E$238,$C$5:$C$238,$C211)/SUMIFS($I$5:$I$238,$C$5:$C$238,$C211),0)</f>
        <v>0.216981132075472</v>
      </c>
      <c r="W211" s="27" t="n">
        <f aca="false">IFERROR(SUMIFS($F$5:$F$238,$C$5:$C$238,$C211)/SUMIFS($I$5:$I$238,$C$5:$C$238,$C211),0)</f>
        <v>0.00314465408805031</v>
      </c>
      <c r="X211" s="27" t="n">
        <f aca="false">IFERROR(SUMIFS($G$5:$G$238,$C$5:$C$238,$C211)/SUMIFS($I$5:$I$238,$C$5:$C$238,$C211),0)</f>
        <v>0.0786163522012579</v>
      </c>
      <c r="Y211" s="27" t="n">
        <f aca="false">IFERROR(SUMIFS($H$5:$H$238,$C$5:$C$238,$C211)/SUMIFS($I$5:$I$238,$C$5:$C$238,$C211),0)</f>
        <v>0.408805031446541</v>
      </c>
      <c r="Z211" s="24" t="n">
        <f aca="false">LN(MAX(I211,1))</f>
        <v>3.29583686600433</v>
      </c>
      <c r="AA211" s="24" t="n">
        <f aca="false">Calibration!$M$35+Calibration!$N$35+SUMPRODUCT(Calibration!$B$35:$F$35,J211:N211)+SUMPRODUCT(Calibration!$G$35:$K$35,U211:Y211)+Calibration!$L$35*Z211</f>
        <v>0.391488844747353</v>
      </c>
      <c r="AB211" s="24" t="n">
        <f aca="false">Calibration!$M$36+Calibration!$N$36+SUMPRODUCT(Calibration!$B$36:$F$36,J211:N211)+SUMPRODUCT(Calibration!$G$36:$K$36,U211:Y211)+Calibration!$L$36*Z211</f>
        <v>0.490383019069015</v>
      </c>
      <c r="AC211" s="24" t="n">
        <f aca="false">Calibration!$M$37+Calibration!$N$37+SUMPRODUCT(Calibration!$B$37:$F$37,J211:N211)+SUMPRODUCT(Calibration!$G$37:$K$37,U211:Y211)+Calibration!$L$37*Z211</f>
        <v>-0.0568712023907918</v>
      </c>
      <c r="AD211" s="27" t="n">
        <f aca="false">EXP(AC211)/(EXP(AA211)+EXP(AB211)+EXP(AC211))</f>
        <v>0.232869927893531</v>
      </c>
      <c r="AE211" s="7" t="str">
        <f aca="false">IF(AC211=MAX(AA211:AC211),"TVK",IF(AB211=MAX(AA211:AC211),"DMK+","AIADMK+"))</f>
        <v>DMK+</v>
      </c>
      <c r="AF211" s="7" t="str">
        <f aca="false">IF(AE211=R211,"Yes","No")</f>
        <v>Yes</v>
      </c>
      <c r="AG211" s="7" t="str">
        <f aca="false">IF(AE211=P211,"No","Yes")</f>
        <v>Yes</v>
      </c>
      <c r="AH211" s="7" t="str">
        <f aca="false">IF(H211=MAX(D211,E211,H211),"TVK",IF(E211=MAX(D211,E211,H211),"DMK+","AIADMK+"))</f>
        <v>TVK</v>
      </c>
      <c r="AI211" s="27" t="n">
        <f aca="false">EXP(AA211)/(EXP(AA211)+EXP(AB211)+EXP(AC211))</f>
        <v>0.364614304703904</v>
      </c>
      <c r="AJ211" s="27" t="n">
        <f aca="false">EXP(AB211)/(EXP(AA211)+EXP(AB211)+EXP(AC211))</f>
        <v>0.402515767402565</v>
      </c>
      <c r="AK211" s="28" t="s">
        <v>5</v>
      </c>
      <c r="AL211" s="7" t="str">
        <f aca="false">IF(AK211=R211,"Yes","No")</f>
        <v>Yes</v>
      </c>
      <c r="AM211" s="27" t="n">
        <f aca="false">IF(AK211="TVK",AD211,IF(AK211="DMK+",AJ211,AI211))</f>
        <v>0.402515767402565</v>
      </c>
      <c r="AN211" s="7" t="str">
        <f aca="false">IF(AK211=P211,"No","Yes")</f>
        <v>Yes</v>
      </c>
    </row>
    <row r="212" customFormat="false" ht="15" hidden="false" customHeight="false" outlineLevel="0" collapsed="false">
      <c r="A212" s="0" t="n">
        <v>208</v>
      </c>
      <c r="B212" s="4" t="s">
        <v>392</v>
      </c>
      <c r="C212" s="5" t="s">
        <v>166</v>
      </c>
      <c r="D212" s="35" t="n">
        <v>5</v>
      </c>
      <c r="E212" s="35" t="n">
        <v>3</v>
      </c>
      <c r="F212" s="35"/>
      <c r="G212" s="35" t="n">
        <v>1</v>
      </c>
      <c r="H212" s="35" t="n">
        <v>11</v>
      </c>
      <c r="I212" s="5" t="n">
        <f aca="false">SUM(D212:H212)</f>
        <v>20</v>
      </c>
      <c r="J212" s="10" t="n">
        <f aca="false">IF($I212=0,0,D212/$I212)</f>
        <v>0.25</v>
      </c>
      <c r="K212" s="10" t="n">
        <f aca="false">IF($I212=0,0,E212/$I212)</f>
        <v>0.15</v>
      </c>
      <c r="L212" s="10" t="n">
        <f aca="false">IF($I212=0,0,F212/$I212)</f>
        <v>0</v>
      </c>
      <c r="M212" s="10" t="n">
        <f aca="false">IF($I212=0,0,G212/$I212)</f>
        <v>0.05</v>
      </c>
      <c r="N212" s="10" t="n">
        <f aca="false">IF($I212=0,0,H212/$I212)</f>
        <v>0.55</v>
      </c>
      <c r="O212" s="35" t="s">
        <v>3</v>
      </c>
      <c r="P212" s="0" t="str">
        <f aca="false">IF(O212="TVK","TVK",IF(O212="DMK","DMK+",IF(O212="ADMK","AIADMK+","")))</f>
        <v>TVK</v>
      </c>
      <c r="Q212" s="35" t="s">
        <v>197</v>
      </c>
      <c r="R212" s="36" t="s">
        <v>5</v>
      </c>
      <c r="S212" s="0" t="str">
        <f aca="false">IF(P212=R212,"Yes","No")</f>
        <v>No</v>
      </c>
      <c r="T212" s="2"/>
      <c r="U212" s="27" t="n">
        <f aca="false">IFERROR(SUMIFS($D$5:$D$238,$C$5:$C$238,$C212)/SUMIFS($I$5:$I$238,$C$5:$C$238,$C212),0)</f>
        <v>0.292452830188679</v>
      </c>
      <c r="V212" s="27" t="n">
        <f aca="false">IFERROR(SUMIFS($E$5:$E$238,$C$5:$C$238,$C212)/SUMIFS($I$5:$I$238,$C$5:$C$238,$C212),0)</f>
        <v>0.216981132075472</v>
      </c>
      <c r="W212" s="27" t="n">
        <f aca="false">IFERROR(SUMIFS($F$5:$F$238,$C$5:$C$238,$C212)/SUMIFS($I$5:$I$238,$C$5:$C$238,$C212),0)</f>
        <v>0.00314465408805031</v>
      </c>
      <c r="X212" s="27" t="n">
        <f aca="false">IFERROR(SUMIFS($G$5:$G$238,$C$5:$C$238,$C212)/SUMIFS($I$5:$I$238,$C$5:$C$238,$C212),0)</f>
        <v>0.0786163522012579</v>
      </c>
      <c r="Y212" s="27" t="n">
        <f aca="false">IFERROR(SUMIFS($H$5:$H$238,$C$5:$C$238,$C212)/SUMIFS($I$5:$I$238,$C$5:$C$238,$C212),0)</f>
        <v>0.408805031446541</v>
      </c>
      <c r="Z212" s="24" t="n">
        <f aca="false">LN(MAX(I212,1))</f>
        <v>2.99573227355399</v>
      </c>
      <c r="AA212" s="24" t="n">
        <f aca="false">Calibration!$M$35+Calibration!$N$35+SUMPRODUCT(Calibration!$B$35:$F$35,J212:N212)+SUMPRODUCT(Calibration!$G$35:$K$35,U212:Y212)+Calibration!$L$35*Z212</f>
        <v>0.632542200855512</v>
      </c>
      <c r="AB212" s="24" t="n">
        <f aca="false">Calibration!$M$36+Calibration!$N$36+SUMPRODUCT(Calibration!$B$36:$F$36,J212:N212)+SUMPRODUCT(Calibration!$G$36:$K$36,U212:Y212)+Calibration!$L$36*Z212</f>
        <v>0.496400128749369</v>
      </c>
      <c r="AC212" s="24" t="n">
        <f aca="false">Calibration!$M$37+Calibration!$N$37+SUMPRODUCT(Calibration!$B$37:$F$37,J212:N212)+SUMPRODUCT(Calibration!$G$37:$K$37,U212:Y212)+Calibration!$L$37*Z212</f>
        <v>-0.303941562623749</v>
      </c>
      <c r="AD212" s="27" t="n">
        <f aca="false">EXP(AC212)/(EXP(AA212)+EXP(AB212)+EXP(AC212))</f>
        <v>0.173091319324457</v>
      </c>
      <c r="AE212" s="7" t="str">
        <f aca="false">IF(AC212=MAX(AA212:AC212),"TVK",IF(AB212=MAX(AA212:AC212),"DMK+","AIADMK+"))</f>
        <v>AIADMK+</v>
      </c>
      <c r="AF212" s="7" t="str">
        <f aca="false">IF(AE212=R212,"Yes","No")</f>
        <v>No</v>
      </c>
      <c r="AG212" s="7" t="str">
        <f aca="false">IF(AE212=P212,"No","Yes")</f>
        <v>Yes</v>
      </c>
      <c r="AH212" s="7" t="str">
        <f aca="false">IF(H212=MAX(D212,E212,H212),"TVK",IF(E212=MAX(D212,E212,H212),"DMK+","AIADMK+"))</f>
        <v>TVK</v>
      </c>
      <c r="AI212" s="27" t="n">
        <f aca="false">EXP(AA212)/(EXP(AA212)+EXP(AB212)+EXP(AC212))</f>
        <v>0.441555215690643</v>
      </c>
      <c r="AJ212" s="27" t="n">
        <f aca="false">EXP(AB212)/(EXP(AA212)+EXP(AB212)+EXP(AC212))</f>
        <v>0.385353464984901</v>
      </c>
      <c r="AK212" s="28" t="s">
        <v>5</v>
      </c>
      <c r="AL212" s="7" t="str">
        <f aca="false">IF(AK212=R212,"Yes","No")</f>
        <v>Yes</v>
      </c>
      <c r="AM212" s="27" t="n">
        <f aca="false">IF(AK212="TVK",AD212,IF(AK212="DMK+",AJ212,AI212))</f>
        <v>0.385353464984901</v>
      </c>
      <c r="AN212" s="7" t="str">
        <f aca="false">IF(AK212=P212,"No","Yes")</f>
        <v>Yes</v>
      </c>
    </row>
    <row r="213" customFormat="false" ht="15" hidden="false" customHeight="false" outlineLevel="0" collapsed="false">
      <c r="A213" s="0" t="n">
        <v>209</v>
      </c>
      <c r="B213" s="4" t="s">
        <v>393</v>
      </c>
      <c r="C213" s="5" t="s">
        <v>130</v>
      </c>
      <c r="D213" s="35" t="n">
        <v>8</v>
      </c>
      <c r="E213" s="35" t="n">
        <v>9</v>
      </c>
      <c r="F213" s="35"/>
      <c r="G213" s="35" t="n">
        <v>5</v>
      </c>
      <c r="H213" s="35" t="n">
        <v>18</v>
      </c>
      <c r="I213" s="5" t="n">
        <f aca="false">SUM(D213:H213)</f>
        <v>40</v>
      </c>
      <c r="J213" s="10" t="n">
        <f aca="false">IF($I213=0,0,D213/$I213)</f>
        <v>0.2</v>
      </c>
      <c r="K213" s="10" t="n">
        <f aca="false">IF($I213=0,0,E213/$I213)</f>
        <v>0.225</v>
      </c>
      <c r="L213" s="10" t="n">
        <f aca="false">IF($I213=0,0,F213/$I213)</f>
        <v>0</v>
      </c>
      <c r="M213" s="10" t="n">
        <f aca="false">IF($I213=0,0,G213/$I213)</f>
        <v>0.125</v>
      </c>
      <c r="N213" s="10" t="n">
        <f aca="false">IF($I213=0,0,H213/$I213)</f>
        <v>0.45</v>
      </c>
      <c r="O213" s="35" t="s">
        <v>3</v>
      </c>
      <c r="P213" s="0" t="str">
        <f aca="false">IF(O213="TVK","TVK",IF(O213="DMK","DMK+",IF(O213="ADMK","AIADMK+","")))</f>
        <v>TVK</v>
      </c>
      <c r="Q213" s="35" t="s">
        <v>197</v>
      </c>
      <c r="R213" s="36" t="s">
        <v>5</v>
      </c>
      <c r="S213" s="0" t="str">
        <f aca="false">IF(P213=R213,"Yes","No")</f>
        <v>No</v>
      </c>
      <c r="T213" s="2"/>
      <c r="U213" s="27" t="n">
        <f aca="false">IFERROR(SUMIFS($D$5:$D$238,$C$5:$C$238,$C213)/SUMIFS($I$5:$I$238,$C$5:$C$238,$C213),0)</f>
        <v>0.212765957446809</v>
      </c>
      <c r="V213" s="27" t="n">
        <f aca="false">IFERROR(SUMIFS($E$5:$E$238,$C$5:$C$238,$C213)/SUMIFS($I$5:$I$238,$C$5:$C$238,$C213),0)</f>
        <v>0.319148936170213</v>
      </c>
      <c r="W213" s="27" t="n">
        <f aca="false">IFERROR(SUMIFS($F$5:$F$238,$C$5:$C$238,$C213)/SUMIFS($I$5:$I$238,$C$5:$C$238,$C213),0)</f>
        <v>0.00531914893617021</v>
      </c>
      <c r="X213" s="27" t="n">
        <f aca="false">IFERROR(SUMIFS($G$5:$G$238,$C$5:$C$238,$C213)/SUMIFS($I$5:$I$238,$C$5:$C$238,$C213),0)</f>
        <v>0.127659574468085</v>
      </c>
      <c r="Y213" s="27" t="n">
        <f aca="false">IFERROR(SUMIFS($H$5:$H$238,$C$5:$C$238,$C213)/SUMIFS($I$5:$I$238,$C$5:$C$238,$C213),0)</f>
        <v>0.335106382978723</v>
      </c>
      <c r="Z213" s="24" t="n">
        <f aca="false">LN(MAX(I213,1))</f>
        <v>3.68887945411394</v>
      </c>
      <c r="AA213" s="24" t="n">
        <f aca="false">Calibration!$M$35+Calibration!$N$35+SUMPRODUCT(Calibration!$B$35:$F$35,J213:N213)+SUMPRODUCT(Calibration!$G$35:$K$35,U213:Y213)+Calibration!$L$35*Z213</f>
        <v>0.0862450087738891</v>
      </c>
      <c r="AB213" s="24" t="n">
        <f aca="false">Calibration!$M$36+Calibration!$N$36+SUMPRODUCT(Calibration!$B$36:$F$36,J213:N213)+SUMPRODUCT(Calibration!$G$36:$K$36,U213:Y213)+Calibration!$L$36*Z213</f>
        <v>0.42757935893472</v>
      </c>
      <c r="AC213" s="24" t="n">
        <f aca="false">Calibration!$M$37+Calibration!$N$37+SUMPRODUCT(Calibration!$B$37:$F$37,J213:N213)+SUMPRODUCT(Calibration!$G$37:$K$37,U213:Y213)+Calibration!$L$37*Z213</f>
        <v>0.311176401440327</v>
      </c>
      <c r="AD213" s="27" t="n">
        <f aca="false">EXP(AC213)/(EXP(AA213)+EXP(AB213)+EXP(AC213))</f>
        <v>0.342229065970919</v>
      </c>
      <c r="AE213" s="7" t="str">
        <f aca="false">IF(AC213=MAX(AA213:AC213),"TVK",IF(AB213=MAX(AA213:AC213),"DMK+","AIADMK+"))</f>
        <v>DMK+</v>
      </c>
      <c r="AF213" s="7" t="str">
        <f aca="false">IF(AE213=R213,"Yes","No")</f>
        <v>Yes</v>
      </c>
      <c r="AG213" s="7" t="str">
        <f aca="false">IF(AE213=P213,"No","Yes")</f>
        <v>Yes</v>
      </c>
      <c r="AH213" s="7" t="str">
        <f aca="false">IF(H213=MAX(D213,E213,H213),"TVK",IF(E213=MAX(D213,E213,H213),"DMK+","AIADMK+"))</f>
        <v>TVK</v>
      </c>
      <c r="AI213" s="27" t="n">
        <f aca="false">EXP(AA213)/(EXP(AA213)+EXP(AB213)+EXP(AC213))</f>
        <v>0.273294209052434</v>
      </c>
      <c r="AJ213" s="27" t="n">
        <f aca="false">EXP(AB213)/(EXP(AA213)+EXP(AB213)+EXP(AC213))</f>
        <v>0.384476724976648</v>
      </c>
      <c r="AK213" s="28" t="s">
        <v>5</v>
      </c>
      <c r="AL213" s="7" t="str">
        <f aca="false">IF(AK213=R213,"Yes","No")</f>
        <v>Yes</v>
      </c>
      <c r="AM213" s="27" t="n">
        <f aca="false">IF(AK213="TVK",AD213,IF(AK213="DMK+",AJ213,AI213))</f>
        <v>0.384476724976648</v>
      </c>
      <c r="AN213" s="7" t="str">
        <f aca="false">IF(AK213=P213,"No","Yes")</f>
        <v>Yes</v>
      </c>
    </row>
    <row r="214" customFormat="false" ht="15" hidden="true" customHeight="false" outlineLevel="0" collapsed="false">
      <c r="A214" s="0" t="n">
        <v>210</v>
      </c>
      <c r="B214" s="4" t="s">
        <v>394</v>
      </c>
      <c r="C214" s="5" t="s">
        <v>130</v>
      </c>
      <c r="D214" s="35" t="n">
        <v>5</v>
      </c>
      <c r="E214" s="35" t="n">
        <v>16</v>
      </c>
      <c r="F214" s="35" t="n">
        <v>1</v>
      </c>
      <c r="G214" s="35" t="n">
        <v>2</v>
      </c>
      <c r="H214" s="35" t="n">
        <v>13</v>
      </c>
      <c r="I214" s="5" t="n">
        <f aca="false">SUM(D214:H214)</f>
        <v>37</v>
      </c>
      <c r="J214" s="10" t="n">
        <f aca="false">IF($I214=0,0,D214/$I214)</f>
        <v>0.135135135135135</v>
      </c>
      <c r="K214" s="10" t="n">
        <f aca="false">IF($I214=0,0,E214/$I214)</f>
        <v>0.432432432432432</v>
      </c>
      <c r="L214" s="10" t="n">
        <f aca="false">IF($I214=0,0,F214/$I214)</f>
        <v>0.027027027027027</v>
      </c>
      <c r="M214" s="10" t="n">
        <f aca="false">IF($I214=0,0,G214/$I214)</f>
        <v>0.0540540540540541</v>
      </c>
      <c r="N214" s="10" t="n">
        <f aca="false">IF($I214=0,0,H214/$I214)</f>
        <v>0.351351351351351</v>
      </c>
      <c r="O214" s="35" t="s">
        <v>197</v>
      </c>
      <c r="P214" s="0" t="str">
        <f aca="false">IF(O214="TVK","TVK",IF(O214="DMK","DMK+",IF(O214="ADMK","AIADMK+","")))</f>
        <v>DMK+</v>
      </c>
      <c r="Q214" s="35" t="s">
        <v>3</v>
      </c>
      <c r="R214" s="36" t="s">
        <v>3</v>
      </c>
      <c r="S214" s="0" t="str">
        <f aca="false">IF(P214=R214,"Yes","No")</f>
        <v>No</v>
      </c>
      <c r="T214" s="2"/>
      <c r="U214" s="27" t="n">
        <f aca="false">IFERROR(SUMIFS($D$5:$D$238,$C$5:$C$238,$C214)/SUMIFS($I$5:$I$238,$C$5:$C$238,$C214),0)</f>
        <v>0.212765957446809</v>
      </c>
      <c r="V214" s="27" t="n">
        <f aca="false">IFERROR(SUMIFS($E$5:$E$238,$C$5:$C$238,$C214)/SUMIFS($I$5:$I$238,$C$5:$C$238,$C214),0)</f>
        <v>0.319148936170213</v>
      </c>
      <c r="W214" s="27" t="n">
        <f aca="false">IFERROR(SUMIFS($F$5:$F$238,$C$5:$C$238,$C214)/SUMIFS($I$5:$I$238,$C$5:$C$238,$C214),0)</f>
        <v>0.00531914893617021</v>
      </c>
      <c r="X214" s="27" t="n">
        <f aca="false">IFERROR(SUMIFS($G$5:$G$238,$C$5:$C$238,$C214)/SUMIFS($I$5:$I$238,$C$5:$C$238,$C214),0)</f>
        <v>0.127659574468085</v>
      </c>
      <c r="Y214" s="27" t="n">
        <f aca="false">IFERROR(SUMIFS($H$5:$H$238,$C$5:$C$238,$C214)/SUMIFS($I$5:$I$238,$C$5:$C$238,$C214),0)</f>
        <v>0.335106382978723</v>
      </c>
      <c r="Z214" s="24" t="n">
        <f aca="false">LN(MAX(I214,1))</f>
        <v>3.61091791264422</v>
      </c>
      <c r="AA214" s="24" t="n">
        <f aca="false">Calibration!$M$35+Calibration!$N$35+SUMPRODUCT(Calibration!$B$35:$F$35,J214:N214)+SUMPRODUCT(Calibration!$G$35:$K$35,U214:Y214)+Calibration!$L$35*Z214</f>
        <v>-0.0644210114540884</v>
      </c>
      <c r="AB214" s="24" t="n">
        <f aca="false">Calibration!$M$36+Calibration!$N$36+SUMPRODUCT(Calibration!$B$36:$F$36,J214:N214)+SUMPRODUCT(Calibration!$G$36:$K$36,U214:Y214)+Calibration!$L$36*Z214</f>
        <v>0.775042375289194</v>
      </c>
      <c r="AC214" s="24" t="n">
        <f aca="false">Calibration!$M$37+Calibration!$N$37+SUMPRODUCT(Calibration!$B$37:$F$37,J214:N214)+SUMPRODUCT(Calibration!$G$37:$K$37,U214:Y214)+Calibration!$L$37*Z214</f>
        <v>0.114379306665182</v>
      </c>
      <c r="AD214" s="27" t="n">
        <f aca="false">EXP(AC214)/(EXP(AA214)+EXP(AB214)+EXP(AC214))</f>
        <v>0.265086852854431</v>
      </c>
      <c r="AE214" s="7" t="str">
        <f aca="false">IF(AC214=MAX(AA214:AC214),"TVK",IF(AB214=MAX(AA214:AC214),"DMK+","AIADMK+"))</f>
        <v>DMK+</v>
      </c>
      <c r="AF214" s="7" t="str">
        <f aca="false">IF(AE214=R214,"Yes","No")</f>
        <v>No</v>
      </c>
      <c r="AG214" s="7" t="str">
        <f aca="false">IF(AE214=P214,"No","Yes")</f>
        <v>No</v>
      </c>
      <c r="AH214" s="7" t="str">
        <f aca="false">IF(H214=MAX(D214,E214,H214),"TVK",IF(E214=MAX(D214,E214,H214),"DMK+","AIADMK+"))</f>
        <v>DMK+</v>
      </c>
      <c r="AI214" s="27" t="n">
        <f aca="false">EXP(AA214)/(EXP(AA214)+EXP(AB214)+EXP(AC214))</f>
        <v>0.221684943571334</v>
      </c>
      <c r="AJ214" s="27" t="n">
        <f aca="false">EXP(AB214)/(EXP(AA214)+EXP(AB214)+EXP(AC214))</f>
        <v>0.513228203574236</v>
      </c>
      <c r="AK214" s="28" t="s">
        <v>5</v>
      </c>
      <c r="AL214" s="7" t="str">
        <f aca="false">IF(AK214=R214,"Yes","No")</f>
        <v>No</v>
      </c>
      <c r="AM214" s="27" t="n">
        <f aca="false">IF(AK214="TVK",AD214,IF(AK214="DMK+",AJ214,AI214))</f>
        <v>0.513228203574236</v>
      </c>
      <c r="AN214" s="7" t="str">
        <f aca="false">IF(AK214=P214,"No","Yes")</f>
        <v>No</v>
      </c>
    </row>
    <row r="215" customFormat="false" ht="15" hidden="true" customHeight="false" outlineLevel="0" collapsed="false">
      <c r="A215" s="0" t="n">
        <v>211</v>
      </c>
      <c r="B215" s="4" t="s">
        <v>130</v>
      </c>
      <c r="C215" s="5" t="s">
        <v>130</v>
      </c>
      <c r="D215" s="35" t="n">
        <v>22</v>
      </c>
      <c r="E215" s="35" t="n">
        <v>22</v>
      </c>
      <c r="F215" s="35"/>
      <c r="G215" s="35" t="n">
        <v>9</v>
      </c>
      <c r="H215" s="35" t="n">
        <v>21</v>
      </c>
      <c r="I215" s="5" t="n">
        <f aca="false">SUM(D215:H215)</f>
        <v>74</v>
      </c>
      <c r="J215" s="10" t="n">
        <f aca="false">IF($I215=0,0,D215/$I215)</f>
        <v>0.297297297297297</v>
      </c>
      <c r="K215" s="10" t="n">
        <f aca="false">IF($I215=0,0,E215/$I215)</f>
        <v>0.297297297297297</v>
      </c>
      <c r="L215" s="10" t="n">
        <f aca="false">IF($I215=0,0,F215/$I215)</f>
        <v>0</v>
      </c>
      <c r="M215" s="10" t="n">
        <f aca="false">IF($I215=0,0,G215/$I215)</f>
        <v>0.121621621621622</v>
      </c>
      <c r="N215" s="10" t="n">
        <f aca="false">IF($I215=0,0,H215/$I215)</f>
        <v>0.283783783783784</v>
      </c>
      <c r="O215" s="35" t="s">
        <v>197</v>
      </c>
      <c r="P215" s="0" t="str">
        <f aca="false">IF(O215="TVK","TVK",IF(O215="DMK","DMK+",IF(O215="ADMK","AIADMK+","")))</f>
        <v>DMK+</v>
      </c>
      <c r="Q215" s="35" t="s">
        <v>197</v>
      </c>
      <c r="R215" s="36" t="s">
        <v>5</v>
      </c>
      <c r="S215" s="0" t="str">
        <f aca="false">IF(P215=R215,"Yes","No")</f>
        <v>Yes</v>
      </c>
      <c r="T215" s="2"/>
      <c r="U215" s="27" t="n">
        <f aca="false">IFERROR(SUMIFS($D$5:$D$238,$C$5:$C$238,$C215)/SUMIFS($I$5:$I$238,$C$5:$C$238,$C215),0)</f>
        <v>0.212765957446809</v>
      </c>
      <c r="V215" s="27" t="n">
        <f aca="false">IFERROR(SUMIFS($E$5:$E$238,$C$5:$C$238,$C215)/SUMIFS($I$5:$I$238,$C$5:$C$238,$C215),0)</f>
        <v>0.319148936170213</v>
      </c>
      <c r="W215" s="27" t="n">
        <f aca="false">IFERROR(SUMIFS($F$5:$F$238,$C$5:$C$238,$C215)/SUMIFS($I$5:$I$238,$C$5:$C$238,$C215),0)</f>
        <v>0.00531914893617021</v>
      </c>
      <c r="X215" s="27" t="n">
        <f aca="false">IFERROR(SUMIFS($G$5:$G$238,$C$5:$C$238,$C215)/SUMIFS($I$5:$I$238,$C$5:$C$238,$C215),0)</f>
        <v>0.127659574468085</v>
      </c>
      <c r="Y215" s="27" t="n">
        <f aca="false">IFERROR(SUMIFS($H$5:$H$238,$C$5:$C$238,$C215)/SUMIFS($I$5:$I$238,$C$5:$C$238,$C215),0)</f>
        <v>0.335106382978723</v>
      </c>
      <c r="Z215" s="24" t="n">
        <f aca="false">LN(MAX(I215,1))</f>
        <v>4.30406509320417</v>
      </c>
      <c r="AA215" s="24" t="n">
        <f aca="false">Calibration!$M$35+Calibration!$N$35+SUMPRODUCT(Calibration!$B$35:$F$35,J215:N215)+SUMPRODUCT(Calibration!$G$35:$K$35,U215:Y215)+Calibration!$L$35*Z215</f>
        <v>-0.17086946764642</v>
      </c>
      <c r="AB215" s="24" t="n">
        <f aca="false">Calibration!$M$36+Calibration!$N$36+SUMPRODUCT(Calibration!$B$36:$F$36,J215:N215)+SUMPRODUCT(Calibration!$G$36:$K$36,U215:Y215)+Calibration!$L$36*Z215</f>
        <v>0.100250615870439</v>
      </c>
      <c r="AC215" s="24" t="n">
        <f aca="false">Calibration!$M$37+Calibration!$N$37+SUMPRODUCT(Calibration!$B$37:$F$37,J215:N215)+SUMPRODUCT(Calibration!$G$37:$K$37,U215:Y215)+Calibration!$L$37*Z215</f>
        <v>0.895619454708701</v>
      </c>
      <c r="AD215" s="27" t="n">
        <f aca="false">EXP(AC215)/(EXP(AA215)+EXP(AB215)+EXP(AC215))</f>
        <v>0.556907706236403</v>
      </c>
      <c r="AE215" s="7" t="str">
        <f aca="false">IF(AC215=MAX(AA215:AC215),"TVK",IF(AB215=MAX(AA215:AC215),"DMK+","AIADMK+"))</f>
        <v>TVK</v>
      </c>
      <c r="AF215" s="7" t="str">
        <f aca="false">IF(AE215=R215,"Yes","No")</f>
        <v>No</v>
      </c>
      <c r="AG215" s="7" t="str">
        <f aca="false">IF(AE215=P215,"No","Yes")</f>
        <v>Yes</v>
      </c>
      <c r="AH215" s="7" t="str">
        <f aca="false">IF(H215=MAX(D215,E215,H215),"TVK",IF(E215=MAX(D215,E215,H215),"DMK+","AIADMK+"))</f>
        <v>DMK+</v>
      </c>
      <c r="AI215" s="27" t="n">
        <f aca="false">EXP(AA215)/(EXP(AA215)+EXP(AB215)+EXP(AC215))</f>
        <v>0.191695965875319</v>
      </c>
      <c r="AJ215" s="27" t="n">
        <f aca="false">EXP(AB215)/(EXP(AA215)+EXP(AB215)+EXP(AC215))</f>
        <v>0.251396327888278</v>
      </c>
      <c r="AK215" s="28" t="s">
        <v>3</v>
      </c>
      <c r="AL215" s="7" t="str">
        <f aca="false">IF(AK215=R215,"Yes","No")</f>
        <v>No</v>
      </c>
      <c r="AM215" s="27" t="n">
        <f aca="false">IF(AK215="TVK",AD215,IF(AK215="DMK+",AJ215,AI215))</f>
        <v>0.556907706236403</v>
      </c>
      <c r="AN215" s="7" t="str">
        <f aca="false">IF(AK215=P215,"No","Yes")</f>
        <v>Yes</v>
      </c>
    </row>
    <row r="216" customFormat="false" ht="15" hidden="true" customHeight="false" outlineLevel="0" collapsed="false">
      <c r="A216" s="0" t="n">
        <v>212</v>
      </c>
      <c r="B216" s="4" t="s">
        <v>395</v>
      </c>
      <c r="C216" s="5" t="s">
        <v>130</v>
      </c>
      <c r="D216" s="35" t="n">
        <v>5</v>
      </c>
      <c r="E216" s="35" t="n">
        <v>13</v>
      </c>
      <c r="F216" s="35"/>
      <c r="G216" s="35" t="n">
        <v>8</v>
      </c>
      <c r="H216" s="35" t="n">
        <v>11</v>
      </c>
      <c r="I216" s="5" t="n">
        <f aca="false">SUM(D216:H216)</f>
        <v>37</v>
      </c>
      <c r="J216" s="10" t="n">
        <f aca="false">IF($I216=0,0,D216/$I216)</f>
        <v>0.135135135135135</v>
      </c>
      <c r="K216" s="10" t="n">
        <f aca="false">IF($I216=0,0,E216/$I216)</f>
        <v>0.351351351351351</v>
      </c>
      <c r="L216" s="10" t="n">
        <f aca="false">IF($I216=0,0,F216/$I216)</f>
        <v>0</v>
      </c>
      <c r="M216" s="10" t="n">
        <f aca="false">IF($I216=0,0,G216/$I216)</f>
        <v>0.216216216216216</v>
      </c>
      <c r="N216" s="10" t="n">
        <f aca="false">IF($I216=0,0,H216/$I216)</f>
        <v>0.297297297297297</v>
      </c>
      <c r="O216" s="35" t="s">
        <v>197</v>
      </c>
      <c r="P216" s="0" t="str">
        <f aca="false">IF(O216="TVK","TVK",IF(O216="DMK","DMK+",IF(O216="ADMK","AIADMK+","")))</f>
        <v>DMK+</v>
      </c>
      <c r="Q216" s="35" t="s">
        <v>197</v>
      </c>
      <c r="R216" s="36" t="s">
        <v>5</v>
      </c>
      <c r="S216" s="0" t="str">
        <f aca="false">IF(P216=R216,"Yes","No")</f>
        <v>Yes</v>
      </c>
      <c r="T216" s="2"/>
      <c r="U216" s="27" t="n">
        <f aca="false">IFERROR(SUMIFS($D$5:$D$238,$C$5:$C$238,$C216)/SUMIFS($I$5:$I$238,$C$5:$C$238,$C216),0)</f>
        <v>0.212765957446809</v>
      </c>
      <c r="V216" s="27" t="n">
        <f aca="false">IFERROR(SUMIFS($E$5:$E$238,$C$5:$C$238,$C216)/SUMIFS($I$5:$I$238,$C$5:$C$238,$C216),0)</f>
        <v>0.319148936170213</v>
      </c>
      <c r="W216" s="27" t="n">
        <f aca="false">IFERROR(SUMIFS($F$5:$F$238,$C$5:$C$238,$C216)/SUMIFS($I$5:$I$238,$C$5:$C$238,$C216),0)</f>
        <v>0.00531914893617021</v>
      </c>
      <c r="X216" s="27" t="n">
        <f aca="false">IFERROR(SUMIFS($G$5:$G$238,$C$5:$C$238,$C216)/SUMIFS($I$5:$I$238,$C$5:$C$238,$C216),0)</f>
        <v>0.127659574468085</v>
      </c>
      <c r="Y216" s="27" t="n">
        <f aca="false">IFERROR(SUMIFS($H$5:$H$238,$C$5:$C$238,$C216)/SUMIFS($I$5:$I$238,$C$5:$C$238,$C216),0)</f>
        <v>0.335106382978723</v>
      </c>
      <c r="Z216" s="24" t="n">
        <f aca="false">LN(MAX(I216,1))</f>
        <v>3.61091791264422</v>
      </c>
      <c r="AA216" s="24" t="n">
        <f aca="false">Calibration!$M$35+Calibration!$N$35+SUMPRODUCT(Calibration!$B$35:$F$35,J216:N216)+SUMPRODUCT(Calibration!$G$35:$K$35,U216:Y216)+Calibration!$L$35*Z216</f>
        <v>0.00846261016753314</v>
      </c>
      <c r="AB216" s="24" t="n">
        <f aca="false">Calibration!$M$36+Calibration!$N$36+SUMPRODUCT(Calibration!$B$36:$F$36,J216:N216)+SUMPRODUCT(Calibration!$G$36:$K$36,U216:Y216)+Calibration!$L$36*Z216</f>
        <v>0.729320348262167</v>
      </c>
      <c r="AC216" s="24" t="n">
        <f aca="false">Calibration!$M$37+Calibration!$N$37+SUMPRODUCT(Calibration!$B$37:$F$37,J216:N216)+SUMPRODUCT(Calibration!$G$37:$K$37,U216:Y216)+Calibration!$L$37*Z216</f>
        <v>0.0872176580165336</v>
      </c>
      <c r="AD216" s="27" t="n">
        <f aca="false">EXP(AC216)/(EXP(AA216)+EXP(AB216)+EXP(AC216))</f>
        <v>0.261455743244764</v>
      </c>
      <c r="AE216" s="7" t="str">
        <f aca="false">IF(AC216=MAX(AA216:AC216),"TVK",IF(AB216=MAX(AA216:AC216),"DMK+","AIADMK+"))</f>
        <v>DMK+</v>
      </c>
      <c r="AF216" s="7" t="str">
        <f aca="false">IF(AE216=R216,"Yes","No")</f>
        <v>Yes</v>
      </c>
      <c r="AG216" s="7" t="str">
        <f aca="false">IF(AE216=P216,"No","Yes")</f>
        <v>No</v>
      </c>
      <c r="AH216" s="7" t="str">
        <f aca="false">IF(H216=MAX(D216,E216,H216),"TVK",IF(E216=MAX(D216,E216,H216),"DMK+","AIADMK+"))</f>
        <v>DMK+</v>
      </c>
      <c r="AI216" s="27" t="n">
        <f aca="false">EXP(AA216)/(EXP(AA216)+EXP(AB216)+EXP(AC216))</f>
        <v>0.241654731830749</v>
      </c>
      <c r="AJ216" s="27" t="n">
        <f aca="false">EXP(AB216)/(EXP(AA216)+EXP(AB216)+EXP(AC216))</f>
        <v>0.496889524924486</v>
      </c>
      <c r="AK216" s="28" t="s">
        <v>5</v>
      </c>
      <c r="AL216" s="7" t="str">
        <f aca="false">IF(AK216=R216,"Yes","No")</f>
        <v>Yes</v>
      </c>
      <c r="AM216" s="27" t="n">
        <f aca="false">IF(AK216="TVK",AD216,IF(AK216="DMK+",AJ216,AI216))</f>
        <v>0.496889524924486</v>
      </c>
      <c r="AN216" s="7" t="str">
        <f aca="false">IF(AK216=P216,"No","Yes")</f>
        <v>No</v>
      </c>
    </row>
    <row r="217" customFormat="false" ht="15" hidden="false" customHeight="false" outlineLevel="0" collapsed="false">
      <c r="A217" s="0" t="n">
        <v>213</v>
      </c>
      <c r="B217" s="4" t="s">
        <v>396</v>
      </c>
      <c r="C217" s="5" t="s">
        <v>148</v>
      </c>
      <c r="D217" s="35" t="n">
        <v>9</v>
      </c>
      <c r="E217" s="35" t="n">
        <v>4</v>
      </c>
      <c r="F217" s="35"/>
      <c r="G217" s="35" t="n">
        <v>5</v>
      </c>
      <c r="H217" s="35" t="n">
        <v>10</v>
      </c>
      <c r="I217" s="5" t="n">
        <f aca="false">SUM(D217:H217)</f>
        <v>28</v>
      </c>
      <c r="J217" s="10" t="n">
        <f aca="false">IF($I217=0,0,D217/$I217)</f>
        <v>0.321428571428571</v>
      </c>
      <c r="K217" s="10" t="n">
        <f aca="false">IF($I217=0,0,E217/$I217)</f>
        <v>0.142857142857143</v>
      </c>
      <c r="L217" s="10" t="n">
        <f aca="false">IF($I217=0,0,F217/$I217)</f>
        <v>0</v>
      </c>
      <c r="M217" s="10" t="n">
        <f aca="false">IF($I217=0,0,G217/$I217)</f>
        <v>0.178571428571429</v>
      </c>
      <c r="N217" s="10" t="n">
        <f aca="false">IF($I217=0,0,H217/$I217)</f>
        <v>0.357142857142857</v>
      </c>
      <c r="O217" s="35" t="s">
        <v>3</v>
      </c>
      <c r="P217" s="0" t="str">
        <f aca="false">IF(O217="TVK","TVK",IF(O217="DMK","DMK+",IF(O217="ADMK","AIADMK+","")))</f>
        <v>TVK</v>
      </c>
      <c r="Q217" s="35" t="s">
        <v>197</v>
      </c>
      <c r="R217" s="36" t="s">
        <v>5</v>
      </c>
      <c r="S217" s="0" t="str">
        <f aca="false">IF(P217=R217,"Yes","No")</f>
        <v>No</v>
      </c>
      <c r="T217" s="2"/>
      <c r="U217" s="27" t="n">
        <f aca="false">IFERROR(SUMIFS($D$5:$D$238,$C$5:$C$238,$C217)/SUMIFS($I$5:$I$238,$C$5:$C$238,$C217),0)</f>
        <v>0.225609756097561</v>
      </c>
      <c r="V217" s="27" t="n">
        <f aca="false">IFERROR(SUMIFS($E$5:$E$238,$C$5:$C$238,$C217)/SUMIFS($I$5:$I$238,$C$5:$C$238,$C217),0)</f>
        <v>0.304878048780488</v>
      </c>
      <c r="W217" s="27" t="n">
        <f aca="false">IFERROR(SUMIFS($F$5:$F$238,$C$5:$C$238,$C217)/SUMIFS($I$5:$I$238,$C$5:$C$238,$C217),0)</f>
        <v>0.00304878048780488</v>
      </c>
      <c r="X217" s="27" t="n">
        <f aca="false">IFERROR(SUMIFS($G$5:$G$238,$C$5:$C$238,$C217)/SUMIFS($I$5:$I$238,$C$5:$C$238,$C217),0)</f>
        <v>0.100609756097561</v>
      </c>
      <c r="Y217" s="27" t="n">
        <f aca="false">IFERROR(SUMIFS($H$5:$H$238,$C$5:$C$238,$C217)/SUMIFS($I$5:$I$238,$C$5:$C$238,$C217),0)</f>
        <v>0.365853658536585</v>
      </c>
      <c r="Z217" s="24" t="n">
        <f aca="false">LN(MAX(I217,1))</f>
        <v>3.3322045101752</v>
      </c>
      <c r="AA217" s="24" t="n">
        <f aca="false">Calibration!$M$35+Calibration!$N$35+SUMPRODUCT(Calibration!$B$35:$F$35,J217:N217)+SUMPRODUCT(Calibration!$G$35:$K$35,U217:Y217)+Calibration!$L$35*Z217</f>
        <v>0.478686833927668</v>
      </c>
      <c r="AB217" s="24" t="n">
        <f aca="false">Calibration!$M$36+Calibration!$N$36+SUMPRODUCT(Calibration!$B$36:$F$36,J217:N217)+SUMPRODUCT(Calibration!$G$36:$K$36,U217:Y217)+Calibration!$L$36*Z217</f>
        <v>0.44321750175336</v>
      </c>
      <c r="AC217" s="24" t="n">
        <f aca="false">Calibration!$M$37+Calibration!$N$37+SUMPRODUCT(Calibration!$B$37:$F$37,J217:N217)+SUMPRODUCT(Calibration!$G$37:$K$37,U217:Y217)+Calibration!$L$37*Z217</f>
        <v>-0.0969036736601212</v>
      </c>
      <c r="AD217" s="27" t="n">
        <f aca="false">EXP(AC217)/(EXP(AA217)+EXP(AB217)+EXP(AC217))</f>
        <v>0.222499354636878</v>
      </c>
      <c r="AE217" s="7" t="str">
        <f aca="false">IF(AC217=MAX(AA217:AC217),"TVK",IF(AB217=MAX(AA217:AC217),"DMK+","AIADMK+"))</f>
        <v>AIADMK+</v>
      </c>
      <c r="AF217" s="7" t="str">
        <f aca="false">IF(AE217=R217,"Yes","No")</f>
        <v>No</v>
      </c>
      <c r="AG217" s="7" t="str">
        <f aca="false">IF(AE217=P217,"No","Yes")</f>
        <v>Yes</v>
      </c>
      <c r="AH217" s="7" t="str">
        <f aca="false">IF(H217=MAX(D217,E217,H217),"TVK",IF(E217=MAX(D217,E217,H217),"DMK+","AIADMK+"))</f>
        <v>TVK</v>
      </c>
      <c r="AI217" s="27" t="n">
        <f aca="false">EXP(AA217)/(EXP(AA217)+EXP(AB217)+EXP(AC217))</f>
        <v>0.395643957135829</v>
      </c>
      <c r="AJ217" s="27" t="n">
        <f aca="false">EXP(AB217)/(EXP(AA217)+EXP(AB217)+EXP(AC217))</f>
        <v>0.381856688227293</v>
      </c>
      <c r="AK217" s="28" t="s">
        <v>5</v>
      </c>
      <c r="AL217" s="7" t="str">
        <f aca="false">IF(AK217=R217,"Yes","No")</f>
        <v>Yes</v>
      </c>
      <c r="AM217" s="27" t="n">
        <f aca="false">IF(AK217="TVK",AD217,IF(AK217="DMK+",AJ217,AI217))</f>
        <v>0.381856688227293</v>
      </c>
      <c r="AN217" s="7" t="str">
        <f aca="false">IF(AK217=P217,"No","Yes")</f>
        <v>Yes</v>
      </c>
    </row>
    <row r="218" customFormat="false" ht="15" hidden="false" customHeight="false" outlineLevel="0" collapsed="false">
      <c r="A218" s="0" t="n">
        <v>214</v>
      </c>
      <c r="B218" s="4" t="s">
        <v>397</v>
      </c>
      <c r="C218" s="5" t="s">
        <v>148</v>
      </c>
      <c r="D218" s="35" t="n">
        <v>19</v>
      </c>
      <c r="E218" s="35" t="n">
        <v>22</v>
      </c>
      <c r="F218" s="35"/>
      <c r="G218" s="35" t="n">
        <v>9</v>
      </c>
      <c r="H218" s="35" t="n">
        <v>45</v>
      </c>
      <c r="I218" s="5" t="n">
        <f aca="false">SUM(D218:H218)</f>
        <v>95</v>
      </c>
      <c r="J218" s="10" t="n">
        <f aca="false">IF($I218=0,0,D218/$I218)</f>
        <v>0.2</v>
      </c>
      <c r="K218" s="10" t="n">
        <f aca="false">IF($I218=0,0,E218/$I218)</f>
        <v>0.231578947368421</v>
      </c>
      <c r="L218" s="10" t="n">
        <f aca="false">IF($I218=0,0,F218/$I218)</f>
        <v>0</v>
      </c>
      <c r="M218" s="10" t="n">
        <f aca="false">IF($I218=0,0,G218/$I218)</f>
        <v>0.0947368421052632</v>
      </c>
      <c r="N218" s="10" t="n">
        <f aca="false">IF($I218=0,0,H218/$I218)</f>
        <v>0.473684210526316</v>
      </c>
      <c r="O218" s="35" t="s">
        <v>3</v>
      </c>
      <c r="P218" s="0" t="str">
        <f aca="false">IF(O218="TVK","TVK",IF(O218="DMK","DMK+",IF(O218="ADMK","AIADMK+","")))</f>
        <v>TVK</v>
      </c>
      <c r="Q218" s="35" t="s">
        <v>3</v>
      </c>
      <c r="R218" s="36" t="s">
        <v>3</v>
      </c>
      <c r="S218" s="0" t="str">
        <f aca="false">IF(P218=R218,"Yes","No")</f>
        <v>Yes</v>
      </c>
      <c r="T218" s="2"/>
      <c r="U218" s="27" t="n">
        <f aca="false">IFERROR(SUMIFS($D$5:$D$238,$C$5:$C$238,$C218)/SUMIFS($I$5:$I$238,$C$5:$C$238,$C218),0)</f>
        <v>0.225609756097561</v>
      </c>
      <c r="V218" s="27" t="n">
        <f aca="false">IFERROR(SUMIFS($E$5:$E$238,$C$5:$C$238,$C218)/SUMIFS($I$5:$I$238,$C$5:$C$238,$C218),0)</f>
        <v>0.304878048780488</v>
      </c>
      <c r="W218" s="27" t="n">
        <f aca="false">IFERROR(SUMIFS($F$5:$F$238,$C$5:$C$238,$C218)/SUMIFS($I$5:$I$238,$C$5:$C$238,$C218),0)</f>
        <v>0.00304878048780488</v>
      </c>
      <c r="X218" s="27" t="n">
        <f aca="false">IFERROR(SUMIFS($G$5:$G$238,$C$5:$C$238,$C218)/SUMIFS($I$5:$I$238,$C$5:$C$238,$C218),0)</f>
        <v>0.100609756097561</v>
      </c>
      <c r="Y218" s="27" t="n">
        <f aca="false">IFERROR(SUMIFS($H$5:$H$238,$C$5:$C$238,$C218)/SUMIFS($I$5:$I$238,$C$5:$C$238,$C218),0)</f>
        <v>0.365853658536585</v>
      </c>
      <c r="Z218" s="24" t="n">
        <f aca="false">LN(MAX(I218,1))</f>
        <v>4.55387689160054</v>
      </c>
      <c r="AA218" s="24" t="n">
        <f aca="false">Calibration!$M$35+Calibration!$N$35+SUMPRODUCT(Calibration!$B$35:$F$35,J218:N218)+SUMPRODUCT(Calibration!$G$35:$K$35,U218:Y218)+Calibration!$L$35*Z218</f>
        <v>-0.357523876710935</v>
      </c>
      <c r="AB218" s="24" t="n">
        <f aca="false">Calibration!$M$36+Calibration!$N$36+SUMPRODUCT(Calibration!$B$36:$F$36,J218:N218)+SUMPRODUCT(Calibration!$G$36:$K$36,U218:Y218)+Calibration!$L$36*Z218</f>
        <v>-0.166598223425441</v>
      </c>
      <c r="AC218" s="24" t="n">
        <f aca="false">Calibration!$M$37+Calibration!$N$37+SUMPRODUCT(Calibration!$B$37:$F$37,J218:N218)+SUMPRODUCT(Calibration!$G$37:$K$37,U218:Y218)+Calibration!$L$37*Z218</f>
        <v>1.34912287869864</v>
      </c>
      <c r="AD218" s="27" t="n">
        <f aca="false">EXP(AC218)/(EXP(AA218)+EXP(AB218)+EXP(AC218))</f>
        <v>0.713713196154258</v>
      </c>
      <c r="AE218" s="7" t="str">
        <f aca="false">IF(AC218=MAX(AA218:AC218),"TVK",IF(AB218=MAX(AA218:AC218),"DMK+","AIADMK+"))</f>
        <v>TVK</v>
      </c>
      <c r="AF218" s="7" t="str">
        <f aca="false">IF(AE218=R218,"Yes","No")</f>
        <v>Yes</v>
      </c>
      <c r="AG218" s="7" t="str">
        <f aca="false">IF(AE218=P218,"No","Yes")</f>
        <v>No</v>
      </c>
      <c r="AH218" s="7" t="str">
        <f aca="false">IF(H218=MAX(D218,E218,H218),"TVK",IF(E218=MAX(D218,E218,H218),"DMK+","AIADMK+"))</f>
        <v>TVK</v>
      </c>
      <c r="AI218" s="27" t="n">
        <f aca="false">EXP(AA218)/(EXP(AA218)+EXP(AB218)+EXP(AC218))</f>
        <v>0.129519887421876</v>
      </c>
      <c r="AJ218" s="27" t="n">
        <f aca="false">EXP(AB218)/(EXP(AA218)+EXP(AB218)+EXP(AC218))</f>
        <v>0.156766916423866</v>
      </c>
      <c r="AK218" s="28" t="s">
        <v>3</v>
      </c>
      <c r="AL218" s="7" t="str">
        <f aca="false">IF(AK218=R218,"Yes","No")</f>
        <v>Yes</v>
      </c>
      <c r="AM218" s="27" t="n">
        <f aca="false">IF(AK218="TVK",AD218,IF(AK218="DMK+",AJ218,AI218))</f>
        <v>0.713713196154258</v>
      </c>
      <c r="AN218" s="7" t="str">
        <f aca="false">IF(AK218=P218,"No","Yes")</f>
        <v>No</v>
      </c>
    </row>
    <row r="219" customFormat="false" ht="15" hidden="true" customHeight="false" outlineLevel="0" collapsed="false">
      <c r="A219" s="0" t="n">
        <v>215</v>
      </c>
      <c r="B219" s="4" t="s">
        <v>398</v>
      </c>
      <c r="C219" s="5" t="s">
        <v>148</v>
      </c>
      <c r="D219" s="35" t="n">
        <v>4</v>
      </c>
      <c r="E219" s="35" t="n">
        <v>17</v>
      </c>
      <c r="F219" s="35" t="n">
        <v>1</v>
      </c>
      <c r="G219" s="35" t="n">
        <v>3</v>
      </c>
      <c r="H219" s="35" t="n">
        <v>14</v>
      </c>
      <c r="I219" s="5" t="n">
        <f aca="false">SUM(D219:H219)</f>
        <v>39</v>
      </c>
      <c r="J219" s="10" t="n">
        <f aca="false">IF($I219=0,0,D219/$I219)</f>
        <v>0.102564102564103</v>
      </c>
      <c r="K219" s="10" t="n">
        <f aca="false">IF($I219=0,0,E219/$I219)</f>
        <v>0.435897435897436</v>
      </c>
      <c r="L219" s="10" t="n">
        <f aca="false">IF($I219=0,0,F219/$I219)</f>
        <v>0.0256410256410256</v>
      </c>
      <c r="M219" s="10" t="n">
        <f aca="false">IF($I219=0,0,G219/$I219)</f>
        <v>0.0769230769230769</v>
      </c>
      <c r="N219" s="10" t="n">
        <f aca="false">IF($I219=0,0,H219/$I219)</f>
        <v>0.358974358974359</v>
      </c>
      <c r="O219" s="35" t="s">
        <v>197</v>
      </c>
      <c r="P219" s="0" t="str">
        <f aca="false">IF(O219="TVK","TVK",IF(O219="DMK","DMK+",IF(O219="ADMK","AIADMK+","")))</f>
        <v>DMK+</v>
      </c>
      <c r="Q219" s="35" t="s">
        <v>197</v>
      </c>
      <c r="R219" s="36" t="s">
        <v>5</v>
      </c>
      <c r="S219" s="0" t="str">
        <f aca="false">IF(P219=R219,"Yes","No")</f>
        <v>Yes</v>
      </c>
      <c r="T219" s="2"/>
      <c r="U219" s="27" t="n">
        <f aca="false">IFERROR(SUMIFS($D$5:$D$238,$C$5:$C$238,$C219)/SUMIFS($I$5:$I$238,$C$5:$C$238,$C219),0)</f>
        <v>0.225609756097561</v>
      </c>
      <c r="V219" s="27" t="n">
        <f aca="false">IFERROR(SUMIFS($E$5:$E$238,$C$5:$C$238,$C219)/SUMIFS($I$5:$I$238,$C$5:$C$238,$C219),0)</f>
        <v>0.304878048780488</v>
      </c>
      <c r="W219" s="27" t="n">
        <f aca="false">IFERROR(SUMIFS($F$5:$F$238,$C$5:$C$238,$C219)/SUMIFS($I$5:$I$238,$C$5:$C$238,$C219),0)</f>
        <v>0.00304878048780488</v>
      </c>
      <c r="X219" s="27" t="n">
        <f aca="false">IFERROR(SUMIFS($G$5:$G$238,$C$5:$C$238,$C219)/SUMIFS($I$5:$I$238,$C$5:$C$238,$C219),0)</f>
        <v>0.100609756097561</v>
      </c>
      <c r="Y219" s="27" t="n">
        <f aca="false">IFERROR(SUMIFS($H$5:$H$238,$C$5:$C$238,$C219)/SUMIFS($I$5:$I$238,$C$5:$C$238,$C219),0)</f>
        <v>0.365853658536585</v>
      </c>
      <c r="Z219" s="24" t="n">
        <f aca="false">LN(MAX(I219,1))</f>
        <v>3.66356164612965</v>
      </c>
      <c r="AA219" s="24" t="n">
        <f aca="false">Calibration!$M$35+Calibration!$N$35+SUMPRODUCT(Calibration!$B$35:$F$35,J219:N219)+SUMPRODUCT(Calibration!$G$35:$K$35,U219:Y219)+Calibration!$L$35*Z219</f>
        <v>-0.105497743896374</v>
      </c>
      <c r="AB219" s="24" t="n">
        <f aca="false">Calibration!$M$36+Calibration!$N$36+SUMPRODUCT(Calibration!$B$36:$F$36,J219:N219)+SUMPRODUCT(Calibration!$G$36:$K$36,U219:Y219)+Calibration!$L$36*Z219</f>
        <v>0.719309833445559</v>
      </c>
      <c r="AC219" s="24" t="n">
        <f aca="false">Calibration!$M$37+Calibration!$N$37+SUMPRODUCT(Calibration!$B$37:$F$37,J219:N219)+SUMPRODUCT(Calibration!$G$37:$K$37,U219:Y219)+Calibration!$L$37*Z219</f>
        <v>0.211188574303223</v>
      </c>
      <c r="AD219" s="27" t="n">
        <f aca="false">EXP(AC219)/(EXP(AA219)+EXP(AB219)+EXP(AC219))</f>
        <v>0.294922200327274</v>
      </c>
      <c r="AE219" s="7" t="str">
        <f aca="false">IF(AC219=MAX(AA219:AC219),"TVK",IF(AB219=MAX(AA219:AC219),"DMK+","AIADMK+"))</f>
        <v>DMK+</v>
      </c>
      <c r="AF219" s="7" t="str">
        <f aca="false">IF(AE219=R219,"Yes","No")</f>
        <v>Yes</v>
      </c>
      <c r="AG219" s="7" t="str">
        <f aca="false">IF(AE219=P219,"No","Yes")</f>
        <v>No</v>
      </c>
      <c r="AH219" s="7" t="str">
        <f aca="false">IF(H219=MAX(D219,E219,H219),"TVK",IF(E219=MAX(D219,E219,H219),"DMK+","AIADMK+"))</f>
        <v>DMK+</v>
      </c>
      <c r="AI219" s="27" t="n">
        <f aca="false">EXP(AA219)/(EXP(AA219)+EXP(AB219)+EXP(AC219))</f>
        <v>0.214868298572428</v>
      </c>
      <c r="AJ219" s="27" t="n">
        <f aca="false">EXP(AB219)/(EXP(AA219)+EXP(AB219)+EXP(AC219))</f>
        <v>0.490209501100298</v>
      </c>
      <c r="AK219" s="28" t="s">
        <v>5</v>
      </c>
      <c r="AL219" s="7" t="str">
        <f aca="false">IF(AK219=R219,"Yes","No")</f>
        <v>Yes</v>
      </c>
      <c r="AM219" s="27" t="n">
        <f aca="false">IF(AK219="TVK",AD219,IF(AK219="DMK+",AJ219,AI219))</f>
        <v>0.490209501100298</v>
      </c>
      <c r="AN219" s="7" t="str">
        <f aca="false">IF(AK219=P219,"No","Yes")</f>
        <v>No</v>
      </c>
    </row>
    <row r="220" customFormat="false" ht="15" hidden="true" customHeight="false" outlineLevel="0" collapsed="false">
      <c r="A220" s="0" t="n">
        <v>216</v>
      </c>
      <c r="B220" s="4" t="s">
        <v>399</v>
      </c>
      <c r="C220" s="5" t="s">
        <v>148</v>
      </c>
      <c r="D220" s="35" t="n">
        <v>11</v>
      </c>
      <c r="E220" s="35" t="n">
        <v>16</v>
      </c>
      <c r="F220" s="35"/>
      <c r="G220" s="35" t="n">
        <v>6</v>
      </c>
      <c r="H220" s="35" t="n">
        <v>16</v>
      </c>
      <c r="I220" s="5" t="n">
        <f aca="false">SUM(D220:H220)</f>
        <v>49</v>
      </c>
      <c r="J220" s="10" t="n">
        <f aca="false">IF($I220=0,0,D220/$I220)</f>
        <v>0.224489795918367</v>
      </c>
      <c r="K220" s="10" t="n">
        <f aca="false">IF($I220=0,0,E220/$I220)</f>
        <v>0.326530612244898</v>
      </c>
      <c r="L220" s="10" t="n">
        <f aca="false">IF($I220=0,0,F220/$I220)</f>
        <v>0</v>
      </c>
      <c r="M220" s="10" t="n">
        <f aca="false">IF($I220=0,0,G220/$I220)</f>
        <v>0.122448979591837</v>
      </c>
      <c r="N220" s="10" t="n">
        <f aca="false">IF($I220=0,0,H220/$I220)</f>
        <v>0.326530612244898</v>
      </c>
      <c r="O220" s="35" t="s">
        <v>197</v>
      </c>
      <c r="P220" s="0" t="str">
        <f aca="false">IF(O220="TVK","TVK",IF(O220="DMK","DMK+",IF(O220="ADMK","AIADMK+","")))</f>
        <v>DMK+</v>
      </c>
      <c r="Q220" s="35" t="s">
        <v>3</v>
      </c>
      <c r="R220" s="36" t="s">
        <v>3</v>
      </c>
      <c r="S220" s="0" t="str">
        <f aca="false">IF(P220=R220,"Yes","No")</f>
        <v>No</v>
      </c>
      <c r="T220" s="2"/>
      <c r="U220" s="27" t="n">
        <f aca="false">IFERROR(SUMIFS($D$5:$D$238,$C$5:$C$238,$C220)/SUMIFS($I$5:$I$238,$C$5:$C$238,$C220),0)</f>
        <v>0.225609756097561</v>
      </c>
      <c r="V220" s="27" t="n">
        <f aca="false">IFERROR(SUMIFS($E$5:$E$238,$C$5:$C$238,$C220)/SUMIFS($I$5:$I$238,$C$5:$C$238,$C220),0)</f>
        <v>0.304878048780488</v>
      </c>
      <c r="W220" s="27" t="n">
        <f aca="false">IFERROR(SUMIFS($F$5:$F$238,$C$5:$C$238,$C220)/SUMIFS($I$5:$I$238,$C$5:$C$238,$C220),0)</f>
        <v>0.00304878048780488</v>
      </c>
      <c r="X220" s="27" t="n">
        <f aca="false">IFERROR(SUMIFS($G$5:$G$238,$C$5:$C$238,$C220)/SUMIFS($I$5:$I$238,$C$5:$C$238,$C220),0)</f>
        <v>0.100609756097561</v>
      </c>
      <c r="Y220" s="27" t="n">
        <f aca="false">IFERROR(SUMIFS($H$5:$H$238,$C$5:$C$238,$C220)/SUMIFS($I$5:$I$238,$C$5:$C$238,$C220),0)</f>
        <v>0.365853658536585</v>
      </c>
      <c r="Z220" s="24" t="n">
        <f aca="false">LN(MAX(I220,1))</f>
        <v>3.89182029811063</v>
      </c>
      <c r="AA220" s="24" t="n">
        <f aca="false">Calibration!$M$35+Calibration!$N$35+SUMPRODUCT(Calibration!$B$35:$F$35,J220:N220)+SUMPRODUCT(Calibration!$G$35:$K$35,U220:Y220)+Calibration!$L$35*Z220</f>
        <v>-0.0307944101775943</v>
      </c>
      <c r="AB220" s="24" t="n">
        <f aca="false">Calibration!$M$36+Calibration!$N$36+SUMPRODUCT(Calibration!$B$36:$F$36,J220:N220)+SUMPRODUCT(Calibration!$G$36:$K$36,U220:Y220)+Calibration!$L$36*Z220</f>
        <v>0.378065362936546</v>
      </c>
      <c r="AC220" s="24" t="n">
        <f aca="false">Calibration!$M$37+Calibration!$N$37+SUMPRODUCT(Calibration!$B$37:$F$37,J220:N220)+SUMPRODUCT(Calibration!$G$37:$K$37,U220:Y220)+Calibration!$L$37*Z220</f>
        <v>0.47772967864971</v>
      </c>
      <c r="AD220" s="27" t="n">
        <f aca="false">EXP(AC220)/(EXP(AA220)+EXP(AB220)+EXP(AC220))</f>
        <v>0.398958921477549</v>
      </c>
      <c r="AE220" s="7" t="str">
        <f aca="false">IF(AC220=MAX(AA220:AC220),"TVK",IF(AB220=MAX(AA220:AC220),"DMK+","AIADMK+"))</f>
        <v>TVK</v>
      </c>
      <c r="AF220" s="7" t="str">
        <f aca="false">IF(AE220=R220,"Yes","No")</f>
        <v>Yes</v>
      </c>
      <c r="AG220" s="7" t="str">
        <f aca="false">IF(AE220=P220,"No","Yes")</f>
        <v>Yes</v>
      </c>
      <c r="AH220" s="7" t="str">
        <f aca="false">IF(H220=MAX(D220,E220,H220),"TVK",IF(E220=MAX(D220,E220,H220),"DMK+","AIADMK+"))</f>
        <v>TVK</v>
      </c>
      <c r="AI220" s="27" t="n">
        <f aca="false">EXP(AA220)/(EXP(AA220)+EXP(AB220)+EXP(AC220))</f>
        <v>0.239926918104495</v>
      </c>
      <c r="AJ220" s="27" t="n">
        <f aca="false">EXP(AB220)/(EXP(AA220)+EXP(AB220)+EXP(AC220))</f>
        <v>0.361114160417956</v>
      </c>
      <c r="AK220" s="28" t="s">
        <v>5</v>
      </c>
      <c r="AL220" s="7" t="str">
        <f aca="false">IF(AK220=R220,"Yes","No")</f>
        <v>No</v>
      </c>
      <c r="AM220" s="27" t="n">
        <f aca="false">IF(AK220="TVK",AD220,IF(AK220="DMK+",AJ220,AI220))</f>
        <v>0.361114160417956</v>
      </c>
      <c r="AN220" s="7" t="str">
        <f aca="false">IF(AK220=P220,"No","Yes")</f>
        <v>No</v>
      </c>
    </row>
    <row r="221" customFormat="false" ht="15" hidden="true" customHeight="false" outlineLevel="0" collapsed="false">
      <c r="A221" s="0" t="n">
        <v>217</v>
      </c>
      <c r="B221" s="4" t="s">
        <v>400</v>
      </c>
      <c r="C221" s="5" t="s">
        <v>148</v>
      </c>
      <c r="D221" s="35" t="n">
        <v>17</v>
      </c>
      <c r="E221" s="35" t="n">
        <v>22</v>
      </c>
      <c r="F221" s="35"/>
      <c r="G221" s="35" t="n">
        <v>2</v>
      </c>
      <c r="H221" s="35" t="n">
        <v>18</v>
      </c>
      <c r="I221" s="5" t="n">
        <f aca="false">SUM(D221:H221)</f>
        <v>59</v>
      </c>
      <c r="J221" s="10" t="n">
        <f aca="false">IF($I221=0,0,D221/$I221)</f>
        <v>0.288135593220339</v>
      </c>
      <c r="K221" s="10" t="n">
        <f aca="false">IF($I221=0,0,E221/$I221)</f>
        <v>0.372881355932203</v>
      </c>
      <c r="L221" s="10" t="n">
        <f aca="false">IF($I221=0,0,F221/$I221)</f>
        <v>0</v>
      </c>
      <c r="M221" s="10" t="n">
        <f aca="false">IF($I221=0,0,G221/$I221)</f>
        <v>0.0338983050847458</v>
      </c>
      <c r="N221" s="10" t="n">
        <f aca="false">IF($I221=0,0,H221/$I221)</f>
        <v>0.305084745762712</v>
      </c>
      <c r="O221" s="35" t="s">
        <v>197</v>
      </c>
      <c r="P221" s="0" t="str">
        <f aca="false">IF(O221="TVK","TVK",IF(O221="DMK","DMK+",IF(O221="ADMK","AIADMK+","")))</f>
        <v>DMK+</v>
      </c>
      <c r="Q221" s="35" t="s">
        <v>3</v>
      </c>
      <c r="R221" s="36" t="s">
        <v>3</v>
      </c>
      <c r="S221" s="0" t="str">
        <f aca="false">IF(P221=R221,"Yes","No")</f>
        <v>No</v>
      </c>
      <c r="T221" s="2"/>
      <c r="U221" s="27" t="n">
        <f aca="false">IFERROR(SUMIFS($D$5:$D$238,$C$5:$C$238,$C221)/SUMIFS($I$5:$I$238,$C$5:$C$238,$C221),0)</f>
        <v>0.225609756097561</v>
      </c>
      <c r="V221" s="27" t="n">
        <f aca="false">IFERROR(SUMIFS($E$5:$E$238,$C$5:$C$238,$C221)/SUMIFS($I$5:$I$238,$C$5:$C$238,$C221),0)</f>
        <v>0.304878048780488</v>
      </c>
      <c r="W221" s="27" t="n">
        <f aca="false">IFERROR(SUMIFS($F$5:$F$238,$C$5:$C$238,$C221)/SUMIFS($I$5:$I$238,$C$5:$C$238,$C221),0)</f>
        <v>0.00304878048780488</v>
      </c>
      <c r="X221" s="27" t="n">
        <f aca="false">IFERROR(SUMIFS($G$5:$G$238,$C$5:$C$238,$C221)/SUMIFS($I$5:$I$238,$C$5:$C$238,$C221),0)</f>
        <v>0.100609756097561</v>
      </c>
      <c r="Y221" s="27" t="n">
        <f aca="false">IFERROR(SUMIFS($H$5:$H$238,$C$5:$C$238,$C221)/SUMIFS($I$5:$I$238,$C$5:$C$238,$C221),0)</f>
        <v>0.365853658536585</v>
      </c>
      <c r="Z221" s="24" t="n">
        <f aca="false">LN(MAX(I221,1))</f>
        <v>4.07753744390572</v>
      </c>
      <c r="AA221" s="24" t="n">
        <f aca="false">Calibration!$M$35+Calibration!$N$35+SUMPRODUCT(Calibration!$B$35:$F$35,J221:N221)+SUMPRODUCT(Calibration!$G$35:$K$35,U221:Y221)+Calibration!$L$35*Z221</f>
        <v>-0.10431932332997</v>
      </c>
      <c r="AB221" s="24" t="n">
        <f aca="false">Calibration!$M$36+Calibration!$N$36+SUMPRODUCT(Calibration!$B$36:$F$36,J221:N221)+SUMPRODUCT(Calibration!$G$36:$K$36,U221:Y221)+Calibration!$L$36*Z221</f>
        <v>0.255833697411688</v>
      </c>
      <c r="AC221" s="24" t="n">
        <f aca="false">Calibration!$M$37+Calibration!$N$37+SUMPRODUCT(Calibration!$B$37:$F$37,J221:N221)+SUMPRODUCT(Calibration!$G$37:$K$37,U221:Y221)+Calibration!$L$37*Z221</f>
        <v>0.673486235881077</v>
      </c>
      <c r="AD221" s="27" t="n">
        <f aca="false">EXP(AC221)/(EXP(AA221)+EXP(AB221)+EXP(AC221))</f>
        <v>0.472142621137504</v>
      </c>
      <c r="AE221" s="7" t="str">
        <f aca="false">IF(AC221=MAX(AA221:AC221),"TVK",IF(AB221=MAX(AA221:AC221),"DMK+","AIADMK+"))</f>
        <v>TVK</v>
      </c>
      <c r="AF221" s="7" t="str">
        <f aca="false">IF(AE221=R221,"Yes","No")</f>
        <v>Yes</v>
      </c>
      <c r="AG221" s="7" t="str">
        <f aca="false">IF(AE221=P221,"No","Yes")</f>
        <v>Yes</v>
      </c>
      <c r="AH221" s="7" t="str">
        <f aca="false">IF(H221=MAX(D221,E221,H221),"TVK",IF(E221=MAX(D221,E221,H221),"DMK+","AIADMK+"))</f>
        <v>DMK+</v>
      </c>
      <c r="AI221" s="27" t="n">
        <f aca="false">EXP(AA221)/(EXP(AA221)+EXP(AB221)+EXP(AC221))</f>
        <v>0.216908486666226</v>
      </c>
      <c r="AJ221" s="27" t="n">
        <f aca="false">EXP(AB221)/(EXP(AA221)+EXP(AB221)+EXP(AC221))</f>
        <v>0.31094889219627</v>
      </c>
      <c r="AK221" s="28" t="s">
        <v>3</v>
      </c>
      <c r="AL221" s="7" t="str">
        <f aca="false">IF(AK221=R221,"Yes","No")</f>
        <v>Yes</v>
      </c>
      <c r="AM221" s="27" t="n">
        <f aca="false">IF(AK221="TVK",AD221,IF(AK221="DMK+",AJ221,AI221))</f>
        <v>0.472142621137504</v>
      </c>
      <c r="AN221" s="7" t="str">
        <f aca="false">IF(AK221=P221,"No","Yes")</f>
        <v>Yes</v>
      </c>
    </row>
    <row r="222" customFormat="false" ht="15" hidden="true" customHeight="false" outlineLevel="0" collapsed="false">
      <c r="A222" s="0" t="n">
        <v>218</v>
      </c>
      <c r="B222" s="4" t="s">
        <v>401</v>
      </c>
      <c r="C222" s="5" t="s">
        <v>148</v>
      </c>
      <c r="D222" s="35" t="n">
        <v>14</v>
      </c>
      <c r="E222" s="35" t="n">
        <v>19</v>
      </c>
      <c r="F222" s="35"/>
      <c r="G222" s="35" t="n">
        <v>8</v>
      </c>
      <c r="H222" s="35" t="n">
        <v>17</v>
      </c>
      <c r="I222" s="5" t="n">
        <f aca="false">SUM(D222:H222)</f>
        <v>58</v>
      </c>
      <c r="J222" s="10" t="n">
        <f aca="false">IF($I222=0,0,D222/$I222)</f>
        <v>0.241379310344828</v>
      </c>
      <c r="K222" s="10" t="n">
        <f aca="false">IF($I222=0,0,E222/$I222)</f>
        <v>0.327586206896552</v>
      </c>
      <c r="L222" s="10" t="n">
        <f aca="false">IF($I222=0,0,F222/$I222)</f>
        <v>0</v>
      </c>
      <c r="M222" s="10" t="n">
        <f aca="false">IF($I222=0,0,G222/$I222)</f>
        <v>0.137931034482759</v>
      </c>
      <c r="N222" s="10" t="n">
        <f aca="false">IF($I222=0,0,H222/$I222)</f>
        <v>0.293103448275862</v>
      </c>
      <c r="O222" s="35" t="s">
        <v>197</v>
      </c>
      <c r="P222" s="0" t="str">
        <f aca="false">IF(O222="TVK","TVK",IF(O222="DMK","DMK+",IF(O222="ADMK","AIADMK+","")))</f>
        <v>DMK+</v>
      </c>
      <c r="Q222" s="35" t="s">
        <v>197</v>
      </c>
      <c r="R222" s="36" t="s">
        <v>5</v>
      </c>
      <c r="S222" s="0" t="str">
        <f aca="false">IF(P222=R222,"Yes","No")</f>
        <v>Yes</v>
      </c>
      <c r="T222" s="2"/>
      <c r="U222" s="27" t="n">
        <f aca="false">IFERROR(SUMIFS($D$5:$D$238,$C$5:$C$238,$C222)/SUMIFS($I$5:$I$238,$C$5:$C$238,$C222),0)</f>
        <v>0.225609756097561</v>
      </c>
      <c r="V222" s="27" t="n">
        <f aca="false">IFERROR(SUMIFS($E$5:$E$238,$C$5:$C$238,$C222)/SUMIFS($I$5:$I$238,$C$5:$C$238,$C222),0)</f>
        <v>0.304878048780488</v>
      </c>
      <c r="W222" s="27" t="n">
        <f aca="false">IFERROR(SUMIFS($F$5:$F$238,$C$5:$C$238,$C222)/SUMIFS($I$5:$I$238,$C$5:$C$238,$C222),0)</f>
        <v>0.00304878048780488</v>
      </c>
      <c r="X222" s="27" t="n">
        <f aca="false">IFERROR(SUMIFS($G$5:$G$238,$C$5:$C$238,$C222)/SUMIFS($I$5:$I$238,$C$5:$C$238,$C222),0)</f>
        <v>0.100609756097561</v>
      </c>
      <c r="Y222" s="27" t="n">
        <f aca="false">IFERROR(SUMIFS($H$5:$H$238,$C$5:$C$238,$C222)/SUMIFS($I$5:$I$238,$C$5:$C$238,$C222),0)</f>
        <v>0.365853658536585</v>
      </c>
      <c r="Z222" s="24" t="n">
        <f aca="false">LN(MAX(I222,1))</f>
        <v>4.06044301054642</v>
      </c>
      <c r="AA222" s="24" t="n">
        <f aca="false">Calibration!$M$35+Calibration!$N$35+SUMPRODUCT(Calibration!$B$35:$F$35,J222:N222)+SUMPRODUCT(Calibration!$G$35:$K$35,U222:Y222)+Calibration!$L$35*Z222</f>
        <v>-0.0979158295421923</v>
      </c>
      <c r="AB222" s="24" t="n">
        <f aca="false">Calibration!$M$36+Calibration!$N$36+SUMPRODUCT(Calibration!$B$36:$F$36,J222:N222)+SUMPRODUCT(Calibration!$G$36:$K$36,U222:Y222)+Calibration!$L$36*Z222</f>
        <v>0.274344582772182</v>
      </c>
      <c r="AC222" s="24" t="n">
        <f aca="false">Calibration!$M$37+Calibration!$N$37+SUMPRODUCT(Calibration!$B$37:$F$37,J222:N222)+SUMPRODUCT(Calibration!$G$37:$K$37,U222:Y222)+Calibration!$L$37*Z222</f>
        <v>0.648571844751507</v>
      </c>
      <c r="AD222" s="27" t="n">
        <f aca="false">EXP(AC222)/(EXP(AA222)+EXP(AB222)+EXP(AC222))</f>
        <v>0.462566964182051</v>
      </c>
      <c r="AE222" s="7" t="str">
        <f aca="false">IF(AC222=MAX(AA222:AC222),"TVK",IF(AB222=MAX(AA222:AC222),"DMK+","AIADMK+"))</f>
        <v>TVK</v>
      </c>
      <c r="AF222" s="7" t="str">
        <f aca="false">IF(AE222=R222,"Yes","No")</f>
        <v>No</v>
      </c>
      <c r="AG222" s="7" t="str">
        <f aca="false">IF(AE222=P222,"No","Yes")</f>
        <v>Yes</v>
      </c>
      <c r="AH222" s="7" t="str">
        <f aca="false">IF(H222=MAX(D222,E222,H222),"TVK",IF(E222=MAX(D222,E222,H222),"DMK+","AIADMK+"))</f>
        <v>DMK+</v>
      </c>
      <c r="AI222" s="27" t="n">
        <f aca="false">EXP(AA222)/(EXP(AA222)+EXP(AB222)+EXP(AC222))</f>
        <v>0.219269958873357</v>
      </c>
      <c r="AJ222" s="27" t="n">
        <f aca="false">EXP(AB222)/(EXP(AA222)+EXP(AB222)+EXP(AC222))</f>
        <v>0.318163076944592</v>
      </c>
      <c r="AK222" s="28" t="s">
        <v>3</v>
      </c>
      <c r="AL222" s="7" t="str">
        <f aca="false">IF(AK222=R222,"Yes","No")</f>
        <v>No</v>
      </c>
      <c r="AM222" s="27" t="n">
        <f aca="false">IF(AK222="TVK",AD222,IF(AK222="DMK+",AJ222,AI222))</f>
        <v>0.462566964182051</v>
      </c>
      <c r="AN222" s="7" t="str">
        <f aca="false">IF(AK222=P222,"No","Yes")</f>
        <v>Yes</v>
      </c>
    </row>
    <row r="223" customFormat="false" ht="15" hidden="true" customHeight="false" outlineLevel="0" collapsed="false">
      <c r="A223" s="0" t="n">
        <v>219</v>
      </c>
      <c r="B223" s="4" t="s">
        <v>402</v>
      </c>
      <c r="C223" s="5" t="s">
        <v>138</v>
      </c>
      <c r="D223" s="35" t="n">
        <v>18</v>
      </c>
      <c r="E223" s="35" t="n">
        <v>14</v>
      </c>
      <c r="F223" s="35"/>
      <c r="G223" s="35" t="n">
        <v>6</v>
      </c>
      <c r="H223" s="35" t="n">
        <v>15</v>
      </c>
      <c r="I223" s="5" t="n">
        <f aca="false">SUM(D223:H223)</f>
        <v>53</v>
      </c>
      <c r="J223" s="10" t="n">
        <f aca="false">IF($I223=0,0,D223/$I223)</f>
        <v>0.339622641509434</v>
      </c>
      <c r="K223" s="10" t="n">
        <f aca="false">IF($I223=0,0,E223/$I223)</f>
        <v>0.264150943396226</v>
      </c>
      <c r="L223" s="10" t="n">
        <f aca="false">IF($I223=0,0,F223/$I223)</f>
        <v>0</v>
      </c>
      <c r="M223" s="10" t="n">
        <f aca="false">IF($I223=0,0,G223/$I223)</f>
        <v>0.113207547169811</v>
      </c>
      <c r="N223" s="10" t="n">
        <f aca="false">IF($I223=0,0,H223/$I223)</f>
        <v>0.283018867924528</v>
      </c>
      <c r="O223" s="35" t="s">
        <v>218</v>
      </c>
      <c r="P223" s="0" t="str">
        <f aca="false">IF(O223="TVK","TVK",IF(O223="DMK","DMK+",IF(O223="ADMK","AIADMK+","")))</f>
        <v>AIADMK+</v>
      </c>
      <c r="Q223" s="35" t="s">
        <v>196</v>
      </c>
      <c r="R223" s="36" t="s">
        <v>4</v>
      </c>
      <c r="S223" s="0" t="str">
        <f aca="false">IF(P223=R223,"Yes","No")</f>
        <v>Yes</v>
      </c>
      <c r="T223" s="2"/>
      <c r="U223" s="27" t="n">
        <f aca="false">IFERROR(SUMIFS($D$5:$D$238,$C$5:$C$238,$C223)/SUMIFS($I$5:$I$238,$C$5:$C$238,$C223),0)</f>
        <v>0.268939393939394</v>
      </c>
      <c r="V223" s="27" t="n">
        <f aca="false">IFERROR(SUMIFS($E$5:$E$238,$C$5:$C$238,$C223)/SUMIFS($I$5:$I$238,$C$5:$C$238,$C223),0)</f>
        <v>0.287878787878788</v>
      </c>
      <c r="W223" s="27" t="n">
        <f aca="false">IFERROR(SUMIFS($F$5:$F$238,$C$5:$C$238,$C223)/SUMIFS($I$5:$I$238,$C$5:$C$238,$C223),0)</f>
        <v>0</v>
      </c>
      <c r="X223" s="27" t="n">
        <f aca="false">IFERROR(SUMIFS($G$5:$G$238,$C$5:$C$238,$C223)/SUMIFS($I$5:$I$238,$C$5:$C$238,$C223),0)</f>
        <v>0.159090909090909</v>
      </c>
      <c r="Y223" s="27" t="n">
        <f aca="false">IFERROR(SUMIFS($H$5:$H$238,$C$5:$C$238,$C223)/SUMIFS($I$5:$I$238,$C$5:$C$238,$C223),0)</f>
        <v>0.284090909090909</v>
      </c>
      <c r="Z223" s="24" t="n">
        <f aca="false">LN(MAX(I223,1))</f>
        <v>3.97029191355212</v>
      </c>
      <c r="AA223" s="24" t="n">
        <f aca="false">Calibration!$M$35+Calibration!$N$35+SUMPRODUCT(Calibration!$B$35:$F$35,J223:N223)+SUMPRODUCT(Calibration!$G$35:$K$35,U223:Y223)+Calibration!$L$35*Z223</f>
        <v>0.110726413774728</v>
      </c>
      <c r="AB223" s="24" t="n">
        <f aca="false">Calibration!$M$36+Calibration!$N$36+SUMPRODUCT(Calibration!$B$36:$F$36,J223:N223)+SUMPRODUCT(Calibration!$G$36:$K$36,U223:Y223)+Calibration!$L$36*Z223</f>
        <v>0.243813541261437</v>
      </c>
      <c r="AC223" s="24" t="n">
        <f aca="false">Calibration!$M$37+Calibration!$N$37+SUMPRODUCT(Calibration!$B$37:$F$37,J223:N223)+SUMPRODUCT(Calibration!$G$37:$K$37,U223:Y223)+Calibration!$L$37*Z223</f>
        <v>0.470460615861491</v>
      </c>
      <c r="AD223" s="27" t="n">
        <f aca="false">EXP(AC223)/(EXP(AA223)+EXP(AB223)+EXP(AC223))</f>
        <v>0.400791342122012</v>
      </c>
      <c r="AE223" s="7" t="str">
        <f aca="false">IF(AC223=MAX(AA223:AC223),"TVK",IF(AB223=MAX(AA223:AC223),"DMK+","AIADMK+"))</f>
        <v>TVK</v>
      </c>
      <c r="AF223" s="7" t="str">
        <f aca="false">IF(AE223=R223,"Yes","No")</f>
        <v>No</v>
      </c>
      <c r="AG223" s="7" t="str">
        <f aca="false">IF(AE223=P223,"No","Yes")</f>
        <v>Yes</v>
      </c>
      <c r="AH223" s="7" t="str">
        <f aca="false">IF(H223=MAX(D223,E223,H223),"TVK",IF(E223=MAX(D223,E223,H223),"DMK+","AIADMK+"))</f>
        <v>AIADMK+</v>
      </c>
      <c r="AI223" s="27" t="n">
        <f aca="false">EXP(AA223)/(EXP(AA223)+EXP(AB223)+EXP(AC223))</f>
        <v>0.279696964082941</v>
      </c>
      <c r="AJ223" s="27" t="n">
        <f aca="false">EXP(AB223)/(EXP(AA223)+EXP(AB223)+EXP(AC223))</f>
        <v>0.319511693795047</v>
      </c>
      <c r="AK223" s="28" t="s">
        <v>5</v>
      </c>
      <c r="AL223" s="7" t="str">
        <f aca="false">IF(AK223=R223,"Yes","No")</f>
        <v>No</v>
      </c>
      <c r="AM223" s="27" t="n">
        <f aca="false">IF(AK223="TVK",AD223,IF(AK223="DMK+",AJ223,AI223))</f>
        <v>0.319511693795047</v>
      </c>
      <c r="AN223" s="7" t="str">
        <f aca="false">IF(AK223=P223,"No","Yes")</f>
        <v>Yes</v>
      </c>
    </row>
    <row r="224" customFormat="false" ht="15" hidden="true" customHeight="false" outlineLevel="0" collapsed="false">
      <c r="A224" s="0" t="n">
        <v>220</v>
      </c>
      <c r="B224" s="4" t="s">
        <v>403</v>
      </c>
      <c r="C224" s="5" t="s">
        <v>138</v>
      </c>
      <c r="D224" s="35" t="n">
        <v>18</v>
      </c>
      <c r="E224" s="35" t="n">
        <v>7</v>
      </c>
      <c r="F224" s="35"/>
      <c r="G224" s="35" t="n">
        <v>4</v>
      </c>
      <c r="H224" s="35" t="n">
        <v>10</v>
      </c>
      <c r="I224" s="5" t="n">
        <f aca="false">SUM(D224:H224)</f>
        <v>39</v>
      </c>
      <c r="J224" s="10" t="n">
        <f aca="false">IF($I224=0,0,D224/$I224)</f>
        <v>0.461538461538462</v>
      </c>
      <c r="K224" s="10" t="n">
        <f aca="false">IF($I224=0,0,E224/$I224)</f>
        <v>0.17948717948718</v>
      </c>
      <c r="L224" s="10" t="n">
        <f aca="false">IF($I224=0,0,F224/$I224)</f>
        <v>0</v>
      </c>
      <c r="M224" s="10" t="n">
        <f aca="false">IF($I224=0,0,G224/$I224)</f>
        <v>0.102564102564103</v>
      </c>
      <c r="N224" s="10" t="n">
        <f aca="false">IF($I224=0,0,H224/$I224)</f>
        <v>0.256410256410256</v>
      </c>
      <c r="O224" s="35" t="s">
        <v>218</v>
      </c>
      <c r="P224" s="0" t="str">
        <f aca="false">IF(O224="TVK","TVK",IF(O224="DMK","DMK+",IF(O224="ADMK","AIADMK+","")))</f>
        <v>AIADMK+</v>
      </c>
      <c r="Q224" s="35" t="s">
        <v>197</v>
      </c>
      <c r="R224" s="36" t="s">
        <v>5</v>
      </c>
      <c r="S224" s="0" t="str">
        <f aca="false">IF(P224=R224,"Yes","No")</f>
        <v>No</v>
      </c>
      <c r="T224" s="2"/>
      <c r="U224" s="27" t="n">
        <f aca="false">IFERROR(SUMIFS($D$5:$D$238,$C$5:$C$238,$C224)/SUMIFS($I$5:$I$238,$C$5:$C$238,$C224),0)</f>
        <v>0.268939393939394</v>
      </c>
      <c r="V224" s="27" t="n">
        <f aca="false">IFERROR(SUMIFS($E$5:$E$238,$C$5:$C$238,$C224)/SUMIFS($I$5:$I$238,$C$5:$C$238,$C224),0)</f>
        <v>0.287878787878788</v>
      </c>
      <c r="W224" s="27" t="n">
        <f aca="false">IFERROR(SUMIFS($F$5:$F$238,$C$5:$C$238,$C224)/SUMIFS($I$5:$I$238,$C$5:$C$238,$C224),0)</f>
        <v>0</v>
      </c>
      <c r="X224" s="27" t="n">
        <f aca="false">IFERROR(SUMIFS($G$5:$G$238,$C$5:$C$238,$C224)/SUMIFS($I$5:$I$238,$C$5:$C$238,$C224),0)</f>
        <v>0.159090909090909</v>
      </c>
      <c r="Y224" s="27" t="n">
        <f aca="false">IFERROR(SUMIFS($H$5:$H$238,$C$5:$C$238,$C224)/SUMIFS($I$5:$I$238,$C$5:$C$238,$C224),0)</f>
        <v>0.284090909090909</v>
      </c>
      <c r="Z224" s="24" t="n">
        <f aca="false">LN(MAX(I224,1))</f>
        <v>3.66356164612965</v>
      </c>
      <c r="AA224" s="24" t="n">
        <f aca="false">Calibration!$M$35+Calibration!$N$35+SUMPRODUCT(Calibration!$B$35:$F$35,J224:N224)+SUMPRODUCT(Calibration!$G$35:$K$35,U224:Y224)+Calibration!$L$35*Z224</f>
        <v>0.446059809922775</v>
      </c>
      <c r="AB224" s="24" t="n">
        <f aca="false">Calibration!$M$36+Calibration!$N$36+SUMPRODUCT(Calibration!$B$36:$F$36,J224:N224)+SUMPRODUCT(Calibration!$G$36:$K$36,U224:Y224)+Calibration!$L$36*Z224</f>
        <v>0.248920920239862</v>
      </c>
      <c r="AC224" s="24" t="n">
        <f aca="false">Calibration!$M$37+Calibration!$N$37+SUMPRODUCT(Calibration!$B$37:$F$37,J224:N224)+SUMPRODUCT(Calibration!$G$37:$K$37,U224:Y224)+Calibration!$L$37*Z224</f>
        <v>0.130019814126408</v>
      </c>
      <c r="AD224" s="27" t="n">
        <f aca="false">EXP(AC224)/(EXP(AA224)+EXP(AB224)+EXP(AC224))</f>
        <v>0.285882249796835</v>
      </c>
      <c r="AE224" s="7" t="str">
        <f aca="false">IF(AC224=MAX(AA224:AC224),"TVK",IF(AB224=MAX(AA224:AC224),"DMK+","AIADMK+"))</f>
        <v>AIADMK+</v>
      </c>
      <c r="AF224" s="7" t="str">
        <f aca="false">IF(AE224=R224,"Yes","No")</f>
        <v>No</v>
      </c>
      <c r="AG224" s="7" t="str">
        <f aca="false">IF(AE224=P224,"No","Yes")</f>
        <v>No</v>
      </c>
      <c r="AH224" s="7" t="str">
        <f aca="false">IF(H224=MAX(D224,E224,H224),"TVK",IF(E224=MAX(D224,E224,H224),"DMK+","AIADMK+"))</f>
        <v>AIADMK+</v>
      </c>
      <c r="AI224" s="27" t="n">
        <f aca="false">EXP(AA224)/(EXP(AA224)+EXP(AB224)+EXP(AC224))</f>
        <v>0.392140427022805</v>
      </c>
      <c r="AJ224" s="27" t="n">
        <f aca="false">EXP(AB224)/(EXP(AA224)+EXP(AB224)+EXP(AC224))</f>
        <v>0.321977323180361</v>
      </c>
      <c r="AK224" s="28" t="s">
        <v>4</v>
      </c>
      <c r="AL224" s="7" t="str">
        <f aca="false">IF(AK224=R224,"Yes","No")</f>
        <v>No</v>
      </c>
      <c r="AM224" s="27" t="n">
        <f aca="false">IF(AK224="TVK",AD224,IF(AK224="DMK+",AJ224,AI224))</f>
        <v>0.392140427022805</v>
      </c>
      <c r="AN224" s="7" t="str">
        <f aca="false">IF(AK224=P224,"No","Yes")</f>
        <v>No</v>
      </c>
    </row>
    <row r="225" customFormat="false" ht="15" hidden="true" customHeight="false" outlineLevel="0" collapsed="false">
      <c r="A225" s="0" t="n">
        <v>221</v>
      </c>
      <c r="B225" s="4" t="s">
        <v>404</v>
      </c>
      <c r="C225" s="5" t="s">
        <v>138</v>
      </c>
      <c r="D225" s="35" t="n">
        <v>9</v>
      </c>
      <c r="E225" s="35" t="n">
        <v>14</v>
      </c>
      <c r="F225" s="35"/>
      <c r="G225" s="35" t="n">
        <v>9</v>
      </c>
      <c r="H225" s="35" t="n">
        <v>12</v>
      </c>
      <c r="I225" s="5" t="n">
        <f aca="false">SUM(D225:H225)</f>
        <v>44</v>
      </c>
      <c r="J225" s="10" t="n">
        <f aca="false">IF($I225=0,0,D225/$I225)</f>
        <v>0.204545454545455</v>
      </c>
      <c r="K225" s="10" t="n">
        <f aca="false">IF($I225=0,0,E225/$I225)</f>
        <v>0.318181818181818</v>
      </c>
      <c r="L225" s="10" t="n">
        <f aca="false">IF($I225=0,0,F225/$I225)</f>
        <v>0</v>
      </c>
      <c r="M225" s="10" t="n">
        <f aca="false">IF($I225=0,0,G225/$I225)</f>
        <v>0.204545454545455</v>
      </c>
      <c r="N225" s="10" t="n">
        <f aca="false">IF($I225=0,0,H225/$I225)</f>
        <v>0.272727272727273</v>
      </c>
      <c r="O225" s="35" t="s">
        <v>197</v>
      </c>
      <c r="P225" s="0" t="str">
        <f aca="false">IF(O225="TVK","TVK",IF(O225="DMK","DMK+",IF(O225="ADMK","AIADMK+","")))</f>
        <v>DMK+</v>
      </c>
      <c r="Q225" s="35" t="s">
        <v>197</v>
      </c>
      <c r="R225" s="36" t="s">
        <v>5</v>
      </c>
      <c r="S225" s="0" t="str">
        <f aca="false">IF(P225=R225,"Yes","No")</f>
        <v>Yes</v>
      </c>
      <c r="T225" s="2"/>
      <c r="U225" s="27" t="n">
        <f aca="false">IFERROR(SUMIFS($D$5:$D$238,$C$5:$C$238,$C225)/SUMIFS($I$5:$I$238,$C$5:$C$238,$C225),0)</f>
        <v>0.268939393939394</v>
      </c>
      <c r="V225" s="27" t="n">
        <f aca="false">IFERROR(SUMIFS($E$5:$E$238,$C$5:$C$238,$C225)/SUMIFS($I$5:$I$238,$C$5:$C$238,$C225),0)</f>
        <v>0.287878787878788</v>
      </c>
      <c r="W225" s="27" t="n">
        <f aca="false">IFERROR(SUMIFS($F$5:$F$238,$C$5:$C$238,$C225)/SUMIFS($I$5:$I$238,$C$5:$C$238,$C225),0)</f>
        <v>0</v>
      </c>
      <c r="X225" s="27" t="n">
        <f aca="false">IFERROR(SUMIFS($G$5:$G$238,$C$5:$C$238,$C225)/SUMIFS($I$5:$I$238,$C$5:$C$238,$C225),0)</f>
        <v>0.159090909090909</v>
      </c>
      <c r="Y225" s="27" t="n">
        <f aca="false">IFERROR(SUMIFS($H$5:$H$238,$C$5:$C$238,$C225)/SUMIFS($I$5:$I$238,$C$5:$C$238,$C225),0)</f>
        <v>0.284090909090909</v>
      </c>
      <c r="Z225" s="24" t="n">
        <f aca="false">LN(MAX(I225,1))</f>
        <v>3.78418963391826</v>
      </c>
      <c r="AA225" s="24" t="n">
        <f aca="false">Calibration!$M$35+Calibration!$N$35+SUMPRODUCT(Calibration!$B$35:$F$35,J225:N225)+SUMPRODUCT(Calibration!$G$35:$K$35,U225:Y225)+Calibration!$L$35*Z225</f>
        <v>0.0534420799668576</v>
      </c>
      <c r="AB225" s="24" t="n">
        <f aca="false">Calibration!$M$36+Calibration!$N$36+SUMPRODUCT(Calibration!$B$36:$F$36,J225:N225)+SUMPRODUCT(Calibration!$G$36:$K$36,U225:Y225)+Calibration!$L$36*Z225</f>
        <v>0.544582547264836</v>
      </c>
      <c r="AC225" s="24" t="n">
        <f aca="false">Calibration!$M$37+Calibration!$N$37+SUMPRODUCT(Calibration!$B$37:$F$37,J225:N225)+SUMPRODUCT(Calibration!$G$37:$K$37,U225:Y225)+Calibration!$L$37*Z225</f>
        <v>0.226975933374367</v>
      </c>
      <c r="AD225" s="27" t="n">
        <f aca="false">EXP(AC225)/(EXP(AA225)+EXP(AB225)+EXP(AC225))</f>
        <v>0.311088010645737</v>
      </c>
      <c r="AE225" s="7" t="str">
        <f aca="false">IF(AC225=MAX(AA225:AC225),"TVK",IF(AB225=MAX(AA225:AC225),"DMK+","AIADMK+"))</f>
        <v>DMK+</v>
      </c>
      <c r="AF225" s="7" t="str">
        <f aca="false">IF(AE225=R225,"Yes","No")</f>
        <v>Yes</v>
      </c>
      <c r="AG225" s="7" t="str">
        <f aca="false">IF(AE225=P225,"No","Yes")</f>
        <v>No</v>
      </c>
      <c r="AH225" s="7" t="str">
        <f aca="false">IF(H225=MAX(D225,E225,H225),"TVK",IF(E225=MAX(D225,E225,H225),"DMK+","AIADMK+"))</f>
        <v>DMK+</v>
      </c>
      <c r="AI225" s="27" t="n">
        <f aca="false">EXP(AA225)/(EXP(AA225)+EXP(AB225)+EXP(AC225))</f>
        <v>0.261528172301044</v>
      </c>
      <c r="AJ225" s="27" t="n">
        <f aca="false">EXP(AB225)/(EXP(AA225)+EXP(AB225)+EXP(AC225))</f>
        <v>0.427383817053219</v>
      </c>
      <c r="AK225" s="28" t="s">
        <v>5</v>
      </c>
      <c r="AL225" s="7" t="str">
        <f aca="false">IF(AK225=R225,"Yes","No")</f>
        <v>Yes</v>
      </c>
      <c r="AM225" s="27" t="n">
        <f aca="false">IF(AK225="TVK",AD225,IF(AK225="DMK+",AJ225,AI225))</f>
        <v>0.427383817053219</v>
      </c>
      <c r="AN225" s="7" t="str">
        <f aca="false">IF(AK225=P225,"No","Yes")</f>
        <v>No</v>
      </c>
    </row>
    <row r="226" customFormat="false" ht="15" hidden="true" customHeight="false" outlineLevel="0" collapsed="false">
      <c r="A226" s="0" t="n">
        <v>222</v>
      </c>
      <c r="B226" s="4" t="s">
        <v>138</v>
      </c>
      <c r="C226" s="5" t="s">
        <v>138</v>
      </c>
      <c r="D226" s="35" t="n">
        <v>20</v>
      </c>
      <c r="E226" s="35" t="n">
        <v>26</v>
      </c>
      <c r="F226" s="35"/>
      <c r="G226" s="35" t="n">
        <v>13</v>
      </c>
      <c r="H226" s="35" t="n">
        <v>25</v>
      </c>
      <c r="I226" s="5" t="n">
        <f aca="false">SUM(D226:H226)</f>
        <v>84</v>
      </c>
      <c r="J226" s="10" t="n">
        <f aca="false">IF($I226=0,0,D226/$I226)</f>
        <v>0.238095238095238</v>
      </c>
      <c r="K226" s="10" t="n">
        <f aca="false">IF($I226=0,0,E226/$I226)</f>
        <v>0.30952380952381</v>
      </c>
      <c r="L226" s="10" t="n">
        <f aca="false">IF($I226=0,0,F226/$I226)</f>
        <v>0</v>
      </c>
      <c r="M226" s="10" t="n">
        <f aca="false">IF($I226=0,0,G226/$I226)</f>
        <v>0.154761904761905</v>
      </c>
      <c r="N226" s="10" t="n">
        <f aca="false">IF($I226=0,0,H226/$I226)</f>
        <v>0.297619047619048</v>
      </c>
      <c r="O226" s="35" t="s">
        <v>197</v>
      </c>
      <c r="P226" s="0" t="str">
        <f aca="false">IF(O226="TVK","TVK",IF(O226="DMK","DMK+",IF(O226="ADMK","AIADMK+","")))</f>
        <v>DMK+</v>
      </c>
      <c r="Q226" s="35" t="s">
        <v>197</v>
      </c>
      <c r="R226" s="36" t="s">
        <v>5</v>
      </c>
      <c r="S226" s="0" t="str">
        <f aca="false">IF(P226=R226,"Yes","No")</f>
        <v>Yes</v>
      </c>
      <c r="T226" s="2"/>
      <c r="U226" s="27" t="n">
        <f aca="false">IFERROR(SUMIFS($D$5:$D$238,$C$5:$C$238,$C226)/SUMIFS($I$5:$I$238,$C$5:$C$238,$C226),0)</f>
        <v>0.268939393939394</v>
      </c>
      <c r="V226" s="27" t="n">
        <f aca="false">IFERROR(SUMIFS($E$5:$E$238,$C$5:$C$238,$C226)/SUMIFS($I$5:$I$238,$C$5:$C$238,$C226),0)</f>
        <v>0.287878787878788</v>
      </c>
      <c r="W226" s="27" t="n">
        <f aca="false">IFERROR(SUMIFS($F$5:$F$238,$C$5:$C$238,$C226)/SUMIFS($I$5:$I$238,$C$5:$C$238,$C226),0)</f>
        <v>0</v>
      </c>
      <c r="X226" s="27" t="n">
        <f aca="false">IFERROR(SUMIFS($G$5:$G$238,$C$5:$C$238,$C226)/SUMIFS($I$5:$I$238,$C$5:$C$238,$C226),0)</f>
        <v>0.159090909090909</v>
      </c>
      <c r="Y226" s="27" t="n">
        <f aca="false">IFERROR(SUMIFS($H$5:$H$238,$C$5:$C$238,$C226)/SUMIFS($I$5:$I$238,$C$5:$C$238,$C226),0)</f>
        <v>0.284090909090909</v>
      </c>
      <c r="Z226" s="24" t="n">
        <f aca="false">LN(MAX(I226,1))</f>
        <v>4.43081679884331</v>
      </c>
      <c r="AA226" s="24" t="n">
        <f aca="false">Calibration!$M$35+Calibration!$N$35+SUMPRODUCT(Calibration!$B$35:$F$35,J226:N226)+SUMPRODUCT(Calibration!$G$35:$K$35,U226:Y226)+Calibration!$L$35*Z226</f>
        <v>-0.254775260175191</v>
      </c>
      <c r="AB226" s="24" t="n">
        <f aca="false">Calibration!$M$36+Calibration!$N$36+SUMPRODUCT(Calibration!$B$36:$F$36,J226:N226)+SUMPRODUCT(Calibration!$G$36:$K$36,U226:Y226)+Calibration!$L$36*Z226</f>
        <v>0.092652929469855</v>
      </c>
      <c r="AC226" s="24" t="n">
        <f aca="false">Calibration!$M$37+Calibration!$N$37+SUMPRODUCT(Calibration!$B$37:$F$37,J226:N226)+SUMPRODUCT(Calibration!$G$37:$K$37,U226:Y226)+Calibration!$L$37*Z226</f>
        <v>0.987122916203171</v>
      </c>
      <c r="AD226" s="27" t="n">
        <f aca="false">EXP(AC226)/(EXP(AA226)+EXP(AB226)+EXP(AC226))</f>
        <v>0.589046216667325</v>
      </c>
      <c r="AE226" s="7" t="str">
        <f aca="false">IF(AC226=MAX(AA226:AC226),"TVK",IF(AB226=MAX(AA226:AC226),"DMK+","AIADMK+"))</f>
        <v>TVK</v>
      </c>
      <c r="AF226" s="7" t="str">
        <f aca="false">IF(AE226=R226,"Yes","No")</f>
        <v>No</v>
      </c>
      <c r="AG226" s="7" t="str">
        <f aca="false">IF(AE226=P226,"No","Yes")</f>
        <v>Yes</v>
      </c>
      <c r="AH226" s="7" t="str">
        <f aca="false">IF(H226=MAX(D226,E226,H226),"TVK",IF(E226=MAX(D226,E226,H226),"DMK+","AIADMK+"))</f>
        <v>DMK+</v>
      </c>
      <c r="AI226" s="27" t="n">
        <f aca="false">EXP(AA226)/(EXP(AA226)+EXP(AB226)+EXP(AC226))</f>
        <v>0.170137421203376</v>
      </c>
      <c r="AJ226" s="27" t="n">
        <f aca="false">EXP(AB226)/(EXP(AA226)+EXP(AB226)+EXP(AC226))</f>
        <v>0.240816362129299</v>
      </c>
      <c r="AK226" s="28" t="s">
        <v>5</v>
      </c>
      <c r="AL226" s="7" t="str">
        <f aca="false">IF(AK226=R226,"Yes","No")</f>
        <v>Yes</v>
      </c>
      <c r="AM226" s="27" t="n">
        <f aca="false">IF(AK226="TVK",AD226,IF(AK226="DMK+",AJ226,AI226))</f>
        <v>0.240816362129299</v>
      </c>
      <c r="AN226" s="7" t="str">
        <f aca="false">IF(AK226=P226,"No","Yes")</f>
        <v>No</v>
      </c>
    </row>
    <row r="227" customFormat="false" ht="15" hidden="true" customHeight="false" outlineLevel="0" collapsed="false">
      <c r="A227" s="0" t="n">
        <v>223</v>
      </c>
      <c r="B227" s="4" t="s">
        <v>405</v>
      </c>
      <c r="C227" s="5" t="s">
        <v>138</v>
      </c>
      <c r="D227" s="35" t="n">
        <v>6</v>
      </c>
      <c r="E227" s="35" t="n">
        <v>15</v>
      </c>
      <c r="F227" s="35"/>
      <c r="G227" s="35" t="n">
        <v>10</v>
      </c>
      <c r="H227" s="35" t="n">
        <v>13</v>
      </c>
      <c r="I227" s="5" t="n">
        <f aca="false">SUM(D227:H227)</f>
        <v>44</v>
      </c>
      <c r="J227" s="10" t="n">
        <f aca="false">IF($I227=0,0,D227/$I227)</f>
        <v>0.136363636363636</v>
      </c>
      <c r="K227" s="10" t="n">
        <f aca="false">IF($I227=0,0,E227/$I227)</f>
        <v>0.340909090909091</v>
      </c>
      <c r="L227" s="10" t="n">
        <f aca="false">IF($I227=0,0,F227/$I227)</f>
        <v>0</v>
      </c>
      <c r="M227" s="10" t="n">
        <f aca="false">IF($I227=0,0,G227/$I227)</f>
        <v>0.227272727272727</v>
      </c>
      <c r="N227" s="10" t="n">
        <f aca="false">IF($I227=0,0,H227/$I227)</f>
        <v>0.295454545454545</v>
      </c>
      <c r="O227" s="35" t="s">
        <v>197</v>
      </c>
      <c r="P227" s="0" t="str">
        <f aca="false">IF(O227="TVK","TVK",IF(O227="DMK","DMK+",IF(O227="ADMK","AIADMK+","")))</f>
        <v>DMK+</v>
      </c>
      <c r="Q227" s="35" t="s">
        <v>197</v>
      </c>
      <c r="R227" s="36" t="s">
        <v>5</v>
      </c>
      <c r="S227" s="0" t="str">
        <f aca="false">IF(P227=R227,"Yes","No")</f>
        <v>Yes</v>
      </c>
      <c r="T227" s="2"/>
      <c r="U227" s="27" t="n">
        <f aca="false">IFERROR(SUMIFS($D$5:$D$238,$C$5:$C$238,$C227)/SUMIFS($I$5:$I$238,$C$5:$C$238,$C227),0)</f>
        <v>0.268939393939394</v>
      </c>
      <c r="V227" s="27" t="n">
        <f aca="false">IFERROR(SUMIFS($E$5:$E$238,$C$5:$C$238,$C227)/SUMIFS($I$5:$I$238,$C$5:$C$238,$C227),0)</f>
        <v>0.287878787878788</v>
      </c>
      <c r="W227" s="27" t="n">
        <f aca="false">IFERROR(SUMIFS($F$5:$F$238,$C$5:$C$238,$C227)/SUMIFS($I$5:$I$238,$C$5:$C$238,$C227),0)</f>
        <v>0</v>
      </c>
      <c r="X227" s="27" t="n">
        <f aca="false">IFERROR(SUMIFS($G$5:$G$238,$C$5:$C$238,$C227)/SUMIFS($I$5:$I$238,$C$5:$C$238,$C227),0)</f>
        <v>0.159090909090909</v>
      </c>
      <c r="Y227" s="27" t="n">
        <f aca="false">IFERROR(SUMIFS($H$5:$H$238,$C$5:$C$238,$C227)/SUMIFS($I$5:$I$238,$C$5:$C$238,$C227),0)</f>
        <v>0.284090909090909</v>
      </c>
      <c r="Z227" s="24" t="n">
        <f aca="false">LN(MAX(I227,1))</f>
        <v>3.78418963391826</v>
      </c>
      <c r="AA227" s="24" t="n">
        <f aca="false">Calibration!$M$35+Calibration!$N$35+SUMPRODUCT(Calibration!$B$35:$F$35,J227:N227)+SUMPRODUCT(Calibration!$G$35:$K$35,U227:Y227)+Calibration!$L$35*Z227</f>
        <v>-0.0272728518513241</v>
      </c>
      <c r="AB227" s="24" t="n">
        <f aca="false">Calibration!$M$36+Calibration!$N$36+SUMPRODUCT(Calibration!$B$36:$F$36,J227:N227)+SUMPRODUCT(Calibration!$G$36:$K$36,U227:Y227)+Calibration!$L$36*Z227</f>
        <v>0.620865569992109</v>
      </c>
      <c r="AC227" s="24" t="n">
        <f aca="false">Calibration!$M$37+Calibration!$N$37+SUMPRODUCT(Calibration!$B$37:$F$37,J227:N227)+SUMPRODUCT(Calibration!$G$37:$K$37,U227:Y227)+Calibration!$L$37*Z227</f>
        <v>0.231407865192549</v>
      </c>
      <c r="AD227" s="27" t="n">
        <f aca="false">EXP(AC227)/(EXP(AA227)+EXP(AB227)+EXP(AC227))</f>
        <v>0.307858120668065</v>
      </c>
      <c r="AE227" s="7" t="str">
        <f aca="false">IF(AC227=MAX(AA227:AC227),"TVK",IF(AB227=MAX(AA227:AC227),"DMK+","AIADMK+"))</f>
        <v>DMK+</v>
      </c>
      <c r="AF227" s="7" t="str">
        <f aca="false">IF(AE227=R227,"Yes","No")</f>
        <v>Yes</v>
      </c>
      <c r="AG227" s="7" t="str">
        <f aca="false">IF(AE227=P227,"No","Yes")</f>
        <v>No</v>
      </c>
      <c r="AH227" s="7" t="str">
        <f aca="false">IF(H227=MAX(D227,E227,H227),"TVK",IF(E227=MAX(D227,E227,H227),"DMK+","AIADMK+"))</f>
        <v>DMK+</v>
      </c>
      <c r="AI227" s="27" t="n">
        <f aca="false">EXP(AA227)/(EXP(AA227)+EXP(AB227)+EXP(AC227))</f>
        <v>0.23768786293224</v>
      </c>
      <c r="AJ227" s="27" t="n">
        <f aca="false">EXP(AB227)/(EXP(AA227)+EXP(AB227)+EXP(AC227))</f>
        <v>0.454454016399695</v>
      </c>
      <c r="AK227" s="28" t="s">
        <v>5</v>
      </c>
      <c r="AL227" s="7" t="str">
        <f aca="false">IF(AK227=R227,"Yes","No")</f>
        <v>Yes</v>
      </c>
      <c r="AM227" s="27" t="n">
        <f aca="false">IF(AK227="TVK",AD227,IF(AK227="DMK+",AJ227,AI227))</f>
        <v>0.454454016399695</v>
      </c>
      <c r="AN227" s="7" t="str">
        <f aca="false">IF(AK227=P227,"No","Yes")</f>
        <v>No</v>
      </c>
    </row>
    <row r="228" customFormat="false" ht="15" hidden="false" customHeight="false" outlineLevel="0" collapsed="false">
      <c r="A228" s="0" t="n">
        <v>224</v>
      </c>
      <c r="B228" s="4" t="s">
        <v>152</v>
      </c>
      <c r="C228" s="5" t="s">
        <v>152</v>
      </c>
      <c r="D228" s="35" t="n">
        <v>17</v>
      </c>
      <c r="E228" s="35" t="n">
        <v>18</v>
      </c>
      <c r="F228" s="35" t="n">
        <v>3</v>
      </c>
      <c r="G228" s="35" t="n">
        <v>10</v>
      </c>
      <c r="H228" s="35" t="n">
        <v>38</v>
      </c>
      <c r="I228" s="5" t="n">
        <f aca="false">SUM(D228:H228)</f>
        <v>86</v>
      </c>
      <c r="J228" s="10" t="n">
        <f aca="false">IF($I228=0,0,D228/$I228)</f>
        <v>0.197674418604651</v>
      </c>
      <c r="K228" s="10" t="n">
        <f aca="false">IF($I228=0,0,E228/$I228)</f>
        <v>0.209302325581395</v>
      </c>
      <c r="L228" s="10" t="n">
        <f aca="false">IF($I228=0,0,F228/$I228)</f>
        <v>0.0348837209302326</v>
      </c>
      <c r="M228" s="10" t="n">
        <f aca="false">IF($I228=0,0,G228/$I228)</f>
        <v>0.116279069767442</v>
      </c>
      <c r="N228" s="10" t="n">
        <f aca="false">IF($I228=0,0,H228/$I228)</f>
        <v>0.441860465116279</v>
      </c>
      <c r="O228" s="35" t="s">
        <v>3</v>
      </c>
      <c r="P228" s="0" t="str">
        <f aca="false">IF(O228="TVK","TVK",IF(O228="DMK","DMK+",IF(O228="ADMK","AIADMK+","")))</f>
        <v>TVK</v>
      </c>
      <c r="Q228" s="35" t="s">
        <v>3</v>
      </c>
      <c r="R228" s="36" t="s">
        <v>3</v>
      </c>
      <c r="S228" s="0" t="str">
        <f aca="false">IF(P228=R228,"Yes","No")</f>
        <v>Yes</v>
      </c>
      <c r="T228" s="2"/>
      <c r="U228" s="27" t="n">
        <f aca="false">IFERROR(SUMIFS($D$5:$D$238,$C$5:$C$238,$C228)/SUMIFS($I$5:$I$238,$C$5:$C$238,$C228),0)</f>
        <v>0.195876288659794</v>
      </c>
      <c r="V228" s="27" t="n">
        <f aca="false">IFERROR(SUMIFS($E$5:$E$238,$C$5:$C$238,$C228)/SUMIFS($I$5:$I$238,$C$5:$C$238,$C228),0)</f>
        <v>0.326460481099656</v>
      </c>
      <c r="W228" s="27" t="n">
        <f aca="false">IFERROR(SUMIFS($F$5:$F$238,$C$5:$C$238,$C228)/SUMIFS($I$5:$I$238,$C$5:$C$238,$C228),0)</f>
        <v>0.013745704467354</v>
      </c>
      <c r="X228" s="27" t="n">
        <f aca="false">IFERROR(SUMIFS($G$5:$G$238,$C$5:$C$238,$C228)/SUMIFS($I$5:$I$238,$C$5:$C$238,$C228),0)</f>
        <v>0.109965635738832</v>
      </c>
      <c r="Y228" s="27" t="n">
        <f aca="false">IFERROR(SUMIFS($H$5:$H$238,$C$5:$C$238,$C228)/SUMIFS($I$5:$I$238,$C$5:$C$238,$C228),0)</f>
        <v>0.353951890034364</v>
      </c>
      <c r="Z228" s="24" t="n">
        <f aca="false">LN(MAX(I228,1))</f>
        <v>4.45434729625351</v>
      </c>
      <c r="AA228" s="24" t="n">
        <f aca="false">Calibration!$M$35+Calibration!$N$35+SUMPRODUCT(Calibration!$B$35:$F$35,J228:N228)+SUMPRODUCT(Calibration!$G$35:$K$35,U228:Y228)+Calibration!$L$35*Z228</f>
        <v>-0.311887726816825</v>
      </c>
      <c r="AB228" s="24" t="n">
        <f aca="false">Calibration!$M$36+Calibration!$N$36+SUMPRODUCT(Calibration!$B$36:$F$36,J228:N228)+SUMPRODUCT(Calibration!$G$36:$K$36,U228:Y228)+Calibration!$L$36*Z228</f>
        <v>-0.0720808633634111</v>
      </c>
      <c r="AC228" s="24" t="n">
        <f aca="false">Calibration!$M$37+Calibration!$N$37+SUMPRODUCT(Calibration!$B$37:$F$37,J228:N228)+SUMPRODUCT(Calibration!$G$37:$K$37,U228:Y228)+Calibration!$L$37*Z228</f>
        <v>1.20896935850118</v>
      </c>
      <c r="AD228" s="27" t="n">
        <f aca="false">EXP(AC228)/(EXP(AA228)+EXP(AB228)+EXP(AC228))</f>
        <v>0.668328592518534</v>
      </c>
      <c r="AE228" s="7" t="str">
        <f aca="false">IF(AC228=MAX(AA228:AC228),"TVK",IF(AB228=MAX(AA228:AC228),"DMK+","AIADMK+"))</f>
        <v>TVK</v>
      </c>
      <c r="AF228" s="7" t="str">
        <f aca="false">IF(AE228=R228,"Yes","No")</f>
        <v>Yes</v>
      </c>
      <c r="AG228" s="7" t="str">
        <f aca="false">IF(AE228=P228,"No","Yes")</f>
        <v>No</v>
      </c>
      <c r="AH228" s="7" t="str">
        <f aca="false">IF(H228=MAX(D228,E228,H228),"TVK",IF(E228=MAX(D228,E228,H228),"DMK+","AIADMK+"))</f>
        <v>TVK</v>
      </c>
      <c r="AI228" s="27" t="n">
        <f aca="false">EXP(AA228)/(EXP(AA228)+EXP(AB228)+EXP(AC228))</f>
        <v>0.146046179879578</v>
      </c>
      <c r="AJ228" s="27" t="n">
        <f aca="false">EXP(AB228)/(EXP(AA228)+EXP(AB228)+EXP(AC228))</f>
        <v>0.185625227601888</v>
      </c>
      <c r="AK228" s="28" t="s">
        <v>3</v>
      </c>
      <c r="AL228" s="7" t="str">
        <f aca="false">IF(AK228=R228,"Yes","No")</f>
        <v>Yes</v>
      </c>
      <c r="AM228" s="27" t="n">
        <f aca="false">IF(AK228="TVK",AD228,IF(AK228="DMK+",AJ228,AI228))</f>
        <v>0.668328592518534</v>
      </c>
      <c r="AN228" s="7" t="str">
        <f aca="false">IF(AK228=P228,"No","Yes")</f>
        <v>No</v>
      </c>
    </row>
    <row r="229" customFormat="false" ht="15" hidden="true" customHeight="false" outlineLevel="0" collapsed="false">
      <c r="A229" s="0" t="n">
        <v>225</v>
      </c>
      <c r="B229" s="4" t="s">
        <v>406</v>
      </c>
      <c r="C229" s="5" t="s">
        <v>152</v>
      </c>
      <c r="D229" s="35" t="n">
        <v>8</v>
      </c>
      <c r="E229" s="35" t="n">
        <v>22</v>
      </c>
      <c r="F229" s="35" t="n">
        <v>1</v>
      </c>
      <c r="G229" s="35" t="n">
        <v>5</v>
      </c>
      <c r="H229" s="35" t="n">
        <v>17</v>
      </c>
      <c r="I229" s="5" t="n">
        <f aca="false">SUM(D229:H229)</f>
        <v>53</v>
      </c>
      <c r="J229" s="10" t="n">
        <f aca="false">IF($I229=0,0,D229/$I229)</f>
        <v>0.150943396226415</v>
      </c>
      <c r="K229" s="10" t="n">
        <f aca="false">IF($I229=0,0,E229/$I229)</f>
        <v>0.415094339622642</v>
      </c>
      <c r="L229" s="10" t="n">
        <f aca="false">IF($I229=0,0,F229/$I229)</f>
        <v>0.0188679245283019</v>
      </c>
      <c r="M229" s="10" t="n">
        <f aca="false">IF($I229=0,0,G229/$I229)</f>
        <v>0.0943396226415094</v>
      </c>
      <c r="N229" s="10" t="n">
        <f aca="false">IF($I229=0,0,H229/$I229)</f>
        <v>0.320754716981132</v>
      </c>
      <c r="O229" s="35" t="s">
        <v>197</v>
      </c>
      <c r="P229" s="0" t="str">
        <f aca="false">IF(O229="TVK","TVK",IF(O229="DMK","DMK+",IF(O229="ADMK","AIADMK+","")))</f>
        <v>DMK+</v>
      </c>
      <c r="Q229" s="35" t="s">
        <v>196</v>
      </c>
      <c r="R229" s="36" t="s">
        <v>4</v>
      </c>
      <c r="S229" s="0" t="str">
        <f aca="false">IF(P229=R229,"Yes","No")</f>
        <v>No</v>
      </c>
      <c r="T229" s="2"/>
      <c r="U229" s="27" t="n">
        <f aca="false">IFERROR(SUMIFS($D$5:$D$238,$C$5:$C$238,$C229)/SUMIFS($I$5:$I$238,$C$5:$C$238,$C229),0)</f>
        <v>0.195876288659794</v>
      </c>
      <c r="V229" s="27" t="n">
        <f aca="false">IFERROR(SUMIFS($E$5:$E$238,$C$5:$C$238,$C229)/SUMIFS($I$5:$I$238,$C$5:$C$238,$C229),0)</f>
        <v>0.326460481099656</v>
      </c>
      <c r="W229" s="27" t="n">
        <f aca="false">IFERROR(SUMIFS($F$5:$F$238,$C$5:$C$238,$C229)/SUMIFS($I$5:$I$238,$C$5:$C$238,$C229),0)</f>
        <v>0.013745704467354</v>
      </c>
      <c r="X229" s="27" t="n">
        <f aca="false">IFERROR(SUMIFS($G$5:$G$238,$C$5:$C$238,$C229)/SUMIFS($I$5:$I$238,$C$5:$C$238,$C229),0)</f>
        <v>0.109965635738832</v>
      </c>
      <c r="Y229" s="27" t="n">
        <f aca="false">IFERROR(SUMIFS($H$5:$H$238,$C$5:$C$238,$C229)/SUMIFS($I$5:$I$238,$C$5:$C$238,$C229),0)</f>
        <v>0.353951890034364</v>
      </c>
      <c r="Z229" s="24" t="n">
        <f aca="false">LN(MAX(I229,1))</f>
        <v>3.97029191355212</v>
      </c>
      <c r="AA229" s="24" t="n">
        <f aca="false">Calibration!$M$35+Calibration!$N$35+SUMPRODUCT(Calibration!$B$35:$F$35,J229:N229)+SUMPRODUCT(Calibration!$G$35:$K$35,U229:Y229)+Calibration!$L$35*Z229</f>
        <v>-0.230629314580356</v>
      </c>
      <c r="AB229" s="24" t="n">
        <f aca="false">Calibration!$M$36+Calibration!$N$36+SUMPRODUCT(Calibration!$B$36:$F$36,J229:N229)+SUMPRODUCT(Calibration!$G$36:$K$36,U229:Y229)+Calibration!$L$36*Z229</f>
        <v>0.526297307383315</v>
      </c>
      <c r="AC229" s="24" t="n">
        <f aca="false">Calibration!$M$37+Calibration!$N$37+SUMPRODUCT(Calibration!$B$37:$F$37,J229:N229)+SUMPRODUCT(Calibration!$G$37:$K$37,U229:Y229)+Calibration!$L$37*Z229</f>
        <v>0.529332654412238</v>
      </c>
      <c r="AD229" s="27" t="n">
        <f aca="false">EXP(AC229)/(EXP(AA229)+EXP(AB229)+EXP(AC229))</f>
        <v>0.405736551982467</v>
      </c>
      <c r="AE229" s="7" t="str">
        <f aca="false">IF(AC229=MAX(AA229:AC229),"TVK",IF(AB229=MAX(AA229:AC229),"DMK+","AIADMK+"))</f>
        <v>TVK</v>
      </c>
      <c r="AF229" s="7" t="str">
        <f aca="false">IF(AE229=R229,"Yes","No")</f>
        <v>No</v>
      </c>
      <c r="AG229" s="7" t="str">
        <f aca="false">IF(AE229=P229,"No","Yes")</f>
        <v>Yes</v>
      </c>
      <c r="AH229" s="7" t="str">
        <f aca="false">IF(H229=MAX(D229,E229,H229),"TVK",IF(E229=MAX(D229,E229,H229),"DMK+","AIADMK+"))</f>
        <v>DMK+</v>
      </c>
      <c r="AI229" s="27" t="n">
        <f aca="false">EXP(AA229)/(EXP(AA229)+EXP(AB229)+EXP(AC229))</f>
        <v>0.189756580069637</v>
      </c>
      <c r="AJ229" s="27" t="n">
        <f aca="false">EXP(AB229)/(EXP(AA229)+EXP(AB229)+EXP(AC229))</f>
        <v>0.404506867947896</v>
      </c>
      <c r="AK229" s="28" t="s">
        <v>3</v>
      </c>
      <c r="AL229" s="7" t="str">
        <f aca="false">IF(AK229=R229,"Yes","No")</f>
        <v>No</v>
      </c>
      <c r="AM229" s="27" t="n">
        <f aca="false">IF(AK229="TVK",AD229,IF(AK229="DMK+",AJ229,AI229))</f>
        <v>0.405736551982467</v>
      </c>
      <c r="AN229" s="7" t="str">
        <f aca="false">IF(AK229=P229,"No","Yes")</f>
        <v>Yes</v>
      </c>
    </row>
    <row r="230" customFormat="false" ht="15" hidden="true" customHeight="false" outlineLevel="0" collapsed="false">
      <c r="A230" s="0" t="n">
        <v>226</v>
      </c>
      <c r="B230" s="4" t="s">
        <v>407</v>
      </c>
      <c r="C230" s="5" t="s">
        <v>152</v>
      </c>
      <c r="D230" s="35" t="n">
        <v>12</v>
      </c>
      <c r="E230" s="35" t="n">
        <v>24</v>
      </c>
      <c r="F230" s="35"/>
      <c r="G230" s="35" t="n">
        <v>2</v>
      </c>
      <c r="H230" s="35" t="n">
        <v>12</v>
      </c>
      <c r="I230" s="5" t="n">
        <f aca="false">SUM(D230:H230)</f>
        <v>50</v>
      </c>
      <c r="J230" s="10" t="n">
        <f aca="false">IF($I230=0,0,D230/$I230)</f>
        <v>0.24</v>
      </c>
      <c r="K230" s="10" t="n">
        <f aca="false">IF($I230=0,0,E230/$I230)</f>
        <v>0.48</v>
      </c>
      <c r="L230" s="10" t="n">
        <f aca="false">IF($I230=0,0,F230/$I230)</f>
        <v>0</v>
      </c>
      <c r="M230" s="10" t="n">
        <f aca="false">IF($I230=0,0,G230/$I230)</f>
        <v>0.04</v>
      </c>
      <c r="N230" s="10" t="n">
        <f aca="false">IF($I230=0,0,H230/$I230)</f>
        <v>0.24</v>
      </c>
      <c r="O230" s="35" t="s">
        <v>197</v>
      </c>
      <c r="P230" s="0" t="str">
        <f aca="false">IF(O230="TVK","TVK",IF(O230="DMK","DMK+",IF(O230="ADMK","AIADMK+","")))</f>
        <v>DMK+</v>
      </c>
      <c r="Q230" s="35" t="s">
        <v>197</v>
      </c>
      <c r="R230" s="36" t="s">
        <v>5</v>
      </c>
      <c r="S230" s="0" t="str">
        <f aca="false">IF(P230=R230,"Yes","No")</f>
        <v>Yes</v>
      </c>
      <c r="T230" s="2"/>
      <c r="U230" s="27" t="n">
        <f aca="false">IFERROR(SUMIFS($D$5:$D$238,$C$5:$C$238,$C230)/SUMIFS($I$5:$I$238,$C$5:$C$238,$C230),0)</f>
        <v>0.195876288659794</v>
      </c>
      <c r="V230" s="27" t="n">
        <f aca="false">IFERROR(SUMIFS($E$5:$E$238,$C$5:$C$238,$C230)/SUMIFS($I$5:$I$238,$C$5:$C$238,$C230),0)</f>
        <v>0.326460481099656</v>
      </c>
      <c r="W230" s="27" t="n">
        <f aca="false">IFERROR(SUMIFS($F$5:$F$238,$C$5:$C$238,$C230)/SUMIFS($I$5:$I$238,$C$5:$C$238,$C230),0)</f>
        <v>0.013745704467354</v>
      </c>
      <c r="X230" s="27" t="n">
        <f aca="false">IFERROR(SUMIFS($G$5:$G$238,$C$5:$C$238,$C230)/SUMIFS($I$5:$I$238,$C$5:$C$238,$C230),0)</f>
        <v>0.109965635738832</v>
      </c>
      <c r="Y230" s="27" t="n">
        <f aca="false">IFERROR(SUMIFS($H$5:$H$238,$C$5:$C$238,$C230)/SUMIFS($I$5:$I$238,$C$5:$C$238,$C230),0)</f>
        <v>0.353951890034364</v>
      </c>
      <c r="Z230" s="24" t="n">
        <f aca="false">LN(MAX(I230,1))</f>
        <v>3.91202300542815</v>
      </c>
      <c r="AA230" s="24" t="n">
        <f aca="false">Calibration!$M$35+Calibration!$N$35+SUMPRODUCT(Calibration!$B$35:$F$35,J230:N230)+SUMPRODUCT(Calibration!$G$35:$K$35,U230:Y230)+Calibration!$L$35*Z230</f>
        <v>-0.156919952123824</v>
      </c>
      <c r="AB230" s="24" t="n">
        <f aca="false">Calibration!$M$36+Calibration!$N$36+SUMPRODUCT(Calibration!$B$36:$F$36,J230:N230)+SUMPRODUCT(Calibration!$G$36:$K$36,U230:Y230)+Calibration!$L$36*Z230</f>
        <v>0.57955144996127</v>
      </c>
      <c r="AC230" s="24" t="n">
        <f aca="false">Calibration!$M$37+Calibration!$N$37+SUMPRODUCT(Calibration!$B$37:$F$37,J230:N230)+SUMPRODUCT(Calibration!$G$37:$K$37,U230:Y230)+Calibration!$L$37*Z230</f>
        <v>0.402369068623035</v>
      </c>
      <c r="AD230" s="27" t="n">
        <f aca="false">EXP(AC230)/(EXP(AA230)+EXP(AB230)+EXP(AC230))</f>
        <v>0.361602953848105</v>
      </c>
      <c r="AE230" s="7" t="str">
        <f aca="false">IF(AC230=MAX(AA230:AC230),"TVK",IF(AB230=MAX(AA230:AC230),"DMK+","AIADMK+"))</f>
        <v>DMK+</v>
      </c>
      <c r="AF230" s="7" t="str">
        <f aca="false">IF(AE230=R230,"Yes","No")</f>
        <v>Yes</v>
      </c>
      <c r="AG230" s="7" t="str">
        <f aca="false">IF(AE230=P230,"No","Yes")</f>
        <v>No</v>
      </c>
      <c r="AH230" s="7" t="str">
        <f aca="false">IF(H230=MAX(D230,E230,H230),"TVK",IF(E230=MAX(D230,E230,H230),"DMK+","AIADMK+"))</f>
        <v>DMK+</v>
      </c>
      <c r="AI230" s="27" t="n">
        <f aca="false">EXP(AA230)/(EXP(AA230)+EXP(AB230)+EXP(AC230))</f>
        <v>0.206697790363552</v>
      </c>
      <c r="AJ230" s="27" t="n">
        <f aca="false">EXP(AB230)/(EXP(AA230)+EXP(AB230)+EXP(AC230))</f>
        <v>0.431699255788343</v>
      </c>
      <c r="AK230" s="28" t="s">
        <v>5</v>
      </c>
      <c r="AL230" s="7" t="str">
        <f aca="false">IF(AK230=R230,"Yes","No")</f>
        <v>Yes</v>
      </c>
      <c r="AM230" s="27" t="n">
        <f aca="false">IF(AK230="TVK",AD230,IF(AK230="DMK+",AJ230,AI230))</f>
        <v>0.431699255788343</v>
      </c>
      <c r="AN230" s="7" t="str">
        <f aca="false">IF(AK230=P230,"No","Yes")</f>
        <v>No</v>
      </c>
    </row>
    <row r="231" customFormat="false" ht="15" hidden="true" customHeight="false" outlineLevel="0" collapsed="false">
      <c r="A231" s="0" t="n">
        <v>227</v>
      </c>
      <c r="B231" s="4" t="s">
        <v>408</v>
      </c>
      <c r="C231" s="5" t="s">
        <v>152</v>
      </c>
      <c r="D231" s="35" t="n">
        <v>5</v>
      </c>
      <c r="E231" s="35" t="n">
        <v>12</v>
      </c>
      <c r="F231" s="35"/>
      <c r="G231" s="35" t="n">
        <v>7</v>
      </c>
      <c r="H231" s="35" t="n">
        <v>19</v>
      </c>
      <c r="I231" s="5" t="n">
        <f aca="false">SUM(D231:H231)</f>
        <v>43</v>
      </c>
      <c r="J231" s="10" t="n">
        <f aca="false">IF($I231=0,0,D231/$I231)</f>
        <v>0.116279069767442</v>
      </c>
      <c r="K231" s="10" t="n">
        <f aca="false">IF($I231=0,0,E231/$I231)</f>
        <v>0.27906976744186</v>
      </c>
      <c r="L231" s="10" t="n">
        <f aca="false">IF($I231=0,0,F231/$I231)</f>
        <v>0</v>
      </c>
      <c r="M231" s="10" t="n">
        <f aca="false">IF($I231=0,0,G231/$I231)</f>
        <v>0.162790697674419</v>
      </c>
      <c r="N231" s="10" t="n">
        <f aca="false">IF($I231=0,0,H231/$I231)</f>
        <v>0.441860465116279</v>
      </c>
      <c r="O231" s="35" t="s">
        <v>218</v>
      </c>
      <c r="P231" s="0" t="str">
        <f aca="false">IF(O231="TVK","TVK",IF(O231="DMK","DMK+",IF(O231="ADMK","AIADMK+","")))</f>
        <v>AIADMK+</v>
      </c>
      <c r="Q231" s="35" t="s">
        <v>3</v>
      </c>
      <c r="R231" s="36" t="s">
        <v>3</v>
      </c>
      <c r="S231" s="0" t="str">
        <f aca="false">IF(P231=R231,"Yes","No")</f>
        <v>No</v>
      </c>
      <c r="T231" s="2"/>
      <c r="U231" s="27" t="n">
        <f aca="false">IFERROR(SUMIFS($D$5:$D$238,$C$5:$C$238,$C231)/SUMIFS($I$5:$I$238,$C$5:$C$238,$C231),0)</f>
        <v>0.195876288659794</v>
      </c>
      <c r="V231" s="27" t="n">
        <f aca="false">IFERROR(SUMIFS($E$5:$E$238,$C$5:$C$238,$C231)/SUMIFS($I$5:$I$238,$C$5:$C$238,$C231),0)</f>
        <v>0.326460481099656</v>
      </c>
      <c r="W231" s="27" t="n">
        <f aca="false">IFERROR(SUMIFS($F$5:$F$238,$C$5:$C$238,$C231)/SUMIFS($I$5:$I$238,$C$5:$C$238,$C231),0)</f>
        <v>0.013745704467354</v>
      </c>
      <c r="X231" s="27" t="n">
        <f aca="false">IFERROR(SUMIFS($G$5:$G$238,$C$5:$C$238,$C231)/SUMIFS($I$5:$I$238,$C$5:$C$238,$C231),0)</f>
        <v>0.109965635738832</v>
      </c>
      <c r="Y231" s="27" t="n">
        <f aca="false">IFERROR(SUMIFS($H$5:$H$238,$C$5:$C$238,$C231)/SUMIFS($I$5:$I$238,$C$5:$C$238,$C231),0)</f>
        <v>0.353951890034364</v>
      </c>
      <c r="Z231" s="24" t="n">
        <f aca="false">LN(MAX(I231,1))</f>
        <v>3.76120011569356</v>
      </c>
      <c r="AA231" s="24" t="n">
        <f aca="false">Calibration!$M$35+Calibration!$N$35+SUMPRODUCT(Calibration!$B$35:$F$35,J231:N231)+SUMPRODUCT(Calibration!$G$35:$K$35,U231:Y231)+Calibration!$L$35*Z231</f>
        <v>-0.0743061439745874</v>
      </c>
      <c r="AB231" s="24" t="n">
        <f aca="false">Calibration!$M$36+Calibration!$N$36+SUMPRODUCT(Calibration!$B$36:$F$36,J231:N231)+SUMPRODUCT(Calibration!$G$36:$K$36,U231:Y231)+Calibration!$L$36*Z231</f>
        <v>0.507172847658109</v>
      </c>
      <c r="AC231" s="24" t="n">
        <f aca="false">Calibration!$M$37+Calibration!$N$37+SUMPRODUCT(Calibration!$B$37:$F$37,J231:N231)+SUMPRODUCT(Calibration!$G$37:$K$37,U231:Y231)+Calibration!$L$37*Z231</f>
        <v>0.392134064637423</v>
      </c>
      <c r="AD231" s="27" t="n">
        <f aca="false">EXP(AC231)/(EXP(AA231)+EXP(AB231)+EXP(AC231))</f>
        <v>0.363749051930691</v>
      </c>
      <c r="AE231" s="7" t="str">
        <f aca="false">IF(AC231=MAX(AA231:AC231),"TVK",IF(AB231=MAX(AA231:AC231),"DMK+","AIADMK+"))</f>
        <v>DMK+</v>
      </c>
      <c r="AF231" s="7" t="str">
        <f aca="false">IF(AE231=R231,"Yes","No")</f>
        <v>No</v>
      </c>
      <c r="AG231" s="7" t="str">
        <f aca="false">IF(AE231=P231,"No","Yes")</f>
        <v>Yes</v>
      </c>
      <c r="AH231" s="7" t="str">
        <f aca="false">IF(H231=MAX(D231,E231,H231),"TVK",IF(E231=MAX(D231,E231,H231),"DMK+","AIADMK+"))</f>
        <v>TVK</v>
      </c>
      <c r="AI231" s="27" t="n">
        <f aca="false">EXP(AA231)/(EXP(AA231)+EXP(AB231)+EXP(AC231))</f>
        <v>0.228154721868817</v>
      </c>
      <c r="AJ231" s="27" t="n">
        <f aca="false">EXP(AB231)/(EXP(AA231)+EXP(AB231)+EXP(AC231))</f>
        <v>0.408096226200491</v>
      </c>
      <c r="AK231" s="28" t="s">
        <v>4</v>
      </c>
      <c r="AL231" s="7" t="str">
        <f aca="false">IF(AK231=R231,"Yes","No")</f>
        <v>No</v>
      </c>
      <c r="AM231" s="27" t="n">
        <f aca="false">IF(AK231="TVK",AD231,IF(AK231="DMK+",AJ231,AI231))</f>
        <v>0.228154721868817</v>
      </c>
      <c r="AN231" s="7" t="str">
        <f aca="false">IF(AK231=P231,"No","Yes")</f>
        <v>No</v>
      </c>
    </row>
    <row r="232" customFormat="false" ht="15" hidden="true" customHeight="false" outlineLevel="0" collapsed="false">
      <c r="A232" s="0" t="n">
        <v>228</v>
      </c>
      <c r="B232" s="4" t="s">
        <v>409</v>
      </c>
      <c r="C232" s="5" t="s">
        <v>152</v>
      </c>
      <c r="D232" s="35" t="n">
        <v>15</v>
      </c>
      <c r="E232" s="35" t="n">
        <v>19</v>
      </c>
      <c r="F232" s="35"/>
      <c r="G232" s="35" t="n">
        <v>8</v>
      </c>
      <c r="H232" s="35" t="n">
        <v>17</v>
      </c>
      <c r="I232" s="5" t="n">
        <f aca="false">SUM(D232:H232)</f>
        <v>59</v>
      </c>
      <c r="J232" s="10" t="n">
        <f aca="false">IF($I232=0,0,D232/$I232)</f>
        <v>0.254237288135593</v>
      </c>
      <c r="K232" s="10" t="n">
        <f aca="false">IF($I232=0,0,E232/$I232)</f>
        <v>0.322033898305085</v>
      </c>
      <c r="L232" s="10" t="n">
        <f aca="false">IF($I232=0,0,F232/$I232)</f>
        <v>0</v>
      </c>
      <c r="M232" s="10" t="n">
        <f aca="false">IF($I232=0,0,G232/$I232)</f>
        <v>0.135593220338983</v>
      </c>
      <c r="N232" s="10" t="n">
        <f aca="false">IF($I232=0,0,H232/$I232)</f>
        <v>0.288135593220339</v>
      </c>
      <c r="O232" s="35" t="s">
        <v>197</v>
      </c>
      <c r="P232" s="0" t="str">
        <f aca="false">IF(O232="TVK","TVK",IF(O232="DMK","DMK+",IF(O232="ADMK","AIADMK+","")))</f>
        <v>DMK+</v>
      </c>
      <c r="Q232" s="35" t="s">
        <v>3</v>
      </c>
      <c r="R232" s="36" t="s">
        <v>3</v>
      </c>
      <c r="S232" s="0" t="str">
        <f aca="false">IF(P232=R232,"Yes","No")</f>
        <v>No</v>
      </c>
      <c r="T232" s="2"/>
      <c r="U232" s="27" t="n">
        <f aca="false">IFERROR(SUMIFS($D$5:$D$238,$C$5:$C$238,$C232)/SUMIFS($I$5:$I$238,$C$5:$C$238,$C232),0)</f>
        <v>0.195876288659794</v>
      </c>
      <c r="V232" s="27" t="n">
        <f aca="false">IFERROR(SUMIFS($E$5:$E$238,$C$5:$C$238,$C232)/SUMIFS($I$5:$I$238,$C$5:$C$238,$C232),0)</f>
        <v>0.326460481099656</v>
      </c>
      <c r="W232" s="27" t="n">
        <f aca="false">IFERROR(SUMIFS($F$5:$F$238,$C$5:$C$238,$C232)/SUMIFS($I$5:$I$238,$C$5:$C$238,$C232),0)</f>
        <v>0.013745704467354</v>
      </c>
      <c r="X232" s="27" t="n">
        <f aca="false">IFERROR(SUMIFS($G$5:$G$238,$C$5:$C$238,$C232)/SUMIFS($I$5:$I$238,$C$5:$C$238,$C232),0)</f>
        <v>0.109965635738832</v>
      </c>
      <c r="Y232" s="27" t="n">
        <f aca="false">IFERROR(SUMIFS($H$5:$H$238,$C$5:$C$238,$C232)/SUMIFS($I$5:$I$238,$C$5:$C$238,$C232),0)</f>
        <v>0.353951890034364</v>
      </c>
      <c r="Z232" s="24" t="n">
        <f aca="false">LN(MAX(I232,1))</f>
        <v>4.07753744390572</v>
      </c>
      <c r="AA232" s="24" t="n">
        <f aca="false">Calibration!$M$35+Calibration!$N$35+SUMPRODUCT(Calibration!$B$35:$F$35,J232:N232)+SUMPRODUCT(Calibration!$G$35:$K$35,U232:Y232)+Calibration!$L$35*Z232</f>
        <v>-0.120732187721833</v>
      </c>
      <c r="AB232" s="24" t="n">
        <f aca="false">Calibration!$M$36+Calibration!$N$36+SUMPRODUCT(Calibration!$B$36:$F$36,J232:N232)+SUMPRODUCT(Calibration!$G$36:$K$36,U232:Y232)+Calibration!$L$36*Z232</f>
        <v>0.291938741516278</v>
      </c>
      <c r="AC232" s="24" t="n">
        <f aca="false">Calibration!$M$37+Calibration!$N$37+SUMPRODUCT(Calibration!$B$37:$F$37,J232:N232)+SUMPRODUCT(Calibration!$G$37:$K$37,U232:Y232)+Calibration!$L$37*Z232</f>
        <v>0.65379406080163</v>
      </c>
      <c r="AD232" s="27" t="n">
        <f aca="false">EXP(AC232)/(EXP(AA232)+EXP(AB232)+EXP(AC232))</f>
        <v>0.463541272426739</v>
      </c>
      <c r="AE232" s="7" t="str">
        <f aca="false">IF(AC232=MAX(AA232:AC232),"TVK",IF(AB232=MAX(AA232:AC232),"DMK+","AIADMK+"))</f>
        <v>TVK</v>
      </c>
      <c r="AF232" s="7" t="str">
        <f aca="false">IF(AE232=R232,"Yes","No")</f>
        <v>Yes</v>
      </c>
      <c r="AG232" s="7" t="str">
        <f aca="false">IF(AE232=P232,"No","Yes")</f>
        <v>Yes</v>
      </c>
      <c r="AH232" s="7" t="str">
        <f aca="false">IF(H232=MAX(D232,E232,H232),"TVK",IF(E232=MAX(D232,E232,H232),"DMK+","AIADMK+"))</f>
        <v>DMK+</v>
      </c>
      <c r="AI232" s="27" t="n">
        <f aca="false">EXP(AA232)/(EXP(AA232)+EXP(AB232)+EXP(AC232))</f>
        <v>0.213656412924379</v>
      </c>
      <c r="AJ232" s="27" t="n">
        <f aca="false">EXP(AB232)/(EXP(AA232)+EXP(AB232)+EXP(AC232))</f>
        <v>0.322802314648882</v>
      </c>
      <c r="AK232" s="28" t="s">
        <v>3</v>
      </c>
      <c r="AL232" s="7" t="str">
        <f aca="false">IF(AK232=R232,"Yes","No")</f>
        <v>Yes</v>
      </c>
      <c r="AM232" s="27" t="n">
        <f aca="false">IF(AK232="TVK",AD232,IF(AK232="DMK+",AJ232,AI232))</f>
        <v>0.463541272426739</v>
      </c>
      <c r="AN232" s="7" t="str">
        <f aca="false">IF(AK232=P232,"No","Yes")</f>
        <v>Yes</v>
      </c>
    </row>
    <row r="233" customFormat="false" ht="15" hidden="true" customHeight="false" outlineLevel="0" collapsed="false">
      <c r="A233" s="0" t="n">
        <v>229</v>
      </c>
      <c r="B233" s="4" t="s">
        <v>112</v>
      </c>
      <c r="C233" s="5" t="s">
        <v>112</v>
      </c>
      <c r="D233" s="35" t="n">
        <v>30</v>
      </c>
      <c r="E233" s="35" t="n">
        <v>20</v>
      </c>
      <c r="F233" s="35" t="n">
        <v>1</v>
      </c>
      <c r="G233" s="35" t="n">
        <v>7</v>
      </c>
      <c r="H233" s="35" t="n">
        <v>21</v>
      </c>
      <c r="I233" s="5" t="n">
        <f aca="false">SUM(D233:H233)</f>
        <v>79</v>
      </c>
      <c r="J233" s="10" t="n">
        <f aca="false">IF($I233=0,0,D233/$I233)</f>
        <v>0.379746835443038</v>
      </c>
      <c r="K233" s="10" t="n">
        <f aca="false">IF($I233=0,0,E233/$I233)</f>
        <v>0.253164556962025</v>
      </c>
      <c r="L233" s="10" t="n">
        <f aca="false">IF($I233=0,0,F233/$I233)</f>
        <v>0.0126582278481013</v>
      </c>
      <c r="M233" s="10" t="n">
        <f aca="false">IF($I233=0,0,G233/$I233)</f>
        <v>0.0886075949367089</v>
      </c>
      <c r="N233" s="10" t="n">
        <f aca="false">IF($I233=0,0,H233/$I233)</f>
        <v>0.265822784810127</v>
      </c>
      <c r="O233" s="35" t="s">
        <v>218</v>
      </c>
      <c r="P233" s="0" t="str">
        <f aca="false">IF(O233="TVK","TVK",IF(O233="DMK","DMK+",IF(O233="ADMK","AIADMK+","")))</f>
        <v>AIADMK+</v>
      </c>
      <c r="Q233" s="35" t="s">
        <v>196</v>
      </c>
      <c r="R233" s="36" t="s">
        <v>4</v>
      </c>
      <c r="S233" s="0" t="str">
        <f aca="false">IF(P233=R233,"Yes","No")</f>
        <v>Yes</v>
      </c>
      <c r="T233" s="2"/>
      <c r="U233" s="27" t="n">
        <f aca="false">IFERROR(SUMIFS($D$5:$D$238,$C$5:$C$238,$C233)/SUMIFS($I$5:$I$238,$C$5:$C$238,$C233),0)</f>
        <v>0.310432569974555</v>
      </c>
      <c r="V233" s="27" t="n">
        <f aca="false">IFERROR(SUMIFS($E$5:$E$238,$C$5:$C$238,$C233)/SUMIFS($I$5:$I$238,$C$5:$C$238,$C233),0)</f>
        <v>0.295165394402036</v>
      </c>
      <c r="W233" s="27" t="n">
        <f aca="false">IFERROR(SUMIFS($F$5:$F$238,$C$5:$C$238,$C233)/SUMIFS($I$5:$I$238,$C$5:$C$238,$C233),0)</f>
        <v>0.00508905852417303</v>
      </c>
      <c r="X233" s="27" t="n">
        <f aca="false">IFERROR(SUMIFS($G$5:$G$238,$C$5:$C$238,$C233)/SUMIFS($I$5:$I$238,$C$5:$C$238,$C233),0)</f>
        <v>0.0534351145038168</v>
      </c>
      <c r="Y233" s="27" t="n">
        <f aca="false">IFERROR(SUMIFS($H$5:$H$238,$C$5:$C$238,$C233)/SUMIFS($I$5:$I$238,$C$5:$C$238,$C233),0)</f>
        <v>0.33587786259542</v>
      </c>
      <c r="Z233" s="24" t="n">
        <f aca="false">LN(MAX(I233,1))</f>
        <v>4.36944785246702</v>
      </c>
      <c r="AA233" s="24" t="n">
        <f aca="false">Calibration!$M$35+Calibration!$N$35+SUMPRODUCT(Calibration!$B$35:$F$35,J233:N233)+SUMPRODUCT(Calibration!$G$35:$K$35,U233:Y233)+Calibration!$L$35*Z233</f>
        <v>-0.0143896250816864</v>
      </c>
      <c r="AB233" s="24" t="n">
        <f aca="false">Calibration!$M$36+Calibration!$N$36+SUMPRODUCT(Calibration!$B$36:$F$36,J233:N233)+SUMPRODUCT(Calibration!$G$36:$K$36,U233:Y233)+Calibration!$L$36*Z233</f>
        <v>-0.154336752854251</v>
      </c>
      <c r="AC233" s="24" t="n">
        <f aca="false">Calibration!$M$37+Calibration!$N$37+SUMPRODUCT(Calibration!$B$37:$F$37,J233:N233)+SUMPRODUCT(Calibration!$G$37:$K$37,U233:Y233)+Calibration!$L$37*Z233</f>
        <v>0.993726938924116</v>
      </c>
      <c r="AD233" s="27" t="n">
        <f aca="false">EXP(AC233)/(EXP(AA233)+EXP(AB233)+EXP(AC233))</f>
        <v>0.59447515755488</v>
      </c>
      <c r="AE233" s="7" t="str">
        <f aca="false">IF(AC233=MAX(AA233:AC233),"TVK",IF(AB233=MAX(AA233:AC233),"DMK+","AIADMK+"))</f>
        <v>TVK</v>
      </c>
      <c r="AF233" s="7" t="str">
        <f aca="false">IF(AE233=R233,"Yes","No")</f>
        <v>No</v>
      </c>
      <c r="AG233" s="7" t="str">
        <f aca="false">IF(AE233=P233,"No","Yes")</f>
        <v>Yes</v>
      </c>
      <c r="AH233" s="7" t="str">
        <f aca="false">IF(H233=MAX(D233,E233,H233),"TVK",IF(E233=MAX(D233,E233,H233),"DMK+","AIADMK+"))</f>
        <v>AIADMK+</v>
      </c>
      <c r="AI233" s="27" t="n">
        <f aca="false">EXP(AA233)/(EXP(AA233)+EXP(AB233)+EXP(AC233))</f>
        <v>0.2169273194718</v>
      </c>
      <c r="AJ233" s="27" t="n">
        <f aca="false">EXP(AB233)/(EXP(AA233)+EXP(AB233)+EXP(AC233))</f>
        <v>0.18859752297332</v>
      </c>
      <c r="AK233" s="28" t="s">
        <v>4</v>
      </c>
      <c r="AL233" s="7" t="str">
        <f aca="false">IF(AK233=R233,"Yes","No")</f>
        <v>Yes</v>
      </c>
      <c r="AM233" s="27" t="n">
        <f aca="false">IF(AK233="TVK",AD233,IF(AK233="DMK+",AJ233,AI233))</f>
        <v>0.2169273194718</v>
      </c>
      <c r="AN233" s="7" t="str">
        <f aca="false">IF(AK233=P233,"No","Yes")</f>
        <v>No</v>
      </c>
    </row>
    <row r="234" customFormat="false" ht="15" hidden="true" customHeight="false" outlineLevel="0" collapsed="false">
      <c r="A234" s="0" t="n">
        <v>230</v>
      </c>
      <c r="B234" s="4" t="s">
        <v>410</v>
      </c>
      <c r="C234" s="5" t="s">
        <v>112</v>
      </c>
      <c r="D234" s="35" t="n">
        <v>36</v>
      </c>
      <c r="E234" s="35" t="n">
        <v>32</v>
      </c>
      <c r="F234" s="35" t="n">
        <v>1</v>
      </c>
      <c r="G234" s="35" t="n">
        <v>2</v>
      </c>
      <c r="H234" s="35" t="n">
        <v>32</v>
      </c>
      <c r="I234" s="5" t="n">
        <f aca="false">SUM(D234:H234)</f>
        <v>103</v>
      </c>
      <c r="J234" s="10" t="n">
        <f aca="false">IF($I234=0,0,D234/$I234)</f>
        <v>0.349514563106796</v>
      </c>
      <c r="K234" s="10" t="n">
        <f aca="false">IF($I234=0,0,E234/$I234)</f>
        <v>0.310679611650485</v>
      </c>
      <c r="L234" s="10" t="n">
        <f aca="false">IF($I234=0,0,F234/$I234)</f>
        <v>0.00970873786407767</v>
      </c>
      <c r="M234" s="10" t="n">
        <f aca="false">IF($I234=0,0,G234/$I234)</f>
        <v>0.0194174757281553</v>
      </c>
      <c r="N234" s="10" t="n">
        <f aca="false">IF($I234=0,0,H234/$I234)</f>
        <v>0.310679611650485</v>
      </c>
      <c r="O234" s="35" t="s">
        <v>218</v>
      </c>
      <c r="P234" s="0" t="str">
        <f aca="false">IF(O234="TVK","TVK",IF(O234="DMK","DMK+",IF(O234="ADMK","AIADMK+","")))</f>
        <v>AIADMK+</v>
      </c>
      <c r="Q234" s="35" t="s">
        <v>197</v>
      </c>
      <c r="R234" s="36" t="s">
        <v>5</v>
      </c>
      <c r="S234" s="0" t="str">
        <f aca="false">IF(P234=R234,"Yes","No")</f>
        <v>No</v>
      </c>
      <c r="T234" s="2"/>
      <c r="U234" s="27" t="n">
        <f aca="false">IFERROR(SUMIFS($D$5:$D$238,$C$5:$C$238,$C234)/SUMIFS($I$5:$I$238,$C$5:$C$238,$C234),0)</f>
        <v>0.310432569974555</v>
      </c>
      <c r="V234" s="27" t="n">
        <f aca="false">IFERROR(SUMIFS($E$5:$E$238,$C$5:$C$238,$C234)/SUMIFS($I$5:$I$238,$C$5:$C$238,$C234),0)</f>
        <v>0.295165394402036</v>
      </c>
      <c r="W234" s="27" t="n">
        <f aca="false">IFERROR(SUMIFS($F$5:$F$238,$C$5:$C$238,$C234)/SUMIFS($I$5:$I$238,$C$5:$C$238,$C234),0)</f>
        <v>0.00508905852417303</v>
      </c>
      <c r="X234" s="27" t="n">
        <f aca="false">IFERROR(SUMIFS($G$5:$G$238,$C$5:$C$238,$C234)/SUMIFS($I$5:$I$238,$C$5:$C$238,$C234),0)</f>
        <v>0.0534351145038168</v>
      </c>
      <c r="Y234" s="27" t="n">
        <f aca="false">IFERROR(SUMIFS($H$5:$H$238,$C$5:$C$238,$C234)/SUMIFS($I$5:$I$238,$C$5:$C$238,$C234),0)</f>
        <v>0.33587786259542</v>
      </c>
      <c r="Z234" s="24" t="n">
        <f aca="false">LN(MAX(I234,1))</f>
        <v>4.63472898822964</v>
      </c>
      <c r="AA234" s="24" t="n">
        <f aca="false">Calibration!$M$35+Calibration!$N$35+SUMPRODUCT(Calibration!$B$35:$F$35,J234:N234)+SUMPRODUCT(Calibration!$G$35:$K$35,U234:Y234)+Calibration!$L$35*Z234</f>
        <v>-0.233091260198564</v>
      </c>
      <c r="AB234" s="24" t="n">
        <f aca="false">Calibration!$M$36+Calibration!$N$36+SUMPRODUCT(Calibration!$B$36:$F$36,J234:N234)+SUMPRODUCT(Calibration!$G$36:$K$36,U234:Y234)+Calibration!$L$36*Z234</f>
        <v>-0.255649567027385</v>
      </c>
      <c r="AC234" s="24" t="n">
        <f aca="false">Calibration!$M$37+Calibration!$N$37+SUMPRODUCT(Calibration!$B$37:$F$37,J234:N234)+SUMPRODUCT(Calibration!$G$37:$K$37,U234:Y234)+Calibration!$L$37*Z234</f>
        <v>1.31374143307096</v>
      </c>
      <c r="AD234" s="27" t="n">
        <f aca="false">EXP(AC234)/(EXP(AA234)+EXP(AB234)+EXP(AC234))</f>
        <v>0.703683607686335</v>
      </c>
      <c r="AE234" s="7" t="str">
        <f aca="false">IF(AC234=MAX(AA234:AC234),"TVK",IF(AB234=MAX(AA234:AC234),"DMK+","AIADMK+"))</f>
        <v>TVK</v>
      </c>
      <c r="AF234" s="7" t="str">
        <f aca="false">IF(AE234=R234,"Yes","No")</f>
        <v>No</v>
      </c>
      <c r="AG234" s="7" t="str">
        <f aca="false">IF(AE234=P234,"No","Yes")</f>
        <v>Yes</v>
      </c>
      <c r="AH234" s="7" t="str">
        <f aca="false">IF(H234=MAX(D234,E234,H234),"TVK",IF(E234=MAX(D234,E234,H234),"DMK+","AIADMK+"))</f>
        <v>AIADMK+</v>
      </c>
      <c r="AI234" s="27" t="n">
        <f aca="false">EXP(AA234)/(EXP(AA234)+EXP(AB234)+EXP(AC234))</f>
        <v>0.149829224319143</v>
      </c>
      <c r="AJ234" s="27" t="n">
        <f aca="false">EXP(AB234)/(EXP(AA234)+EXP(AB234)+EXP(AC234))</f>
        <v>0.146487167994521</v>
      </c>
      <c r="AK234" s="28" t="s">
        <v>5</v>
      </c>
      <c r="AL234" s="7" t="str">
        <f aca="false">IF(AK234=R234,"Yes","No")</f>
        <v>Yes</v>
      </c>
      <c r="AM234" s="27" t="n">
        <f aca="false">IF(AK234="TVK",AD234,IF(AK234="DMK+",AJ234,AI234))</f>
        <v>0.146487167994521</v>
      </c>
      <c r="AN234" s="7" t="str">
        <f aca="false">IF(AK234=P234,"No","Yes")</f>
        <v>Yes</v>
      </c>
    </row>
    <row r="235" customFormat="false" ht="15" hidden="false" customHeight="false" outlineLevel="0" collapsed="false">
      <c r="A235" s="0" t="n">
        <v>231</v>
      </c>
      <c r="B235" s="4" t="s">
        <v>411</v>
      </c>
      <c r="C235" s="5" t="s">
        <v>112</v>
      </c>
      <c r="D235" s="35" t="n">
        <v>17</v>
      </c>
      <c r="E235" s="35" t="n">
        <v>17</v>
      </c>
      <c r="F235" s="35"/>
      <c r="G235" s="35" t="n">
        <v>4</v>
      </c>
      <c r="H235" s="35" t="n">
        <v>24</v>
      </c>
      <c r="I235" s="5" t="n">
        <f aca="false">SUM(D235:H235)</f>
        <v>62</v>
      </c>
      <c r="J235" s="10" t="n">
        <f aca="false">IF($I235=0,0,D235/$I235)</f>
        <v>0.274193548387097</v>
      </c>
      <c r="K235" s="10" t="n">
        <f aca="false">IF($I235=0,0,E235/$I235)</f>
        <v>0.274193548387097</v>
      </c>
      <c r="L235" s="10" t="n">
        <f aca="false">IF($I235=0,0,F235/$I235)</f>
        <v>0</v>
      </c>
      <c r="M235" s="10" t="n">
        <f aca="false">IF($I235=0,0,G235/$I235)</f>
        <v>0.0645161290322581</v>
      </c>
      <c r="N235" s="10" t="n">
        <f aca="false">IF($I235=0,0,H235/$I235)</f>
        <v>0.387096774193548</v>
      </c>
      <c r="O235" s="35" t="s">
        <v>3</v>
      </c>
      <c r="P235" s="0" t="str">
        <f aca="false">IF(O235="TVK","TVK",IF(O235="DMK","DMK+",IF(O235="ADMK","AIADMK+","")))</f>
        <v>TVK</v>
      </c>
      <c r="Q235" s="35" t="s">
        <v>348</v>
      </c>
      <c r="R235" s="36" t="s">
        <v>5</v>
      </c>
      <c r="S235" s="0" t="str">
        <f aca="false">IF(P235=R235,"Yes","No")</f>
        <v>No</v>
      </c>
      <c r="T235" s="2"/>
      <c r="U235" s="27" t="n">
        <f aca="false">IFERROR(SUMIFS($D$5:$D$238,$C$5:$C$238,$C235)/SUMIFS($I$5:$I$238,$C$5:$C$238,$C235),0)</f>
        <v>0.310432569974555</v>
      </c>
      <c r="V235" s="27" t="n">
        <f aca="false">IFERROR(SUMIFS($E$5:$E$238,$C$5:$C$238,$C235)/SUMIFS($I$5:$I$238,$C$5:$C$238,$C235),0)</f>
        <v>0.295165394402036</v>
      </c>
      <c r="W235" s="27" t="n">
        <f aca="false">IFERROR(SUMIFS($F$5:$F$238,$C$5:$C$238,$C235)/SUMIFS($I$5:$I$238,$C$5:$C$238,$C235),0)</f>
        <v>0.00508905852417303</v>
      </c>
      <c r="X235" s="27" t="n">
        <f aca="false">IFERROR(SUMIFS($G$5:$G$238,$C$5:$C$238,$C235)/SUMIFS($I$5:$I$238,$C$5:$C$238,$C235),0)</f>
        <v>0.0534351145038168</v>
      </c>
      <c r="Y235" s="27" t="n">
        <f aca="false">IFERROR(SUMIFS($H$5:$H$238,$C$5:$C$238,$C235)/SUMIFS($I$5:$I$238,$C$5:$C$238,$C235),0)</f>
        <v>0.33587786259542</v>
      </c>
      <c r="Z235" s="24" t="n">
        <f aca="false">LN(MAX(I235,1))</f>
        <v>4.12713438504509</v>
      </c>
      <c r="AA235" s="24" t="n">
        <f aca="false">Calibration!$M$35+Calibration!$N$35+SUMPRODUCT(Calibration!$B$35:$F$35,J235:N235)+SUMPRODUCT(Calibration!$G$35:$K$35,U235:Y235)+Calibration!$L$35*Z235</f>
        <v>-0.0214995625263121</v>
      </c>
      <c r="AB235" s="24" t="n">
        <f aca="false">Calibration!$M$36+Calibration!$N$36+SUMPRODUCT(Calibration!$B$36:$F$36,J235:N235)+SUMPRODUCT(Calibration!$G$36:$K$36,U235:Y235)+Calibration!$L$36*Z235</f>
        <v>0.0620173194165172</v>
      </c>
      <c r="AC235" s="24" t="n">
        <f aca="false">Calibration!$M$37+Calibration!$N$37+SUMPRODUCT(Calibration!$B$37:$F$37,J235:N235)+SUMPRODUCT(Calibration!$G$37:$K$37,U235:Y235)+Calibration!$L$37*Z235</f>
        <v>0.784482925371964</v>
      </c>
      <c r="AD235" s="27" t="n">
        <f aca="false">EXP(AC235)/(EXP(AA235)+EXP(AB235)+EXP(AC235))</f>
        <v>0.517544103666688</v>
      </c>
      <c r="AE235" s="7" t="str">
        <f aca="false">IF(AC235=MAX(AA235:AC235),"TVK",IF(AB235=MAX(AA235:AC235),"DMK+","AIADMK+"))</f>
        <v>TVK</v>
      </c>
      <c r="AF235" s="7" t="str">
        <f aca="false">IF(AE235=R235,"Yes","No")</f>
        <v>No</v>
      </c>
      <c r="AG235" s="7" t="str">
        <f aca="false">IF(AE235=P235,"No","Yes")</f>
        <v>No</v>
      </c>
      <c r="AH235" s="7" t="str">
        <f aca="false">IF(H235=MAX(D235,E235,H235),"TVK",IF(E235=MAX(D235,E235,H235),"DMK+","AIADMK+"))</f>
        <v>TVK</v>
      </c>
      <c r="AI235" s="27" t="n">
        <f aca="false">EXP(AA235)/(EXP(AA235)+EXP(AB235)+EXP(AC235))</f>
        <v>0.231160496217133</v>
      </c>
      <c r="AJ235" s="27" t="n">
        <f aca="false">EXP(AB235)/(EXP(AA235)+EXP(AB235)+EXP(AC235))</f>
        <v>0.251295400116179</v>
      </c>
      <c r="AK235" s="28" t="s">
        <v>5</v>
      </c>
      <c r="AL235" s="7" t="str">
        <f aca="false">IF(AK235=R235,"Yes","No")</f>
        <v>Yes</v>
      </c>
      <c r="AM235" s="27" t="n">
        <f aca="false">IF(AK235="TVK",AD235,IF(AK235="DMK+",AJ235,AI235))</f>
        <v>0.251295400116179</v>
      </c>
      <c r="AN235" s="7" t="str">
        <f aca="false">IF(AK235=P235,"No","Yes")</f>
        <v>Yes</v>
      </c>
    </row>
    <row r="236" customFormat="false" ht="15" hidden="false" customHeight="false" outlineLevel="0" collapsed="false">
      <c r="A236" s="0" t="n">
        <v>232</v>
      </c>
      <c r="B236" s="4" t="s">
        <v>412</v>
      </c>
      <c r="C236" s="5" t="s">
        <v>112</v>
      </c>
      <c r="D236" s="35" t="n">
        <v>15</v>
      </c>
      <c r="E236" s="35" t="n">
        <v>14</v>
      </c>
      <c r="F236" s="35"/>
      <c r="G236" s="35" t="n">
        <v>3</v>
      </c>
      <c r="H236" s="35" t="n">
        <v>19</v>
      </c>
      <c r="I236" s="5" t="n">
        <f aca="false">SUM(D236:H236)</f>
        <v>51</v>
      </c>
      <c r="J236" s="10" t="n">
        <f aca="false">IF($I236=0,0,D236/$I236)</f>
        <v>0.294117647058824</v>
      </c>
      <c r="K236" s="10" t="n">
        <f aca="false">IF($I236=0,0,E236/$I236)</f>
        <v>0.274509803921569</v>
      </c>
      <c r="L236" s="10" t="n">
        <f aca="false">IF($I236=0,0,F236/$I236)</f>
        <v>0</v>
      </c>
      <c r="M236" s="10" t="n">
        <f aca="false">IF($I236=0,0,G236/$I236)</f>
        <v>0.0588235294117647</v>
      </c>
      <c r="N236" s="10" t="n">
        <f aca="false">IF($I236=0,0,H236/$I236)</f>
        <v>0.372549019607843</v>
      </c>
      <c r="O236" s="35" t="s">
        <v>3</v>
      </c>
      <c r="P236" s="0" t="str">
        <f aca="false">IF(O236="TVK","TVK",IF(O236="DMK","DMK+",IF(O236="ADMK","AIADMK+","")))</f>
        <v>TVK</v>
      </c>
      <c r="Q236" s="35" t="s">
        <v>351</v>
      </c>
      <c r="R236" s="36" t="s">
        <v>5</v>
      </c>
      <c r="S236" s="0" t="str">
        <f aca="false">IF(P236=R236,"Yes","No")</f>
        <v>No</v>
      </c>
      <c r="T236" s="2"/>
      <c r="U236" s="27" t="n">
        <f aca="false">IFERROR(SUMIFS($D$5:$D$238,$C$5:$C$238,$C236)/SUMIFS($I$5:$I$238,$C$5:$C$238,$C236),0)</f>
        <v>0.310432569974555</v>
      </c>
      <c r="V236" s="27" t="n">
        <f aca="false">IFERROR(SUMIFS($E$5:$E$238,$C$5:$C$238,$C236)/SUMIFS($I$5:$I$238,$C$5:$C$238,$C236),0)</f>
        <v>0.295165394402036</v>
      </c>
      <c r="W236" s="27" t="n">
        <f aca="false">IFERROR(SUMIFS($F$5:$F$238,$C$5:$C$238,$C236)/SUMIFS($I$5:$I$238,$C$5:$C$238,$C236),0)</f>
        <v>0.00508905852417303</v>
      </c>
      <c r="X236" s="27" t="n">
        <f aca="false">IFERROR(SUMIFS($G$5:$G$238,$C$5:$C$238,$C236)/SUMIFS($I$5:$I$238,$C$5:$C$238,$C236),0)</f>
        <v>0.0534351145038168</v>
      </c>
      <c r="Y236" s="27" t="n">
        <f aca="false">IFERROR(SUMIFS($H$5:$H$238,$C$5:$C$238,$C236)/SUMIFS($I$5:$I$238,$C$5:$C$238,$C236),0)</f>
        <v>0.33587786259542</v>
      </c>
      <c r="Z236" s="24" t="n">
        <f aca="false">LN(MAX(I236,1))</f>
        <v>3.93182563272433</v>
      </c>
      <c r="AA236" s="24" t="n">
        <f aca="false">Calibration!$M$35+Calibration!$N$35+SUMPRODUCT(Calibration!$B$35:$F$35,J236:N236)+SUMPRODUCT(Calibration!$G$35:$K$35,U236:Y236)+Calibration!$L$35*Z236</f>
        <v>0.100591848705821</v>
      </c>
      <c r="AB236" s="24" t="n">
        <f aca="false">Calibration!$M$36+Calibration!$N$36+SUMPRODUCT(Calibration!$B$36:$F$36,J236:N236)+SUMPRODUCT(Calibration!$G$36:$K$36,U236:Y236)+Calibration!$L$36*Z236</f>
        <v>0.170755507431274</v>
      </c>
      <c r="AC236" s="24" t="n">
        <f aca="false">Calibration!$M$37+Calibration!$N$37+SUMPRODUCT(Calibration!$B$37:$F$37,J236:N236)+SUMPRODUCT(Calibration!$G$37:$K$37,U236:Y236)+Calibration!$L$37*Z236</f>
        <v>0.553653311577319</v>
      </c>
      <c r="AD236" s="27" t="n">
        <f aca="false">EXP(AC236)/(EXP(AA236)+EXP(AB236)+EXP(AC236))</f>
        <v>0.431487983499009</v>
      </c>
      <c r="AE236" s="7" t="str">
        <f aca="false">IF(AC236=MAX(AA236:AC236),"TVK",IF(AB236=MAX(AA236:AC236),"DMK+","AIADMK+"))</f>
        <v>TVK</v>
      </c>
      <c r="AF236" s="7" t="str">
        <f aca="false">IF(AE236=R236,"Yes","No")</f>
        <v>No</v>
      </c>
      <c r="AG236" s="7" t="str">
        <f aca="false">IF(AE236=P236,"No","Yes")</f>
        <v>No</v>
      </c>
      <c r="AH236" s="7" t="str">
        <f aca="false">IF(H236=MAX(D236,E236,H236),"TVK",IF(E236=MAX(D236,E236,H236),"DMK+","AIADMK+"))</f>
        <v>TVK</v>
      </c>
      <c r="AI236" s="27" t="n">
        <f aca="false">EXP(AA236)/(EXP(AA236)+EXP(AB236)+EXP(AC236))</f>
        <v>0.27428787651361</v>
      </c>
      <c r="AJ236" s="27" t="n">
        <f aca="false">EXP(AB236)/(EXP(AA236)+EXP(AB236)+EXP(AC236))</f>
        <v>0.29422413998738</v>
      </c>
      <c r="AK236" s="28" t="s">
        <v>5</v>
      </c>
      <c r="AL236" s="7" t="str">
        <f aca="false">IF(AK236=R236,"Yes","No")</f>
        <v>Yes</v>
      </c>
      <c r="AM236" s="27" t="n">
        <f aca="false">IF(AK236="TVK",AD236,IF(AK236="DMK+",AJ236,AI236))</f>
        <v>0.29422413998738</v>
      </c>
      <c r="AN236" s="7" t="str">
        <f aca="false">IF(AK236=P236,"No","Yes")</f>
        <v>Yes</v>
      </c>
    </row>
    <row r="237" customFormat="false" ht="15" hidden="true" customHeight="false" outlineLevel="0" collapsed="false">
      <c r="A237" s="0" t="n">
        <v>233</v>
      </c>
      <c r="B237" s="4" t="s">
        <v>413</v>
      </c>
      <c r="C237" s="5" t="s">
        <v>112</v>
      </c>
      <c r="D237" s="35" t="n">
        <v>16</v>
      </c>
      <c r="E237" s="35" t="n">
        <v>23</v>
      </c>
      <c r="F237" s="35"/>
      <c r="G237" s="35" t="n">
        <v>2</v>
      </c>
      <c r="H237" s="35" t="n">
        <v>13</v>
      </c>
      <c r="I237" s="5" t="n">
        <f aca="false">SUM(D237:H237)</f>
        <v>54</v>
      </c>
      <c r="J237" s="10" t="n">
        <f aca="false">IF($I237=0,0,D237/$I237)</f>
        <v>0.296296296296296</v>
      </c>
      <c r="K237" s="10" t="n">
        <f aca="false">IF($I237=0,0,E237/$I237)</f>
        <v>0.425925925925926</v>
      </c>
      <c r="L237" s="10" t="n">
        <f aca="false">IF($I237=0,0,F237/$I237)</f>
        <v>0</v>
      </c>
      <c r="M237" s="10" t="n">
        <f aca="false">IF($I237=0,0,G237/$I237)</f>
        <v>0.037037037037037</v>
      </c>
      <c r="N237" s="10" t="n">
        <f aca="false">IF($I237=0,0,H237/$I237)</f>
        <v>0.240740740740741</v>
      </c>
      <c r="O237" s="35" t="s">
        <v>197</v>
      </c>
      <c r="P237" s="0" t="str">
        <f aca="false">IF(O237="TVK","TVK",IF(O237="DMK","DMK+",IF(O237="ADMK","AIADMK+","")))</f>
        <v>DMK+</v>
      </c>
      <c r="Q237" s="35" t="s">
        <v>348</v>
      </c>
      <c r="R237" s="36" t="s">
        <v>5</v>
      </c>
      <c r="S237" s="0" t="str">
        <f aca="false">IF(P237=R237,"Yes","No")</f>
        <v>Yes</v>
      </c>
      <c r="T237" s="2"/>
      <c r="U237" s="27" t="n">
        <f aca="false">IFERROR(SUMIFS($D$5:$D$238,$C$5:$C$238,$C237)/SUMIFS($I$5:$I$238,$C$5:$C$238,$C237),0)</f>
        <v>0.310432569974555</v>
      </c>
      <c r="V237" s="27" t="n">
        <f aca="false">IFERROR(SUMIFS($E$5:$E$238,$C$5:$C$238,$C237)/SUMIFS($I$5:$I$238,$C$5:$C$238,$C237),0)</f>
        <v>0.295165394402036</v>
      </c>
      <c r="W237" s="27" t="n">
        <f aca="false">IFERROR(SUMIFS($F$5:$F$238,$C$5:$C$238,$C237)/SUMIFS($I$5:$I$238,$C$5:$C$238,$C237),0)</f>
        <v>0.00508905852417303</v>
      </c>
      <c r="X237" s="27" t="n">
        <f aca="false">IFERROR(SUMIFS($G$5:$G$238,$C$5:$C$238,$C237)/SUMIFS($I$5:$I$238,$C$5:$C$238,$C237),0)</f>
        <v>0.0534351145038168</v>
      </c>
      <c r="Y237" s="27" t="n">
        <f aca="false">IFERROR(SUMIFS($H$5:$H$238,$C$5:$C$238,$C237)/SUMIFS($I$5:$I$238,$C$5:$C$238,$C237),0)</f>
        <v>0.33587786259542</v>
      </c>
      <c r="Z237" s="24" t="n">
        <f aca="false">LN(MAX(I237,1))</f>
        <v>3.98898404656427</v>
      </c>
      <c r="AA237" s="24" t="n">
        <f aca="false">Calibration!$M$35+Calibration!$N$35+SUMPRODUCT(Calibration!$B$35:$F$35,J237:N237)+SUMPRODUCT(Calibration!$G$35:$K$35,U237:Y237)+Calibration!$L$35*Z237</f>
        <v>-0.0144103687740347</v>
      </c>
      <c r="AB237" s="24" t="n">
        <f aca="false">Calibration!$M$36+Calibration!$N$36+SUMPRODUCT(Calibration!$B$36:$F$36,J237:N237)+SUMPRODUCT(Calibration!$G$36:$K$36,U237:Y237)+Calibration!$L$36*Z237</f>
        <v>0.338232965942539</v>
      </c>
      <c r="AC237" s="24" t="n">
        <f aca="false">Calibration!$M$37+Calibration!$N$37+SUMPRODUCT(Calibration!$B$37:$F$37,J237:N237)+SUMPRODUCT(Calibration!$G$37:$K$37,U237:Y237)+Calibration!$L$37*Z237</f>
        <v>0.50117793873763</v>
      </c>
      <c r="AD237" s="27" t="n">
        <f aca="false">EXP(AC237)/(EXP(AA237)+EXP(AB237)+EXP(AC237))</f>
        <v>0.408699224421192</v>
      </c>
      <c r="AE237" s="7" t="str">
        <f aca="false">IF(AC237=MAX(AA237:AC237),"TVK",IF(AB237=MAX(AA237:AC237),"DMK+","AIADMK+"))</f>
        <v>TVK</v>
      </c>
      <c r="AF237" s="7" t="str">
        <f aca="false">IF(AE237=R237,"Yes","No")</f>
        <v>No</v>
      </c>
      <c r="AG237" s="7" t="str">
        <f aca="false">IF(AE237=P237,"No","Yes")</f>
        <v>Yes</v>
      </c>
      <c r="AH237" s="7" t="str">
        <f aca="false">IF(H237=MAX(D237,E237,H237),"TVK",IF(E237=MAX(D237,E237,H237),"DMK+","AIADMK+"))</f>
        <v>DMK+</v>
      </c>
      <c r="AI237" s="27" t="n">
        <f aca="false">EXP(AA237)/(EXP(AA237)+EXP(AB237)+EXP(AC237))</f>
        <v>0.244054408327403</v>
      </c>
      <c r="AJ237" s="27" t="n">
        <f aca="false">EXP(AB237)/(EXP(AA237)+EXP(AB237)+EXP(AC237))</f>
        <v>0.347246367251406</v>
      </c>
      <c r="AK237" s="28" t="s">
        <v>5</v>
      </c>
      <c r="AL237" s="7" t="str">
        <f aca="false">IF(AK237=R237,"Yes","No")</f>
        <v>Yes</v>
      </c>
      <c r="AM237" s="27" t="n">
        <f aca="false">IF(AK237="TVK",AD237,IF(AK237="DMK+",AJ237,AI237))</f>
        <v>0.347246367251406</v>
      </c>
      <c r="AN237" s="7" t="str">
        <f aca="false">IF(AK237=P237,"No","Yes")</f>
        <v>No</v>
      </c>
    </row>
    <row r="238" customFormat="false" ht="15" hidden="false" customHeight="false" outlineLevel="0" collapsed="false">
      <c r="A238" s="0" t="n">
        <v>234</v>
      </c>
      <c r="B238" s="4" t="s">
        <v>414</v>
      </c>
      <c r="C238" s="5" t="s">
        <v>112</v>
      </c>
      <c r="D238" s="35" t="n">
        <v>8</v>
      </c>
      <c r="E238" s="35" t="n">
        <v>10</v>
      </c>
      <c r="F238" s="35"/>
      <c r="G238" s="35" t="n">
        <v>3</v>
      </c>
      <c r="H238" s="35" t="n">
        <v>23</v>
      </c>
      <c r="I238" s="5" t="n">
        <f aca="false">SUM(D238:H238)</f>
        <v>44</v>
      </c>
      <c r="J238" s="10" t="n">
        <f aca="false">IF($I238=0,0,D238/$I238)</f>
        <v>0.181818181818182</v>
      </c>
      <c r="K238" s="10" t="n">
        <f aca="false">IF($I238=0,0,E238/$I238)</f>
        <v>0.227272727272727</v>
      </c>
      <c r="L238" s="10" t="n">
        <f aca="false">IF($I238=0,0,F238/$I238)</f>
        <v>0</v>
      </c>
      <c r="M238" s="10" t="n">
        <f aca="false">IF($I238=0,0,G238/$I238)</f>
        <v>0.0681818181818182</v>
      </c>
      <c r="N238" s="10" t="n">
        <f aca="false">IF($I238=0,0,H238/$I238)</f>
        <v>0.522727272727273</v>
      </c>
      <c r="O238" s="35" t="s">
        <v>3</v>
      </c>
      <c r="P238" s="0" t="str">
        <f aca="false">IF(O238="TVK","TVK",IF(O238="DMK","DMK+",IF(O238="ADMK","AIADMK+","")))</f>
        <v>TVK</v>
      </c>
      <c r="Q238" s="35" t="s">
        <v>348</v>
      </c>
      <c r="R238" s="36" t="s">
        <v>5</v>
      </c>
      <c r="S238" s="0" t="str">
        <f aca="false">IF(P238=R238,"Yes","No")</f>
        <v>No</v>
      </c>
      <c r="T238" s="2"/>
      <c r="U238" s="27" t="n">
        <f aca="false">IFERROR(SUMIFS($D$5:$D$238,$C$5:$C$238,$C238)/SUMIFS($I$5:$I$238,$C$5:$C$238,$C238),0)</f>
        <v>0.310432569974555</v>
      </c>
      <c r="V238" s="27" t="n">
        <f aca="false">IFERROR(SUMIFS($E$5:$E$238,$C$5:$C$238,$C238)/SUMIFS($I$5:$I$238,$C$5:$C$238,$C238),0)</f>
        <v>0.295165394402036</v>
      </c>
      <c r="W238" s="27" t="n">
        <f aca="false">IFERROR(SUMIFS($F$5:$F$238,$C$5:$C$238,$C238)/SUMIFS($I$5:$I$238,$C$5:$C$238,$C238),0)</f>
        <v>0.00508905852417303</v>
      </c>
      <c r="X238" s="27" t="n">
        <f aca="false">IFERROR(SUMIFS($G$5:$G$238,$C$5:$C$238,$C238)/SUMIFS($I$5:$I$238,$C$5:$C$238,$C238),0)</f>
        <v>0.0534351145038168</v>
      </c>
      <c r="Y238" s="27" t="n">
        <f aca="false">IFERROR(SUMIFS($H$5:$H$238,$C$5:$C$238,$C238)/SUMIFS($I$5:$I$238,$C$5:$C$238,$C238),0)</f>
        <v>0.33587786259542</v>
      </c>
      <c r="Z238" s="24" t="n">
        <f aca="false">LN(MAX(I238,1))</f>
        <v>3.78418963391826</v>
      </c>
      <c r="AA238" s="24" t="n">
        <f aca="false">Calibration!$M$35+Calibration!$N$35+SUMPRODUCT(Calibration!$B$35:$F$35,J238:N238)+SUMPRODUCT(Calibration!$G$35:$K$35,U238:Y238)+Calibration!$L$35*Z238</f>
        <v>0.084816480065169</v>
      </c>
      <c r="AB238" s="24" t="n">
        <f aca="false">Calibration!$M$36+Calibration!$N$36+SUMPRODUCT(Calibration!$B$36:$F$36,J238:N238)+SUMPRODUCT(Calibration!$G$36:$K$36,U238:Y238)+Calibration!$L$36*Z238</f>
        <v>0.254661125017554</v>
      </c>
      <c r="AC238" s="24" t="n">
        <f aca="false">Calibration!$M$37+Calibration!$N$37+SUMPRODUCT(Calibration!$B$37:$F$37,J238:N238)+SUMPRODUCT(Calibration!$G$37:$K$37,U238:Y238)+Calibration!$L$37*Z238</f>
        <v>0.485523212809944</v>
      </c>
      <c r="AD238" s="27" t="n">
        <f aca="false">EXP(AC238)/(EXP(AA238)+EXP(AB238)+EXP(AC238))</f>
        <v>0.405894329882183</v>
      </c>
      <c r="AE238" s="7" t="str">
        <f aca="false">IF(AC238=MAX(AA238:AC238),"TVK",IF(AB238=MAX(AA238:AC238),"DMK+","AIADMK+"))</f>
        <v>TVK</v>
      </c>
      <c r="AF238" s="7" t="str">
        <f aca="false">IF(AE238=R238,"Yes","No")</f>
        <v>No</v>
      </c>
      <c r="AG238" s="7" t="str">
        <f aca="false">IF(AE238=P238,"No","Yes")</f>
        <v>No</v>
      </c>
      <c r="AH238" s="7" t="str">
        <f aca="false">IF(H238=MAX(D238,E238,H238),"TVK",IF(E238=MAX(D238,E238,H238),"DMK+","AIADMK+"))</f>
        <v>TVK</v>
      </c>
      <c r="AI238" s="27" t="n">
        <f aca="false">EXP(AA238)/(EXP(AA238)+EXP(AB238)+EXP(AC238))</f>
        <v>0.271886886610758</v>
      </c>
      <c r="AJ238" s="27" t="n">
        <f aca="false">EXP(AB238)/(EXP(AA238)+EXP(AB238)+EXP(AC238))</f>
        <v>0.32221878350706</v>
      </c>
      <c r="AK238" s="28" t="s">
        <v>5</v>
      </c>
      <c r="AL238" s="7" t="str">
        <f aca="false">IF(AK238=R238,"Yes","No")</f>
        <v>Yes</v>
      </c>
      <c r="AM238" s="27" t="n">
        <f aca="false">IF(AK238="TVK",AD238,IF(AK238="DMK+",AJ238,AI238))</f>
        <v>0.32221878350706</v>
      </c>
      <c r="AN238" s="7" t="str">
        <f aca="false">IF(AK238=P238,"No","Yes")</f>
        <v>Yes</v>
      </c>
    </row>
    <row r="239" customFormat="false" ht="15" hidden="true" customHeight="false" outlineLevel="0" collapsed="false">
      <c r="B239" s="4" t="s">
        <v>415</v>
      </c>
      <c r="D239" s="35" t="n">
        <v>5958</v>
      </c>
      <c r="E239" s="35" t="n">
        <v>6563</v>
      </c>
      <c r="F239" s="35" t="n">
        <v>184</v>
      </c>
      <c r="G239" s="35" t="n">
        <v>1317</v>
      </c>
      <c r="H239" s="35" t="n">
        <v>6727</v>
      </c>
      <c r="I239" s="5" t="n">
        <f aca="false">SUM(D239:H239)</f>
        <v>20749</v>
      </c>
      <c r="J239" s="10" t="n">
        <f aca="false">IF($I239=0,0,D239/$I239)</f>
        <v>0.287146368499687</v>
      </c>
      <c r="K239" s="10" t="n">
        <f aca="false">IF($I239=0,0,E239/$I239)</f>
        <v>0.316304400212058</v>
      </c>
      <c r="L239" s="10" t="n">
        <f aca="false">IF($I239=0,0,F239/$I239)</f>
        <v>0.00886789724806015</v>
      </c>
      <c r="M239" s="10" t="n">
        <f aca="false">IF($I239=0,0,G239/$I239)</f>
        <v>0.0634729384548653</v>
      </c>
      <c r="N239" s="10" t="n">
        <f aca="false">IF($I239=0,0,H239/$I239)</f>
        <v>0.324208395585329</v>
      </c>
    </row>
    <row r="240" customFormat="false" ht="15" hidden="true" customHeight="false" outlineLevel="0" collapsed="false">
      <c r="B240" s="4" t="s">
        <v>416</v>
      </c>
      <c r="D240" s="4" t="n">
        <f aca="false">SUM(D5:D239)</f>
        <v>8866</v>
      </c>
      <c r="E240" s="4" t="n">
        <f aca="false">SUM(E5:E239)</f>
        <v>9518</v>
      </c>
      <c r="F240" s="4" t="n">
        <f aca="false">SUM(F5:F239)</f>
        <v>249</v>
      </c>
      <c r="G240" s="4" t="n">
        <f aca="false">SUM(G5:G239)</f>
        <v>2173</v>
      </c>
      <c r="H240" s="4" t="n">
        <f aca="false">SUM(H5:H239)</f>
        <v>10866</v>
      </c>
      <c r="I240" s="4" t="n">
        <f aca="false">SUM(I5:I239)</f>
        <v>31672</v>
      </c>
      <c r="J240" s="9" t="n">
        <f aca="false">D240/$I$240</f>
        <v>0.279931800959838</v>
      </c>
      <c r="K240" s="9" t="n">
        <f aca="false">E240/$I$240</f>
        <v>0.300517807527153</v>
      </c>
      <c r="L240" s="9" t="n">
        <f aca="false">F240/$I$240</f>
        <v>0.00786183379641324</v>
      </c>
      <c r="M240" s="9" t="n">
        <f aca="false">G240/$I$240</f>
        <v>0.0686094973478151</v>
      </c>
      <c r="N240" s="9" t="n">
        <f aca="false">H240/$I$240</f>
        <v>0.34307906036878</v>
      </c>
    </row>
  </sheetData>
  <autoFilter ref="A4:T240">
    <filterColumn colId="14">
      <filters>
        <filter val="TVK"/>
      </filters>
    </filterColumn>
  </autoFilter>
  <conditionalFormatting sqref="P5:P238">
    <cfRule type="cellIs" priority="2" operator="equal" aboveAverage="0" equalAverage="0" bottom="0" percent="0" rank="0" text="" dxfId="10">
      <formula>"TVK"</formula>
    </cfRule>
    <cfRule type="cellIs" priority="3" operator="equal" aboveAverage="0" equalAverage="0" bottom="0" percent="0" rank="0" text="" dxfId="11">
      <formula>"AIADMK+"</formula>
    </cfRule>
    <cfRule type="cellIs" priority="4" operator="equal" aboveAverage="0" equalAverage="0" bottom="0" percent="0" rank="0" text="" dxfId="12">
      <formula>"DMK+"</formula>
    </cfRule>
  </conditionalFormatting>
  <conditionalFormatting sqref="R5:R238">
    <cfRule type="cellIs" priority="5" operator="equal" aboveAverage="0" equalAverage="0" bottom="0" percent="0" rank="0" text="" dxfId="10">
      <formula>"TVK"</formula>
    </cfRule>
    <cfRule type="cellIs" priority="6" operator="equal" aboveAverage="0" equalAverage="0" bottom="0" percent="0" rank="0" text="" dxfId="11">
      <formula>"AIADMK+"</formula>
    </cfRule>
    <cfRule type="cellIs" priority="7" operator="equal" aboveAverage="0" equalAverage="0" bottom="0" percent="0" rank="0" text="" dxfId="12">
      <formula>"DMK+"</formula>
    </cfRule>
  </conditionalFormatting>
  <conditionalFormatting sqref="S5:S238">
    <cfRule type="cellIs" priority="8" operator="equal" aboveAverage="0" equalAverage="0" bottom="0" percent="0" rank="0" text="" dxfId="11">
      <formula>"Yes"</formula>
    </cfRule>
    <cfRule type="cellIs" priority="9" operator="equal" aboveAverage="0" equalAverage="0" bottom="0" percent="0" rank="0" text="" dxfId="13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16"/>
    <col collapsed="false" customWidth="true" hidden="false" outlineLevel="0" max="2" min="2" style="0" width="18.16"/>
  </cols>
  <sheetData>
    <row r="3" customFormat="false" ht="15" hidden="false" customHeight="false" outlineLevel="0" collapsed="false">
      <c r="A3" s="37" t="s">
        <v>417</v>
      </c>
      <c r="B3" s="38" t="s">
        <v>418</v>
      </c>
    </row>
    <row r="4" customFormat="false" ht="15" hidden="false" customHeight="false" outlineLevel="0" collapsed="false">
      <c r="A4" s="39" t="s">
        <v>4</v>
      </c>
      <c r="B4" s="40" t="n">
        <v>6</v>
      </c>
    </row>
    <row r="5" customFormat="false" ht="15" hidden="false" customHeight="false" outlineLevel="0" collapsed="false">
      <c r="A5" s="41" t="s">
        <v>5</v>
      </c>
      <c r="B5" s="42" t="n">
        <v>10</v>
      </c>
    </row>
    <row r="6" customFormat="false" ht="15" hidden="false" customHeight="false" outlineLevel="0" collapsed="false">
      <c r="A6" s="41" t="s">
        <v>419</v>
      </c>
      <c r="B6" s="42" t="n">
        <v>6</v>
      </c>
    </row>
    <row r="7" customFormat="false" ht="15" hidden="false" customHeight="false" outlineLevel="0" collapsed="false">
      <c r="A7" s="41" t="s">
        <v>3</v>
      </c>
      <c r="B7" s="43" t="n">
        <v>16</v>
      </c>
    </row>
    <row r="8" customFormat="false" ht="15" hidden="false" customHeight="false" outlineLevel="0" collapsed="false">
      <c r="A8" s="44" t="s">
        <v>420</v>
      </c>
      <c r="B8" s="45" t="n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E40" activeCellId="0" sqref="E40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"/>
    <col collapsed="false" customWidth="true" hidden="false" outlineLevel="0" max="8" min="3" style="0" width="9"/>
    <col collapsed="false" customWidth="true" hidden="false" outlineLevel="0" max="13" min="9" style="0" width="8"/>
    <col collapsed="false" customWidth="true" hidden="false" outlineLevel="0" max="14" min="14" style="0" width="10"/>
    <col collapsed="false" customWidth="true" hidden="false" outlineLevel="0" max="23" min="15" style="0" width="8"/>
    <col collapsed="false" customWidth="true" hidden="false" outlineLevel="0" max="24" min="24" style="0" width="9"/>
    <col collapsed="false" customWidth="true" hidden="false" outlineLevel="0" max="26" min="25" style="0" width="11"/>
    <col collapsed="false" customWidth="true" hidden="false" outlineLevel="0" max="27" min="27" style="0" width="10"/>
    <col collapsed="false" customWidth="true" hidden="false" outlineLevel="0" max="30" min="28" style="0" width="11"/>
    <col collapsed="false" customWidth="true" hidden="false" outlineLevel="0" max="33" min="31" style="0" width="12"/>
    <col collapsed="false" customWidth="true" hidden="false" outlineLevel="0" max="37" min="34" style="0" width="11"/>
  </cols>
  <sheetData>
    <row r="1" customFormat="false" ht="18" hidden="false" customHeight="true" outlineLevel="0" collapsed="false">
      <c r="A1" s="1" t="s">
        <v>421</v>
      </c>
    </row>
    <row r="2" customFormat="false" ht="15" hidden="false" customHeight="false" outlineLevel="0" collapsed="false">
      <c r="A2" s="2" t="s">
        <v>422</v>
      </c>
    </row>
    <row r="4" customFormat="false" ht="39.75" hidden="false" customHeight="true" outlineLevel="0" collapsed="false">
      <c r="A4" s="3" t="s">
        <v>82</v>
      </c>
      <c r="B4" s="3" t="s">
        <v>423</v>
      </c>
      <c r="C4" s="3" t="s">
        <v>424</v>
      </c>
      <c r="D4" s="3" t="s">
        <v>425</v>
      </c>
      <c r="E4" s="3" t="s">
        <v>426</v>
      </c>
      <c r="F4" s="3" t="s">
        <v>427</v>
      </c>
      <c r="G4" s="3" t="s">
        <v>428</v>
      </c>
      <c r="H4" s="3" t="s">
        <v>429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69</v>
      </c>
      <c r="N4" s="3" t="s">
        <v>188</v>
      </c>
      <c r="O4" s="3" t="s">
        <v>430</v>
      </c>
      <c r="P4" s="3" t="s">
        <v>431</v>
      </c>
      <c r="Q4" s="3" t="s">
        <v>432</v>
      </c>
      <c r="R4" s="3" t="s">
        <v>433</v>
      </c>
      <c r="S4" s="3" t="s">
        <v>434</v>
      </c>
      <c r="T4" s="3" t="s">
        <v>435</v>
      </c>
      <c r="U4" s="3" t="s">
        <v>436</v>
      </c>
      <c r="V4" s="3" t="s">
        <v>437</v>
      </c>
      <c r="W4" s="3" t="s">
        <v>438</v>
      </c>
      <c r="X4" s="3" t="s">
        <v>439</v>
      </c>
      <c r="Y4" s="3" t="s">
        <v>417</v>
      </c>
      <c r="Z4" s="3" t="s">
        <v>440</v>
      </c>
      <c r="AA4" s="3" t="s">
        <v>441</v>
      </c>
      <c r="AB4" s="14" t="s">
        <v>442</v>
      </c>
      <c r="AC4" s="14" t="s">
        <v>443</v>
      </c>
      <c r="AD4" s="14" t="s">
        <v>444</v>
      </c>
      <c r="AE4" s="14" t="s">
        <v>445</v>
      </c>
      <c r="AF4" s="14" t="s">
        <v>446</v>
      </c>
      <c r="AG4" s="14" t="s">
        <v>447</v>
      </c>
      <c r="AH4" s="14" t="s">
        <v>448</v>
      </c>
      <c r="AI4" s="14" t="s">
        <v>449</v>
      </c>
      <c r="AJ4" s="14" t="s">
        <v>450</v>
      </c>
      <c r="AK4" s="14" t="s">
        <v>451</v>
      </c>
    </row>
    <row r="5" customFormat="false" ht="15" hidden="false" customHeight="false" outlineLevel="0" collapsed="false">
      <c r="A5" s="4" t="s">
        <v>90</v>
      </c>
      <c r="B5" s="5" t="n">
        <f aca="false">COUNTIF('AC Estimate'!$C$5:$C$238,$A5)</f>
        <v>2</v>
      </c>
      <c r="C5" s="5" t="n">
        <f aca="false">SUMIFS('AC Estimate'!$D$5:$D$238,'AC Estimate'!$C$5:$C$238,$A5)</f>
        <v>28</v>
      </c>
      <c r="D5" s="5" t="n">
        <f aca="false">SUMIFS('AC Estimate'!$E$5:$E$238,'AC Estimate'!$C$5:$C$238,$A5)</f>
        <v>24</v>
      </c>
      <c r="E5" s="5" t="n">
        <f aca="false">SUMIFS('AC Estimate'!$F$5:$F$238,'AC Estimate'!$C$5:$C$238,$A5)</f>
        <v>0</v>
      </c>
      <c r="F5" s="5" t="n">
        <f aca="false">SUMIFS('AC Estimate'!$G$5:$G$238,'AC Estimate'!$C$5:$C$238,$A5)</f>
        <v>9</v>
      </c>
      <c r="G5" s="5" t="n">
        <f aca="false">SUMIFS('AC Estimate'!$H$5:$H$238,'AC Estimate'!$C$5:$C$238,$A5)</f>
        <v>32</v>
      </c>
      <c r="H5" s="5" t="n">
        <f aca="false">SUM(C5:G5)</f>
        <v>93</v>
      </c>
      <c r="I5" s="10" t="n">
        <f aca="false">IF($H5=0,0,C5/$H5)</f>
        <v>0.301075268817204</v>
      </c>
      <c r="J5" s="10" t="n">
        <f aca="false">IF($H5=0,0,D5/$H5)</f>
        <v>0.258064516129032</v>
      </c>
      <c r="K5" s="10" t="n">
        <f aca="false">IF($H5=0,0,E5/$H5)</f>
        <v>0</v>
      </c>
      <c r="L5" s="10" t="n">
        <f aca="false">IF($H5=0,0,F5/$H5)</f>
        <v>0.0967741935483871</v>
      </c>
      <c r="M5" s="10" t="n">
        <f aca="false">IF($H5=0,0,G5/$H5)</f>
        <v>0.344086021505376</v>
      </c>
      <c r="N5" s="0" t="str">
        <f aca="false">INDEX({"AIADMK+","DMK+","NOTA","NTK","TVK"},MATCH(MAX(I5:M5),I5:M5,0))</f>
        <v>TVK</v>
      </c>
      <c r="O5" s="5" t="n">
        <f aca="false">COUNTIFS('AC Estimate'!$C$5:$C$238,$A5,'AC Estimate'!$P$5:$P$238,"TVK")</f>
        <v>1</v>
      </c>
      <c r="P5" s="5" t="n">
        <f aca="false">COUNTIFS('AC Estimate'!$C$5:$C$238,$A5,'AC Estimate'!$P$5:$P$238,"AIADMK+")</f>
        <v>0</v>
      </c>
      <c r="Q5" s="5" t="n">
        <f aca="false">COUNTIFS('AC Estimate'!$C$5:$C$238,$A5,'AC Estimate'!$P$5:$P$238,"DMK+")</f>
        <v>1</v>
      </c>
      <c r="R5" s="5" t="n">
        <f aca="false">COUNTIFS('AC Estimate'!$C$5:$C$238,$A5,'AC Estimate'!$R$5:$R$238,"TVK")</f>
        <v>0</v>
      </c>
      <c r="S5" s="5" t="n">
        <f aca="false">COUNTIFS('AC Estimate'!$C$5:$C$238,$A5,'AC Estimate'!$R$5:$R$238,"AIADMK+")</f>
        <v>2</v>
      </c>
      <c r="T5" s="5" t="n">
        <f aca="false">COUNTIFS('AC Estimate'!$C$5:$C$238,$A5,'AC Estimate'!$R$5:$R$238,"DMK+")</f>
        <v>0</v>
      </c>
      <c r="U5" s="6" t="n">
        <f aca="false">R5-O5</f>
        <v>-1</v>
      </c>
      <c r="V5" s="6" t="n">
        <f aca="false">S5-P5</f>
        <v>2</v>
      </c>
      <c r="W5" s="6" t="n">
        <f aca="false">T5-Q5</f>
        <v>-1</v>
      </c>
      <c r="X5" s="5" t="n">
        <f aca="false">COUNTIFS('AC Estimate'!$C$5:$C$238,$A5,'AC Estimate'!$S$5:$S$238,"Yes")</f>
        <v>0</v>
      </c>
      <c r="Y5" s="36" t="str">
        <f aca="false">IF(COUNTIF(O5:Q5,MAX(O5:Q5))&gt;1,"Tie",INDEX({"TVK","AIADMK+","DMK+"},MATCH(MAX(O5:Q5),O5:Q5,0)))</f>
        <v>Tie</v>
      </c>
      <c r="Z5" s="36" t="str">
        <f aca="false">IF(COUNTIF(R5:T5,MAX(R5:T5))&gt;1,"Tie",INDEX({"TVK","AIADMK+","DMK+"},MATCH(MAX(R5:T5),R5:T5,0)))</f>
        <v>AIADMK+</v>
      </c>
      <c r="AA5" s="0" t="str">
        <f aca="false">IF(OR(Y5="Tie",Z5="Tie"),"Partly",IF(Y5=Z5,"Yes","No"))</f>
        <v>Partly</v>
      </c>
      <c r="AB5" s="7" t="n">
        <f aca="false">COUNTIFS('AC Estimate'!$C$5:$C$238,$A5,'AC Estimate'!$AK$5:$AK$238,"TVK")</f>
        <v>0</v>
      </c>
      <c r="AC5" s="7" t="n">
        <f aca="false">COUNTIFS('AC Estimate'!$C$5:$C$238,$A5,'AC Estimate'!$AK$5:$AK$238,"AIADMK+")</f>
        <v>2</v>
      </c>
      <c r="AD5" s="7" t="n">
        <f aca="false">COUNTIFS('AC Estimate'!$C$5:$C$238,$A5,'AC Estimate'!$AK$5:$AK$238,"DMK+")</f>
        <v>0</v>
      </c>
      <c r="AE5" s="7" t="n">
        <f aca="false">COUNTIFS('AC Estimate'!$C$5:$C$238,$A5,'AC Estimate'!$AL$5:$AL$238,"Yes")</f>
        <v>2</v>
      </c>
      <c r="AF5" s="7" t="n">
        <f aca="false">ABS(R5-AB5)+ABS(S5-AC5)+ABS(T5-AD5)</f>
        <v>0</v>
      </c>
      <c r="AG5" s="7" t="n">
        <f aca="false">ABS(U5)+ABS(V5)+ABS(W5)</f>
        <v>4</v>
      </c>
      <c r="AH5" s="7" t="n">
        <f aca="false">R5-AB5</f>
        <v>0</v>
      </c>
      <c r="AI5" s="7" t="n">
        <f aca="false">S5-AC5</f>
        <v>0</v>
      </c>
      <c r="AJ5" s="7" t="n">
        <f aca="false">T5-AD5</f>
        <v>0</v>
      </c>
      <c r="AK5" s="7" t="str">
        <f aca="false">IF(MAX(ABS(AH5),ABS(AI5),ABS(AJ5))&lt;=Calibration!$B$3,"Yes","No")</f>
        <v>Yes</v>
      </c>
    </row>
    <row r="6" customFormat="false" ht="15" hidden="false" customHeight="false" outlineLevel="0" collapsed="false">
      <c r="A6" s="4" t="s">
        <v>94</v>
      </c>
      <c r="B6" s="5" t="n">
        <f aca="false">COUNTIF('AC Estimate'!$C$5:$C$238,$A6)</f>
        <v>6</v>
      </c>
      <c r="C6" s="5" t="n">
        <f aca="false">SUMIFS('AC Estimate'!$D$5:$D$238,'AC Estimate'!$C$5:$C$238,$A6)</f>
        <v>88</v>
      </c>
      <c r="D6" s="5" t="n">
        <f aca="false">SUMIFS('AC Estimate'!$E$5:$E$238,'AC Estimate'!$C$5:$C$238,$A6)</f>
        <v>83</v>
      </c>
      <c r="E6" s="5" t="n">
        <f aca="false">SUMIFS('AC Estimate'!$F$5:$F$238,'AC Estimate'!$C$5:$C$238,$A6)</f>
        <v>3</v>
      </c>
      <c r="F6" s="5" t="n">
        <f aca="false">SUMIFS('AC Estimate'!$G$5:$G$238,'AC Estimate'!$C$5:$C$238,$A6)</f>
        <v>22</v>
      </c>
      <c r="G6" s="5" t="n">
        <f aca="false">SUMIFS('AC Estimate'!$H$5:$H$238,'AC Estimate'!$C$5:$C$238,$A6)</f>
        <v>138</v>
      </c>
      <c r="H6" s="5" t="n">
        <f aca="false">SUM(C6:G6)</f>
        <v>334</v>
      </c>
      <c r="I6" s="10" t="n">
        <f aca="false">IF($H6=0,0,C6/$H6)</f>
        <v>0.263473053892216</v>
      </c>
      <c r="J6" s="10" t="n">
        <f aca="false">IF($H6=0,0,D6/$H6)</f>
        <v>0.248502994011976</v>
      </c>
      <c r="K6" s="10" t="n">
        <f aca="false">IF($H6=0,0,E6/$H6)</f>
        <v>0.00898203592814371</v>
      </c>
      <c r="L6" s="10" t="n">
        <f aca="false">IF($H6=0,0,F6/$H6)</f>
        <v>0.0658682634730539</v>
      </c>
      <c r="M6" s="10" t="n">
        <f aca="false">IF($H6=0,0,G6/$H6)</f>
        <v>0.413173652694611</v>
      </c>
      <c r="N6" s="0" t="str">
        <f aca="false">INDEX({"AIADMK+","DMK+","NOTA","NTK","TVK"},MATCH(MAX(I6:M6),I6:M6,0))</f>
        <v>TVK</v>
      </c>
      <c r="O6" s="5" t="n">
        <f aca="false">COUNTIFS('AC Estimate'!$C$5:$C$238,$A6,'AC Estimate'!$P$5:$P$238,"TVK")</f>
        <v>4</v>
      </c>
      <c r="P6" s="5" t="n">
        <f aca="false">COUNTIFS('AC Estimate'!$C$5:$C$238,$A6,'AC Estimate'!$P$5:$P$238,"AIADMK+")</f>
        <v>1</v>
      </c>
      <c r="Q6" s="5" t="n">
        <f aca="false">COUNTIFS('AC Estimate'!$C$5:$C$238,$A6,'AC Estimate'!$P$5:$P$238,"DMK+")</f>
        <v>1</v>
      </c>
      <c r="R6" s="5" t="n">
        <f aca="false">COUNTIFS('AC Estimate'!$C$5:$C$238,$A6,'AC Estimate'!$R$5:$R$238,"TVK")</f>
        <v>4</v>
      </c>
      <c r="S6" s="5" t="n">
        <f aca="false">COUNTIFS('AC Estimate'!$C$5:$C$238,$A6,'AC Estimate'!$R$5:$R$238,"AIADMK+")</f>
        <v>2</v>
      </c>
      <c r="T6" s="5" t="n">
        <f aca="false">COUNTIFS('AC Estimate'!$C$5:$C$238,$A6,'AC Estimate'!$R$5:$R$238,"DMK+")</f>
        <v>0</v>
      </c>
      <c r="U6" s="6" t="n">
        <f aca="false">R6-O6</f>
        <v>0</v>
      </c>
      <c r="V6" s="6" t="n">
        <f aca="false">S6-P6</f>
        <v>1</v>
      </c>
      <c r="W6" s="6" t="n">
        <f aca="false">T6-Q6</f>
        <v>-1</v>
      </c>
      <c r="X6" s="5" t="n">
        <f aca="false">COUNTIFS('AC Estimate'!$C$5:$C$238,$A6,'AC Estimate'!$S$5:$S$238,"Yes")</f>
        <v>4</v>
      </c>
      <c r="Y6" s="36" t="str">
        <f aca="false">IF(COUNTIF(O6:Q6,MAX(O6:Q6))&gt;1,"Tie",INDEX({"TVK","AIADMK+","DMK+"},MATCH(MAX(O6:Q6),O6:Q6,0)))</f>
        <v>TVK</v>
      </c>
      <c r="Z6" s="36" t="str">
        <f aca="false">IF(COUNTIF(R6:T6,MAX(R6:T6))&gt;1,"Tie",INDEX({"TVK","AIADMK+","DMK+"},MATCH(MAX(R6:T6),R6:T6,0)))</f>
        <v>TVK</v>
      </c>
      <c r="AA6" s="0" t="str">
        <f aca="false">IF(OR(Y6="Tie",Z6="Tie"),"Partly",IF(Y6=Z6,"Yes","No"))</f>
        <v>Yes</v>
      </c>
      <c r="AB6" s="7" t="n">
        <f aca="false">COUNTIFS('AC Estimate'!$C$5:$C$238,$A6,'AC Estimate'!$AK$5:$AK$238,"TVK")</f>
        <v>4</v>
      </c>
      <c r="AC6" s="7" t="n">
        <f aca="false">COUNTIFS('AC Estimate'!$C$5:$C$238,$A6,'AC Estimate'!$AK$5:$AK$238,"AIADMK+")</f>
        <v>2</v>
      </c>
      <c r="AD6" s="7" t="n">
        <f aca="false">COUNTIFS('AC Estimate'!$C$5:$C$238,$A6,'AC Estimate'!$AK$5:$AK$238,"DMK+")</f>
        <v>0</v>
      </c>
      <c r="AE6" s="7" t="n">
        <f aca="false">COUNTIFS('AC Estimate'!$C$5:$C$238,$A6,'AC Estimate'!$AL$5:$AL$238,"Yes")</f>
        <v>6</v>
      </c>
      <c r="AF6" s="7" t="n">
        <f aca="false">ABS(R6-AB6)+ABS(S6-AC6)+ABS(T6-AD6)</f>
        <v>0</v>
      </c>
      <c r="AG6" s="7" t="n">
        <f aca="false">ABS(U6)+ABS(V6)+ABS(W6)</f>
        <v>2</v>
      </c>
      <c r="AH6" s="7" t="n">
        <f aca="false">R6-AB6</f>
        <v>0</v>
      </c>
      <c r="AI6" s="7" t="n">
        <f aca="false">S6-AC6</f>
        <v>0</v>
      </c>
      <c r="AJ6" s="7" t="n">
        <f aca="false">T6-AD6</f>
        <v>0</v>
      </c>
      <c r="AK6" s="7" t="str">
        <f aca="false">IF(MAX(ABS(AH6),ABS(AI6),ABS(AJ6))&lt;=Calibration!$B$3,"Yes","No")</f>
        <v>Yes</v>
      </c>
    </row>
    <row r="7" customFormat="false" ht="15" hidden="false" customHeight="false" outlineLevel="0" collapsed="false">
      <c r="A7" s="4" t="s">
        <v>96</v>
      </c>
      <c r="B7" s="5" t="n">
        <f aca="false">COUNTIF('AC Estimate'!$C$5:$C$238,$A7)</f>
        <v>22</v>
      </c>
      <c r="C7" s="5" t="n">
        <f aca="false">SUMIFS('AC Estimate'!$D$5:$D$238,'AC Estimate'!$C$5:$C$238,$A7)</f>
        <v>335</v>
      </c>
      <c r="D7" s="5" t="n">
        <f aca="false">SUMIFS('AC Estimate'!$E$5:$E$238,'AC Estimate'!$C$5:$C$238,$A7)</f>
        <v>350</v>
      </c>
      <c r="E7" s="5" t="n">
        <f aca="false">SUMIFS('AC Estimate'!$F$5:$F$238,'AC Estimate'!$C$5:$C$238,$A7)</f>
        <v>10</v>
      </c>
      <c r="F7" s="5" t="n">
        <f aca="false">SUMIFS('AC Estimate'!$G$5:$G$238,'AC Estimate'!$C$5:$C$238,$A7)</f>
        <v>58</v>
      </c>
      <c r="G7" s="5" t="n">
        <f aca="false">SUMIFS('AC Estimate'!$H$5:$H$238,'AC Estimate'!$C$5:$C$238,$A7)</f>
        <v>533</v>
      </c>
      <c r="H7" s="5" t="n">
        <f aca="false">SUM(C7:G7)</f>
        <v>1286</v>
      </c>
      <c r="I7" s="10" t="n">
        <f aca="false">IF($H7=0,0,C7/$H7)</f>
        <v>0.26049766718507</v>
      </c>
      <c r="J7" s="10" t="n">
        <f aca="false">IF($H7=0,0,D7/$H7)</f>
        <v>0.272161741835148</v>
      </c>
      <c r="K7" s="10" t="n">
        <f aca="false">IF($H7=0,0,E7/$H7)</f>
        <v>0.00777604976671851</v>
      </c>
      <c r="L7" s="10" t="n">
        <f aca="false">IF($H7=0,0,F7/$H7)</f>
        <v>0.0451010886469673</v>
      </c>
      <c r="M7" s="10" t="n">
        <f aca="false">IF($H7=0,0,G7/$H7)</f>
        <v>0.414463452566096</v>
      </c>
      <c r="N7" s="0" t="str">
        <f aca="false">INDEX({"AIADMK+","DMK+","NOTA","NTK","TVK"},MATCH(MAX(I7:M7),I7:M7,0))</f>
        <v>TVK</v>
      </c>
      <c r="O7" s="5" t="n">
        <f aca="false">COUNTIFS('AC Estimate'!$C$5:$C$238,$A7,'AC Estimate'!$P$5:$P$238,"TVK")</f>
        <v>12</v>
      </c>
      <c r="P7" s="5" t="n">
        <f aca="false">COUNTIFS('AC Estimate'!$C$5:$C$238,$A7,'AC Estimate'!$P$5:$P$238,"AIADMK+")</f>
        <v>3</v>
      </c>
      <c r="Q7" s="5" t="n">
        <f aca="false">COUNTIFS('AC Estimate'!$C$5:$C$238,$A7,'AC Estimate'!$P$5:$P$238,"DMK+")</f>
        <v>7</v>
      </c>
      <c r="R7" s="5" t="n">
        <f aca="false">COUNTIFS('AC Estimate'!$C$5:$C$238,$A7,'AC Estimate'!$R$5:$R$238,"TVK")</f>
        <v>20</v>
      </c>
      <c r="S7" s="5" t="n">
        <f aca="false">COUNTIFS('AC Estimate'!$C$5:$C$238,$A7,'AC Estimate'!$R$5:$R$238,"AIADMK+")</f>
        <v>0</v>
      </c>
      <c r="T7" s="5" t="n">
        <f aca="false">COUNTIFS('AC Estimate'!$C$5:$C$238,$A7,'AC Estimate'!$R$5:$R$238,"DMK+")</f>
        <v>2</v>
      </c>
      <c r="U7" s="6" t="n">
        <f aca="false">R7-O7</f>
        <v>8</v>
      </c>
      <c r="V7" s="6" t="n">
        <f aca="false">S7-P7</f>
        <v>-3</v>
      </c>
      <c r="W7" s="6" t="n">
        <f aca="false">T7-Q7</f>
        <v>-5</v>
      </c>
      <c r="X7" s="5" t="n">
        <f aca="false">COUNTIFS('AC Estimate'!$C$5:$C$238,$A7,'AC Estimate'!$S$5:$S$238,"Yes")</f>
        <v>14</v>
      </c>
      <c r="Y7" s="36" t="str">
        <f aca="false">IF(COUNTIF(O7:Q7,MAX(O7:Q7))&gt;1,"Tie",INDEX({"TVK","AIADMK+","DMK+"},MATCH(MAX(O7:Q7),O7:Q7,0)))</f>
        <v>TVK</v>
      </c>
      <c r="Z7" s="36" t="str">
        <f aca="false">IF(COUNTIF(R7:T7,MAX(R7:T7))&gt;1,"Tie",INDEX({"TVK","AIADMK+","DMK+"},MATCH(MAX(R7:T7),R7:T7,0)))</f>
        <v>TVK</v>
      </c>
      <c r="AA7" s="0" t="str">
        <f aca="false">IF(OR(Y7="Tie",Z7="Tie"),"Partly",IF(Y7=Z7,"Yes","No"))</f>
        <v>Yes</v>
      </c>
      <c r="AB7" s="7" t="n">
        <f aca="false">COUNTIFS('AC Estimate'!$C$5:$C$238,$A7,'AC Estimate'!$AK$5:$AK$238,"TVK")</f>
        <v>20</v>
      </c>
      <c r="AC7" s="7" t="n">
        <f aca="false">COUNTIFS('AC Estimate'!$C$5:$C$238,$A7,'AC Estimate'!$AK$5:$AK$238,"AIADMK+")</f>
        <v>0</v>
      </c>
      <c r="AD7" s="7" t="n">
        <f aca="false">COUNTIFS('AC Estimate'!$C$5:$C$238,$A7,'AC Estimate'!$AK$5:$AK$238,"DMK+")</f>
        <v>2</v>
      </c>
      <c r="AE7" s="7" t="n">
        <f aca="false">COUNTIFS('AC Estimate'!$C$5:$C$238,$A7,'AC Estimate'!$AL$5:$AL$238,"Yes")</f>
        <v>20</v>
      </c>
      <c r="AF7" s="7" t="n">
        <f aca="false">ABS(R7-AB7)+ABS(S7-AC7)+ABS(T7-AD7)</f>
        <v>0</v>
      </c>
      <c r="AG7" s="7" t="n">
        <f aca="false">ABS(U7)+ABS(V7)+ABS(W7)</f>
        <v>16</v>
      </c>
      <c r="AH7" s="7" t="n">
        <f aca="false">R7-AB7</f>
        <v>0</v>
      </c>
      <c r="AI7" s="7" t="n">
        <f aca="false">S7-AC7</f>
        <v>0</v>
      </c>
      <c r="AJ7" s="7" t="n">
        <f aca="false">T7-AD7</f>
        <v>0</v>
      </c>
      <c r="AK7" s="7" t="str">
        <f aca="false">IF(MAX(ABS(AH7),ABS(AI7),ABS(AJ7))&lt;=Calibration!$B$3,"Yes","No")</f>
        <v>Yes</v>
      </c>
    </row>
    <row r="8" customFormat="false" ht="15" hidden="false" customHeight="false" outlineLevel="0" collapsed="false">
      <c r="A8" s="4" t="s">
        <v>98</v>
      </c>
      <c r="B8" s="5" t="n">
        <f aca="false">COUNTIF('AC Estimate'!$C$5:$C$238,$A8)</f>
        <v>10</v>
      </c>
      <c r="C8" s="5" t="n">
        <f aca="false">SUMIFS('AC Estimate'!$D$5:$D$238,'AC Estimate'!$C$5:$C$238,$A8)</f>
        <v>169</v>
      </c>
      <c r="D8" s="5" t="n">
        <f aca="false">SUMIFS('AC Estimate'!$E$5:$E$238,'AC Estimate'!$C$5:$C$238,$A8)</f>
        <v>165</v>
      </c>
      <c r="E8" s="5" t="n">
        <f aca="false">SUMIFS('AC Estimate'!$F$5:$F$238,'AC Estimate'!$C$5:$C$238,$A8)</f>
        <v>3</v>
      </c>
      <c r="F8" s="5" t="n">
        <f aca="false">SUMIFS('AC Estimate'!$G$5:$G$238,'AC Estimate'!$C$5:$C$238,$A8)</f>
        <v>37</v>
      </c>
      <c r="G8" s="5" t="n">
        <f aca="false">SUMIFS('AC Estimate'!$H$5:$H$238,'AC Estimate'!$C$5:$C$238,$A8)</f>
        <v>243</v>
      </c>
      <c r="H8" s="5" t="n">
        <f aca="false">SUM(C8:G8)</f>
        <v>617</v>
      </c>
      <c r="I8" s="10" t="n">
        <f aca="false">IF($H8=0,0,C8/$H8)</f>
        <v>0.273905996758509</v>
      </c>
      <c r="J8" s="10" t="n">
        <f aca="false">IF($H8=0,0,D8/$H8)</f>
        <v>0.26742301458671</v>
      </c>
      <c r="K8" s="10" t="n">
        <f aca="false">IF($H8=0,0,E8/$H8)</f>
        <v>0.00486223662884927</v>
      </c>
      <c r="L8" s="10" t="n">
        <f aca="false">IF($H8=0,0,F8/$H8)</f>
        <v>0.059967585089141</v>
      </c>
      <c r="M8" s="10" t="n">
        <f aca="false">IF($H8=0,0,G8/$H8)</f>
        <v>0.393841166936791</v>
      </c>
      <c r="N8" s="0" t="str">
        <f aca="false">INDEX({"AIADMK+","DMK+","NOTA","NTK","TVK"},MATCH(MAX(I8:M8),I8:M8,0))</f>
        <v>TVK</v>
      </c>
      <c r="O8" s="5" t="n">
        <f aca="false">COUNTIFS('AC Estimate'!$C$5:$C$238,$A8,'AC Estimate'!$P$5:$P$238,"TVK")</f>
        <v>7</v>
      </c>
      <c r="P8" s="5" t="n">
        <f aca="false">COUNTIFS('AC Estimate'!$C$5:$C$238,$A8,'AC Estimate'!$P$5:$P$238,"AIADMK+")</f>
        <v>0</v>
      </c>
      <c r="Q8" s="5" t="n">
        <f aca="false">COUNTIFS('AC Estimate'!$C$5:$C$238,$A8,'AC Estimate'!$P$5:$P$238,"DMK+")</f>
        <v>3</v>
      </c>
      <c r="R8" s="5" t="n">
        <f aca="false">COUNTIFS('AC Estimate'!$C$5:$C$238,$A8,'AC Estimate'!$R$5:$R$238,"TVK")</f>
        <v>6</v>
      </c>
      <c r="S8" s="5" t="n">
        <f aca="false">COUNTIFS('AC Estimate'!$C$5:$C$238,$A8,'AC Estimate'!$R$5:$R$238,"AIADMK+")</f>
        <v>1</v>
      </c>
      <c r="T8" s="5" t="n">
        <f aca="false">COUNTIFS('AC Estimate'!$C$5:$C$238,$A8,'AC Estimate'!$R$5:$R$238,"DMK+")</f>
        <v>3</v>
      </c>
      <c r="U8" s="6" t="n">
        <f aca="false">R8-O8</f>
        <v>-1</v>
      </c>
      <c r="V8" s="6" t="n">
        <f aca="false">S8-P8</f>
        <v>1</v>
      </c>
      <c r="W8" s="6" t="n">
        <f aca="false">T8-Q8</f>
        <v>0</v>
      </c>
      <c r="X8" s="5" t="n">
        <f aca="false">COUNTIFS('AC Estimate'!$C$5:$C$238,$A8,'AC Estimate'!$S$5:$S$238,"Yes")</f>
        <v>5</v>
      </c>
      <c r="Y8" s="36" t="str">
        <f aca="false">IF(COUNTIF(O8:Q8,MAX(O8:Q8))&gt;1,"Tie",INDEX({"TVK","AIADMK+","DMK+"},MATCH(MAX(O8:Q8),O8:Q8,0)))</f>
        <v>TVK</v>
      </c>
      <c r="Z8" s="36" t="str">
        <f aca="false">IF(COUNTIF(R8:T8,MAX(R8:T8))&gt;1,"Tie",INDEX({"TVK","AIADMK+","DMK+"},MATCH(MAX(R8:T8),R8:T8,0)))</f>
        <v>TVK</v>
      </c>
      <c r="AA8" s="0" t="str">
        <f aca="false">IF(OR(Y8="Tie",Z8="Tie"),"Partly",IF(Y8=Z8,"Yes","No"))</f>
        <v>Yes</v>
      </c>
      <c r="AB8" s="7" t="n">
        <f aca="false">COUNTIFS('AC Estimate'!$C$5:$C$238,$A8,'AC Estimate'!$AK$5:$AK$238,"TVK")</f>
        <v>6</v>
      </c>
      <c r="AC8" s="7" t="n">
        <f aca="false">COUNTIFS('AC Estimate'!$C$5:$C$238,$A8,'AC Estimate'!$AK$5:$AK$238,"AIADMK+")</f>
        <v>1</v>
      </c>
      <c r="AD8" s="7" t="n">
        <f aca="false">COUNTIFS('AC Estimate'!$C$5:$C$238,$A8,'AC Estimate'!$AK$5:$AK$238,"DMK+")</f>
        <v>3</v>
      </c>
      <c r="AE8" s="7" t="n">
        <f aca="false">COUNTIFS('AC Estimate'!$C$5:$C$238,$A8,'AC Estimate'!$AL$5:$AL$238,"Yes")</f>
        <v>5</v>
      </c>
      <c r="AF8" s="7" t="n">
        <f aca="false">ABS(R8-AB8)+ABS(S8-AC8)+ABS(T8-AD8)</f>
        <v>0</v>
      </c>
      <c r="AG8" s="7" t="n">
        <f aca="false">ABS(U8)+ABS(V8)+ABS(W8)</f>
        <v>2</v>
      </c>
      <c r="AH8" s="7" t="n">
        <f aca="false">R8-AB8</f>
        <v>0</v>
      </c>
      <c r="AI8" s="7" t="n">
        <f aca="false">S8-AC8</f>
        <v>0</v>
      </c>
      <c r="AJ8" s="7" t="n">
        <f aca="false">T8-AD8</f>
        <v>0</v>
      </c>
      <c r="AK8" s="7" t="str">
        <f aca="false">IF(MAX(ABS(AH8),ABS(AI8),ABS(AJ8))&lt;=Calibration!$B$3,"Yes","No")</f>
        <v>Yes</v>
      </c>
    </row>
    <row r="9" customFormat="false" ht="15" hidden="false" customHeight="false" outlineLevel="0" collapsed="false">
      <c r="A9" s="4" t="s">
        <v>100</v>
      </c>
      <c r="B9" s="5" t="n">
        <f aca="false">COUNTIF('AC Estimate'!$C$5:$C$238,$A9)</f>
        <v>9</v>
      </c>
      <c r="C9" s="5" t="n">
        <f aca="false">SUMIFS('AC Estimate'!$D$5:$D$238,'AC Estimate'!$C$5:$C$238,$A9)</f>
        <v>74</v>
      </c>
      <c r="D9" s="5" t="n">
        <f aca="false">SUMIFS('AC Estimate'!$E$5:$E$238,'AC Estimate'!$C$5:$C$238,$A9)</f>
        <v>94</v>
      </c>
      <c r="E9" s="5" t="n">
        <f aca="false">SUMIFS('AC Estimate'!$F$5:$F$238,'AC Estimate'!$C$5:$C$238,$A9)</f>
        <v>0</v>
      </c>
      <c r="F9" s="5" t="n">
        <f aca="false">SUMIFS('AC Estimate'!$G$5:$G$238,'AC Estimate'!$C$5:$C$238,$A9)</f>
        <v>12</v>
      </c>
      <c r="G9" s="5" t="n">
        <f aca="false">SUMIFS('AC Estimate'!$H$5:$H$238,'AC Estimate'!$C$5:$C$238,$A9)</f>
        <v>51</v>
      </c>
      <c r="H9" s="5" t="n">
        <f aca="false">SUM(C9:G9)</f>
        <v>231</v>
      </c>
      <c r="I9" s="10" t="n">
        <f aca="false">IF($H9=0,0,C9/$H9)</f>
        <v>0.32034632034632</v>
      </c>
      <c r="J9" s="10" t="n">
        <f aca="false">IF($H9=0,0,D9/$H9)</f>
        <v>0.406926406926407</v>
      </c>
      <c r="K9" s="10" t="n">
        <f aca="false">IF($H9=0,0,E9/$H9)</f>
        <v>0</v>
      </c>
      <c r="L9" s="10" t="n">
        <f aca="false">IF($H9=0,0,F9/$H9)</f>
        <v>0.051948051948052</v>
      </c>
      <c r="M9" s="10" t="n">
        <f aca="false">IF($H9=0,0,G9/$H9)</f>
        <v>0.220779220779221</v>
      </c>
      <c r="N9" s="0" t="str">
        <f aca="false">INDEX({"AIADMK+","DMK+","NOTA","NTK","TVK"},MATCH(MAX(I9:M9),I9:M9,0))</f>
        <v>DMK+</v>
      </c>
      <c r="O9" s="5" t="n">
        <f aca="false">COUNTIFS('AC Estimate'!$C$5:$C$238,$A9,'AC Estimate'!$P$5:$P$238,"TVK")</f>
        <v>0</v>
      </c>
      <c r="P9" s="5" t="n">
        <f aca="false">COUNTIFS('AC Estimate'!$C$5:$C$238,$A9,'AC Estimate'!$P$5:$P$238,"AIADMK+")</f>
        <v>6</v>
      </c>
      <c r="Q9" s="5" t="n">
        <f aca="false">COUNTIFS('AC Estimate'!$C$5:$C$238,$A9,'AC Estimate'!$P$5:$P$238,"DMK+")</f>
        <v>3</v>
      </c>
      <c r="R9" s="5" t="n">
        <f aca="false">COUNTIFS('AC Estimate'!$C$5:$C$238,$A9,'AC Estimate'!$R$5:$R$238,"TVK")</f>
        <v>1</v>
      </c>
      <c r="S9" s="5" t="n">
        <f aca="false">COUNTIFS('AC Estimate'!$C$5:$C$238,$A9,'AC Estimate'!$R$5:$R$238,"AIADMK+")</f>
        <v>3</v>
      </c>
      <c r="T9" s="5" t="n">
        <f aca="false">COUNTIFS('AC Estimate'!$C$5:$C$238,$A9,'AC Estimate'!$R$5:$R$238,"DMK+")</f>
        <v>5</v>
      </c>
      <c r="U9" s="6" t="n">
        <f aca="false">R9-O9</f>
        <v>1</v>
      </c>
      <c r="V9" s="6" t="n">
        <f aca="false">S9-P9</f>
        <v>-3</v>
      </c>
      <c r="W9" s="6" t="n">
        <f aca="false">T9-Q9</f>
        <v>2</v>
      </c>
      <c r="X9" s="5" t="n">
        <f aca="false">COUNTIFS('AC Estimate'!$C$5:$C$238,$A9,'AC Estimate'!$S$5:$S$238,"Yes")</f>
        <v>3</v>
      </c>
      <c r="Y9" s="36" t="str">
        <f aca="false">IF(COUNTIF(O9:Q9,MAX(O9:Q9))&gt;1,"Tie",INDEX({"TVK","AIADMK+","DMK+"},MATCH(MAX(O9:Q9),O9:Q9,0)))</f>
        <v>AIADMK+</v>
      </c>
      <c r="Z9" s="36" t="str">
        <f aca="false">IF(COUNTIF(R9:T9,MAX(R9:T9))&gt;1,"Tie",INDEX({"TVK","AIADMK+","DMK+"},MATCH(MAX(R9:T9),R9:T9,0)))</f>
        <v>DMK+</v>
      </c>
      <c r="AA9" s="0" t="str">
        <f aca="false">IF(OR(Y9="Tie",Z9="Tie"),"Partly",IF(Y9=Z9,"Yes","No"))</f>
        <v>No</v>
      </c>
      <c r="AB9" s="7" t="n">
        <f aca="false">COUNTIFS('AC Estimate'!$C$5:$C$238,$A9,'AC Estimate'!$AK$5:$AK$238,"TVK")</f>
        <v>1</v>
      </c>
      <c r="AC9" s="7" t="n">
        <f aca="false">COUNTIFS('AC Estimate'!$C$5:$C$238,$A9,'AC Estimate'!$AK$5:$AK$238,"AIADMK+")</f>
        <v>3</v>
      </c>
      <c r="AD9" s="7" t="n">
        <f aca="false">COUNTIFS('AC Estimate'!$C$5:$C$238,$A9,'AC Estimate'!$AK$5:$AK$238,"DMK+")</f>
        <v>5</v>
      </c>
      <c r="AE9" s="7" t="n">
        <f aca="false">COUNTIFS('AC Estimate'!$C$5:$C$238,$A9,'AC Estimate'!$AL$5:$AL$238,"Yes")</f>
        <v>5</v>
      </c>
      <c r="AF9" s="7" t="n">
        <f aca="false">ABS(R9-AB9)+ABS(S9-AC9)+ABS(T9-AD9)</f>
        <v>0</v>
      </c>
      <c r="AG9" s="7" t="n">
        <f aca="false">ABS(U9)+ABS(V9)+ABS(W9)</f>
        <v>6</v>
      </c>
      <c r="AH9" s="7" t="n">
        <f aca="false">R9-AB9</f>
        <v>0</v>
      </c>
      <c r="AI9" s="7" t="n">
        <f aca="false">S9-AC9</f>
        <v>0</v>
      </c>
      <c r="AJ9" s="7" t="n">
        <f aca="false">T9-AD9</f>
        <v>0</v>
      </c>
      <c r="AK9" s="7" t="str">
        <f aca="false">IF(MAX(ABS(AH9),ABS(AI9),ABS(AJ9))&lt;=Calibration!$B$3,"Yes","No")</f>
        <v>Yes</v>
      </c>
    </row>
    <row r="10" customFormat="false" ht="15" hidden="false" customHeight="false" outlineLevel="0" collapsed="false">
      <c r="A10" s="4" t="s">
        <v>102</v>
      </c>
      <c r="B10" s="5" t="n">
        <f aca="false">COUNTIF('AC Estimate'!$C$5:$C$238,$A10)</f>
        <v>5</v>
      </c>
      <c r="C10" s="5" t="n">
        <f aca="false">SUMIFS('AC Estimate'!$D$5:$D$238,'AC Estimate'!$C$5:$C$238,$A10)</f>
        <v>95</v>
      </c>
      <c r="D10" s="5" t="n">
        <f aca="false">SUMIFS('AC Estimate'!$E$5:$E$238,'AC Estimate'!$C$5:$C$238,$A10)</f>
        <v>45</v>
      </c>
      <c r="E10" s="5" t="n">
        <f aca="false">SUMIFS('AC Estimate'!$F$5:$F$238,'AC Estimate'!$C$5:$C$238,$A10)</f>
        <v>2</v>
      </c>
      <c r="F10" s="5" t="n">
        <f aca="false">SUMIFS('AC Estimate'!$G$5:$G$238,'AC Estimate'!$C$5:$C$238,$A10)</f>
        <v>16</v>
      </c>
      <c r="G10" s="5" t="n">
        <f aca="false">SUMIFS('AC Estimate'!$H$5:$H$238,'AC Estimate'!$C$5:$C$238,$A10)</f>
        <v>79</v>
      </c>
      <c r="H10" s="5" t="n">
        <f aca="false">SUM(C10:G10)</f>
        <v>237</v>
      </c>
      <c r="I10" s="10" t="n">
        <f aca="false">IF($H10=0,0,C10/$H10)</f>
        <v>0.40084388185654</v>
      </c>
      <c r="J10" s="10" t="n">
        <f aca="false">IF($H10=0,0,D10/$H10)</f>
        <v>0.189873417721519</v>
      </c>
      <c r="K10" s="10" t="n">
        <f aca="false">IF($H10=0,0,E10/$H10)</f>
        <v>0.00843881856540084</v>
      </c>
      <c r="L10" s="10" t="n">
        <f aca="false">IF($H10=0,0,F10/$H10)</f>
        <v>0.0675105485232068</v>
      </c>
      <c r="M10" s="10" t="n">
        <f aca="false">IF($H10=0,0,G10/$H10)</f>
        <v>0.333333333333333</v>
      </c>
      <c r="N10" s="0" t="str">
        <f aca="false">INDEX({"AIADMK+","DMK+","NOTA","NTK","TVK"},MATCH(MAX(I10:M10),I10:M10,0))</f>
        <v>AIADMK+</v>
      </c>
      <c r="O10" s="5" t="n">
        <f aca="false">COUNTIFS('AC Estimate'!$C$5:$C$238,$A10,'AC Estimate'!$P$5:$P$238,"TVK")</f>
        <v>1</v>
      </c>
      <c r="P10" s="5" t="n">
        <f aca="false">COUNTIFS('AC Estimate'!$C$5:$C$238,$A10,'AC Estimate'!$P$5:$P$238,"AIADMK+")</f>
        <v>4</v>
      </c>
      <c r="Q10" s="5" t="n">
        <f aca="false">COUNTIFS('AC Estimate'!$C$5:$C$238,$A10,'AC Estimate'!$P$5:$P$238,"DMK+")</f>
        <v>0</v>
      </c>
      <c r="R10" s="5" t="n">
        <f aca="false">COUNTIFS('AC Estimate'!$C$5:$C$238,$A10,'AC Estimate'!$R$5:$R$238,"TVK")</f>
        <v>1</v>
      </c>
      <c r="S10" s="5" t="n">
        <f aca="false">COUNTIFS('AC Estimate'!$C$5:$C$238,$A10,'AC Estimate'!$R$5:$R$238,"AIADMK+")</f>
        <v>4</v>
      </c>
      <c r="T10" s="5" t="n">
        <f aca="false">COUNTIFS('AC Estimate'!$C$5:$C$238,$A10,'AC Estimate'!$R$5:$R$238,"DMK+")</f>
        <v>0</v>
      </c>
      <c r="U10" s="6" t="n">
        <f aca="false">R10-O10</f>
        <v>0</v>
      </c>
      <c r="V10" s="6" t="n">
        <f aca="false">S10-P10</f>
        <v>0</v>
      </c>
      <c r="W10" s="6" t="n">
        <f aca="false">T10-Q10</f>
        <v>0</v>
      </c>
      <c r="X10" s="5" t="n">
        <f aca="false">COUNTIFS('AC Estimate'!$C$5:$C$238,$A10,'AC Estimate'!$S$5:$S$238,"Yes")</f>
        <v>5</v>
      </c>
      <c r="Y10" s="36" t="str">
        <f aca="false">IF(COUNTIF(O10:Q10,MAX(O10:Q10))&gt;1,"Tie",INDEX({"TVK","AIADMK+","DMK+"},MATCH(MAX(O10:Q10),O10:Q10,0)))</f>
        <v>AIADMK+</v>
      </c>
      <c r="Z10" s="36" t="str">
        <f aca="false">IF(COUNTIF(R10:T10,MAX(R10:T10))&gt;1,"Tie",INDEX({"TVK","AIADMK+","DMK+"},MATCH(MAX(R10:T10),R10:T10,0)))</f>
        <v>AIADMK+</v>
      </c>
      <c r="AA10" s="0" t="str">
        <f aca="false">IF(OR(Y10="Tie",Z10="Tie"),"Partly",IF(Y10=Z10,"Yes","No"))</f>
        <v>Yes</v>
      </c>
      <c r="AB10" s="7" t="n">
        <f aca="false">COUNTIFS('AC Estimate'!$C$5:$C$238,$A10,'AC Estimate'!$AK$5:$AK$238,"TVK")</f>
        <v>1</v>
      </c>
      <c r="AC10" s="7" t="n">
        <f aca="false">COUNTIFS('AC Estimate'!$C$5:$C$238,$A10,'AC Estimate'!$AK$5:$AK$238,"AIADMK+")</f>
        <v>4</v>
      </c>
      <c r="AD10" s="7" t="n">
        <f aca="false">COUNTIFS('AC Estimate'!$C$5:$C$238,$A10,'AC Estimate'!$AK$5:$AK$238,"DMK+")</f>
        <v>0</v>
      </c>
      <c r="AE10" s="7" t="n">
        <f aca="false">COUNTIFS('AC Estimate'!$C$5:$C$238,$A10,'AC Estimate'!$AL$5:$AL$238,"Yes")</f>
        <v>3</v>
      </c>
      <c r="AF10" s="7" t="n">
        <f aca="false">ABS(R10-AB10)+ABS(S10-AC10)+ABS(T10-AD10)</f>
        <v>0</v>
      </c>
      <c r="AG10" s="7" t="n">
        <f aca="false">ABS(U10)+ABS(V10)+ABS(W10)</f>
        <v>0</v>
      </c>
      <c r="AH10" s="7" t="n">
        <f aca="false">R10-AB10</f>
        <v>0</v>
      </c>
      <c r="AI10" s="7" t="n">
        <f aca="false">S10-AC10</f>
        <v>0</v>
      </c>
      <c r="AJ10" s="7" t="n">
        <f aca="false">T10-AD10</f>
        <v>0</v>
      </c>
      <c r="AK10" s="7" t="str">
        <f aca="false">IF(MAX(ABS(AH10),ABS(AI10),ABS(AJ10))&lt;=Calibration!$B$3,"Yes","No")</f>
        <v>Yes</v>
      </c>
    </row>
    <row r="11" customFormat="false" ht="15" hidden="false" customHeight="false" outlineLevel="0" collapsed="false">
      <c r="A11" s="4" t="s">
        <v>104</v>
      </c>
      <c r="B11" s="5" t="n">
        <f aca="false">COUNTIF('AC Estimate'!$C$5:$C$238,$A11)</f>
        <v>7</v>
      </c>
      <c r="C11" s="5" t="n">
        <f aca="false">SUMIFS('AC Estimate'!$D$5:$D$238,'AC Estimate'!$C$5:$C$238,$A11)</f>
        <v>69</v>
      </c>
      <c r="D11" s="5" t="n">
        <f aca="false">SUMIFS('AC Estimate'!$E$5:$E$238,'AC Estimate'!$C$5:$C$238,$A11)</f>
        <v>85</v>
      </c>
      <c r="E11" s="5" t="n">
        <f aca="false">SUMIFS('AC Estimate'!$F$5:$F$238,'AC Estimate'!$C$5:$C$238,$A11)</f>
        <v>2</v>
      </c>
      <c r="F11" s="5" t="n">
        <f aca="false">SUMIFS('AC Estimate'!$G$5:$G$238,'AC Estimate'!$C$5:$C$238,$A11)</f>
        <v>21</v>
      </c>
      <c r="G11" s="5" t="n">
        <f aca="false">SUMIFS('AC Estimate'!$H$5:$H$238,'AC Estimate'!$C$5:$C$238,$A11)</f>
        <v>145</v>
      </c>
      <c r="H11" s="5" t="n">
        <f aca="false">SUM(C11:G11)</f>
        <v>322</v>
      </c>
      <c r="I11" s="10" t="n">
        <f aca="false">IF($H11=0,0,C11/$H11)</f>
        <v>0.214285714285714</v>
      </c>
      <c r="J11" s="10" t="n">
        <f aca="false">IF($H11=0,0,D11/$H11)</f>
        <v>0.263975155279503</v>
      </c>
      <c r="K11" s="10" t="n">
        <f aca="false">IF($H11=0,0,E11/$H11)</f>
        <v>0.0062111801242236</v>
      </c>
      <c r="L11" s="10" t="n">
        <f aca="false">IF($H11=0,0,F11/$H11)</f>
        <v>0.0652173913043478</v>
      </c>
      <c r="M11" s="10" t="n">
        <f aca="false">IF($H11=0,0,G11/$H11)</f>
        <v>0.450310559006211</v>
      </c>
      <c r="N11" s="0" t="str">
        <f aca="false">INDEX({"AIADMK+","DMK+","NOTA","NTK","TVK"},MATCH(MAX(I11:M11),I11:M11,0))</f>
        <v>TVK</v>
      </c>
      <c r="O11" s="5" t="n">
        <f aca="false">COUNTIFS('AC Estimate'!$C$5:$C$238,$A11,'AC Estimate'!$P$5:$P$238,"TVK")</f>
        <v>5</v>
      </c>
      <c r="P11" s="5" t="n">
        <f aca="false">COUNTIFS('AC Estimate'!$C$5:$C$238,$A11,'AC Estimate'!$P$5:$P$238,"AIADMK+")</f>
        <v>0</v>
      </c>
      <c r="Q11" s="5" t="n">
        <f aca="false">COUNTIFS('AC Estimate'!$C$5:$C$238,$A11,'AC Estimate'!$P$5:$P$238,"DMK+")</f>
        <v>2</v>
      </c>
      <c r="R11" s="5" t="n">
        <f aca="false">COUNTIFS('AC Estimate'!$C$5:$C$238,$A11,'AC Estimate'!$R$5:$R$238,"TVK")</f>
        <v>1</v>
      </c>
      <c r="S11" s="5" t="n">
        <f aca="false">COUNTIFS('AC Estimate'!$C$5:$C$238,$A11,'AC Estimate'!$R$5:$R$238,"AIADMK+")</f>
        <v>2</v>
      </c>
      <c r="T11" s="5" t="n">
        <f aca="false">COUNTIFS('AC Estimate'!$C$5:$C$238,$A11,'AC Estimate'!$R$5:$R$238,"DMK+")</f>
        <v>4</v>
      </c>
      <c r="U11" s="6" t="n">
        <f aca="false">R11-O11</f>
        <v>-4</v>
      </c>
      <c r="V11" s="6" t="n">
        <f aca="false">S11-P11</f>
        <v>2</v>
      </c>
      <c r="W11" s="6" t="n">
        <f aca="false">T11-Q11</f>
        <v>2</v>
      </c>
      <c r="X11" s="5" t="n">
        <f aca="false">COUNTIFS('AC Estimate'!$C$5:$C$238,$A11,'AC Estimate'!$S$5:$S$238,"Yes")</f>
        <v>2</v>
      </c>
      <c r="Y11" s="36" t="str">
        <f aca="false">IF(COUNTIF(O11:Q11,MAX(O11:Q11))&gt;1,"Tie",INDEX({"TVK","AIADMK+","DMK+"},MATCH(MAX(O11:Q11),O11:Q11,0)))</f>
        <v>TVK</v>
      </c>
      <c r="Z11" s="36" t="str">
        <f aca="false">IF(COUNTIF(R11:T11,MAX(R11:T11))&gt;1,"Tie",INDEX({"TVK","AIADMK+","DMK+"},MATCH(MAX(R11:T11),R11:T11,0)))</f>
        <v>DMK+</v>
      </c>
      <c r="AA11" s="0" t="str">
        <f aca="false">IF(OR(Y11="Tie",Z11="Tie"),"Partly",IF(Y11=Z11,"Yes","No"))</f>
        <v>No</v>
      </c>
      <c r="AB11" s="7" t="n">
        <f aca="false">COUNTIFS('AC Estimate'!$C$5:$C$238,$A11,'AC Estimate'!$AK$5:$AK$238,"TVK")</f>
        <v>1</v>
      </c>
      <c r="AC11" s="7" t="n">
        <f aca="false">COUNTIFS('AC Estimate'!$C$5:$C$238,$A11,'AC Estimate'!$AK$5:$AK$238,"AIADMK+")</f>
        <v>2</v>
      </c>
      <c r="AD11" s="7" t="n">
        <f aca="false">COUNTIFS('AC Estimate'!$C$5:$C$238,$A11,'AC Estimate'!$AK$5:$AK$238,"DMK+")</f>
        <v>4</v>
      </c>
      <c r="AE11" s="7" t="n">
        <f aca="false">COUNTIFS('AC Estimate'!$C$5:$C$238,$A11,'AC Estimate'!$AL$5:$AL$238,"Yes")</f>
        <v>3</v>
      </c>
      <c r="AF11" s="7" t="n">
        <f aca="false">ABS(R11-AB11)+ABS(S11-AC11)+ABS(T11-AD11)</f>
        <v>0</v>
      </c>
      <c r="AG11" s="7" t="n">
        <f aca="false">ABS(U11)+ABS(V11)+ABS(W11)</f>
        <v>8</v>
      </c>
      <c r="AH11" s="7" t="n">
        <f aca="false">R11-AB11</f>
        <v>0</v>
      </c>
      <c r="AI11" s="7" t="n">
        <f aca="false">S11-AC11</f>
        <v>0</v>
      </c>
      <c r="AJ11" s="7" t="n">
        <f aca="false">T11-AD11</f>
        <v>0</v>
      </c>
      <c r="AK11" s="7" t="str">
        <f aca="false">IF(MAX(ABS(AH11),ABS(AI11),ABS(AJ11))&lt;=Calibration!$B$3,"Yes","No")</f>
        <v>Yes</v>
      </c>
    </row>
    <row r="12" customFormat="false" ht="15" hidden="false" customHeight="false" outlineLevel="0" collapsed="false">
      <c r="A12" s="4" t="s">
        <v>106</v>
      </c>
      <c r="B12" s="5" t="n">
        <f aca="false">COUNTIF('AC Estimate'!$C$5:$C$238,$A12)</f>
        <v>8</v>
      </c>
      <c r="C12" s="5" t="n">
        <f aca="false">SUMIFS('AC Estimate'!$D$5:$D$238,'AC Estimate'!$C$5:$C$238,$A12)</f>
        <v>138</v>
      </c>
      <c r="D12" s="5" t="n">
        <f aca="false">SUMIFS('AC Estimate'!$E$5:$E$238,'AC Estimate'!$C$5:$C$238,$A12)</f>
        <v>72</v>
      </c>
      <c r="E12" s="5" t="n">
        <f aca="false">SUMIFS('AC Estimate'!$F$5:$F$238,'AC Estimate'!$C$5:$C$238,$A12)</f>
        <v>2</v>
      </c>
      <c r="F12" s="5" t="n">
        <f aca="false">SUMIFS('AC Estimate'!$G$5:$G$238,'AC Estimate'!$C$5:$C$238,$A12)</f>
        <v>21</v>
      </c>
      <c r="G12" s="5" t="n">
        <f aca="false">SUMIFS('AC Estimate'!$H$5:$H$238,'AC Estimate'!$C$5:$C$238,$A12)</f>
        <v>120</v>
      </c>
      <c r="H12" s="5" t="n">
        <f aca="false">SUM(C12:G12)</f>
        <v>353</v>
      </c>
      <c r="I12" s="10" t="n">
        <f aca="false">IF($H12=0,0,C12/$H12)</f>
        <v>0.390934844192635</v>
      </c>
      <c r="J12" s="10" t="n">
        <f aca="false">IF($H12=0,0,D12/$H12)</f>
        <v>0.203966005665722</v>
      </c>
      <c r="K12" s="10" t="n">
        <f aca="false">IF($H12=0,0,E12/$H12)</f>
        <v>0.0056657223796034</v>
      </c>
      <c r="L12" s="10" t="n">
        <f aca="false">IF($H12=0,0,F12/$H12)</f>
        <v>0.0594900849858357</v>
      </c>
      <c r="M12" s="10" t="n">
        <f aca="false">IF($H12=0,0,G12/$H12)</f>
        <v>0.339943342776204</v>
      </c>
      <c r="N12" s="0" t="str">
        <f aca="false">INDEX({"AIADMK+","DMK+","NOTA","NTK","TVK"},MATCH(MAX(I12:M12),I12:M12,0))</f>
        <v>AIADMK+</v>
      </c>
      <c r="O12" s="5" t="n">
        <f aca="false">COUNTIFS('AC Estimate'!$C$5:$C$238,$A12,'AC Estimate'!$P$5:$P$238,"TVK")</f>
        <v>3</v>
      </c>
      <c r="P12" s="5" t="n">
        <f aca="false">COUNTIFS('AC Estimate'!$C$5:$C$238,$A12,'AC Estimate'!$P$5:$P$238,"AIADMK+")</f>
        <v>4</v>
      </c>
      <c r="Q12" s="5" t="n">
        <f aca="false">COUNTIFS('AC Estimate'!$C$5:$C$238,$A12,'AC Estimate'!$P$5:$P$238,"DMK+")</f>
        <v>1</v>
      </c>
      <c r="R12" s="5" t="n">
        <f aca="false">COUNTIFS('AC Estimate'!$C$5:$C$238,$A12,'AC Estimate'!$R$5:$R$238,"TVK")</f>
        <v>5</v>
      </c>
      <c r="S12" s="5" t="n">
        <f aca="false">COUNTIFS('AC Estimate'!$C$5:$C$238,$A12,'AC Estimate'!$R$5:$R$238,"AIADMK+")</f>
        <v>3</v>
      </c>
      <c r="T12" s="5" t="n">
        <f aca="false">COUNTIFS('AC Estimate'!$C$5:$C$238,$A12,'AC Estimate'!$R$5:$R$238,"DMK+")</f>
        <v>0</v>
      </c>
      <c r="U12" s="6" t="n">
        <f aca="false">R12-O12</f>
        <v>2</v>
      </c>
      <c r="V12" s="6" t="n">
        <f aca="false">S12-P12</f>
        <v>-1</v>
      </c>
      <c r="W12" s="6" t="n">
        <f aca="false">T12-Q12</f>
        <v>-1</v>
      </c>
      <c r="X12" s="5" t="n">
        <f aca="false">COUNTIFS('AC Estimate'!$C$5:$C$238,$A12,'AC Estimate'!$S$5:$S$238,"Yes")</f>
        <v>3</v>
      </c>
      <c r="Y12" s="36" t="str">
        <f aca="false">IF(COUNTIF(O12:Q12,MAX(O12:Q12))&gt;1,"Tie",INDEX({"TVK","AIADMK+","DMK+"},MATCH(MAX(O12:Q12),O12:Q12,0)))</f>
        <v>AIADMK+</v>
      </c>
      <c r="Z12" s="36" t="str">
        <f aca="false">IF(COUNTIF(R12:T12,MAX(R12:T12))&gt;1,"Tie",INDEX({"TVK","AIADMK+","DMK+"},MATCH(MAX(R12:T12),R12:T12,0)))</f>
        <v>TVK</v>
      </c>
      <c r="AA12" s="0" t="str">
        <f aca="false">IF(OR(Y12="Tie",Z12="Tie"),"Partly",IF(Y12=Z12,"Yes","No"))</f>
        <v>No</v>
      </c>
      <c r="AB12" s="7" t="n">
        <f aca="false">COUNTIFS('AC Estimate'!$C$5:$C$238,$A12,'AC Estimate'!$AK$5:$AK$238,"TVK")</f>
        <v>5</v>
      </c>
      <c r="AC12" s="7" t="n">
        <f aca="false">COUNTIFS('AC Estimate'!$C$5:$C$238,$A12,'AC Estimate'!$AK$5:$AK$238,"AIADMK+")</f>
        <v>3</v>
      </c>
      <c r="AD12" s="7" t="n">
        <f aca="false">COUNTIFS('AC Estimate'!$C$5:$C$238,$A12,'AC Estimate'!$AK$5:$AK$238,"DMK+")</f>
        <v>0</v>
      </c>
      <c r="AE12" s="7" t="n">
        <f aca="false">COUNTIFS('AC Estimate'!$C$5:$C$238,$A12,'AC Estimate'!$AL$5:$AL$238,"Yes")</f>
        <v>4</v>
      </c>
      <c r="AF12" s="7" t="n">
        <f aca="false">ABS(R12-AB12)+ABS(S12-AC12)+ABS(T12-AD12)</f>
        <v>0</v>
      </c>
      <c r="AG12" s="7" t="n">
        <f aca="false">ABS(U12)+ABS(V12)+ABS(W12)</f>
        <v>4</v>
      </c>
      <c r="AH12" s="7" t="n">
        <f aca="false">R12-AB12</f>
        <v>0</v>
      </c>
      <c r="AI12" s="7" t="n">
        <f aca="false">S12-AC12</f>
        <v>0</v>
      </c>
      <c r="AJ12" s="7" t="n">
        <f aca="false">T12-AD12</f>
        <v>0</v>
      </c>
      <c r="AK12" s="7" t="str">
        <f aca="false">IF(MAX(ABS(AH12),ABS(AI12),ABS(AJ12))&lt;=Calibration!$B$3,"Yes","No")</f>
        <v>Yes</v>
      </c>
    </row>
    <row r="13" customFormat="false" ht="15" hidden="false" customHeight="false" outlineLevel="0" collapsed="false">
      <c r="A13" s="4" t="s">
        <v>108</v>
      </c>
      <c r="B13" s="5" t="n">
        <f aca="false">COUNTIF('AC Estimate'!$C$5:$C$238,$A13)</f>
        <v>4</v>
      </c>
      <c r="C13" s="5" t="n">
        <f aca="false">SUMIFS('AC Estimate'!$D$5:$D$238,'AC Estimate'!$C$5:$C$238,$A13)</f>
        <v>15</v>
      </c>
      <c r="D13" s="5" t="n">
        <f aca="false">SUMIFS('AC Estimate'!$E$5:$E$238,'AC Estimate'!$C$5:$C$238,$A13)</f>
        <v>32</v>
      </c>
      <c r="E13" s="5" t="n">
        <f aca="false">SUMIFS('AC Estimate'!$F$5:$F$238,'AC Estimate'!$C$5:$C$238,$A13)</f>
        <v>0</v>
      </c>
      <c r="F13" s="5" t="n">
        <f aca="false">SUMIFS('AC Estimate'!$G$5:$G$238,'AC Estimate'!$C$5:$C$238,$A13)</f>
        <v>10</v>
      </c>
      <c r="G13" s="5" t="n">
        <f aca="false">SUMIFS('AC Estimate'!$H$5:$H$238,'AC Estimate'!$C$5:$C$238,$A13)</f>
        <v>56</v>
      </c>
      <c r="H13" s="5" t="n">
        <f aca="false">SUM(C13:G13)</f>
        <v>113</v>
      </c>
      <c r="I13" s="10" t="n">
        <f aca="false">IF($H13=0,0,C13/$H13)</f>
        <v>0.132743362831858</v>
      </c>
      <c r="J13" s="10" t="n">
        <f aca="false">IF($H13=0,0,D13/$H13)</f>
        <v>0.283185840707965</v>
      </c>
      <c r="K13" s="10" t="n">
        <f aca="false">IF($H13=0,0,E13/$H13)</f>
        <v>0</v>
      </c>
      <c r="L13" s="10" t="n">
        <f aca="false">IF($H13=0,0,F13/$H13)</f>
        <v>0.0884955752212389</v>
      </c>
      <c r="M13" s="10" t="n">
        <f aca="false">IF($H13=0,0,G13/$H13)</f>
        <v>0.495575221238938</v>
      </c>
      <c r="N13" s="0" t="str">
        <f aca="false">INDEX({"AIADMK+","DMK+","NOTA","NTK","TVK"},MATCH(MAX(I13:M13),I13:M13,0))</f>
        <v>TVK</v>
      </c>
      <c r="O13" s="5" t="n">
        <f aca="false">COUNTIFS('AC Estimate'!$C$5:$C$238,$A13,'AC Estimate'!$P$5:$P$238,"TVK")</f>
        <v>3</v>
      </c>
      <c r="P13" s="5" t="n">
        <f aca="false">COUNTIFS('AC Estimate'!$C$5:$C$238,$A13,'AC Estimate'!$P$5:$P$238,"AIADMK+")</f>
        <v>0</v>
      </c>
      <c r="Q13" s="5" t="n">
        <f aca="false">COUNTIFS('AC Estimate'!$C$5:$C$238,$A13,'AC Estimate'!$P$5:$P$238,"DMK+")</f>
        <v>1</v>
      </c>
      <c r="R13" s="5" t="n">
        <f aca="false">COUNTIFS('AC Estimate'!$C$5:$C$238,$A13,'AC Estimate'!$R$5:$R$238,"TVK")</f>
        <v>1</v>
      </c>
      <c r="S13" s="5" t="n">
        <f aca="false">COUNTIFS('AC Estimate'!$C$5:$C$238,$A13,'AC Estimate'!$R$5:$R$238,"AIADMK+")</f>
        <v>1</v>
      </c>
      <c r="T13" s="5" t="n">
        <f aca="false">COUNTIFS('AC Estimate'!$C$5:$C$238,$A13,'AC Estimate'!$R$5:$R$238,"DMK+")</f>
        <v>2</v>
      </c>
      <c r="U13" s="6" t="n">
        <f aca="false">R13-O13</f>
        <v>-2</v>
      </c>
      <c r="V13" s="6" t="n">
        <f aca="false">S13-P13</f>
        <v>1</v>
      </c>
      <c r="W13" s="6" t="n">
        <f aca="false">T13-Q13</f>
        <v>1</v>
      </c>
      <c r="X13" s="5" t="n">
        <f aca="false">COUNTIFS('AC Estimate'!$C$5:$C$238,$A13,'AC Estimate'!$S$5:$S$238,"Yes")</f>
        <v>2</v>
      </c>
      <c r="Y13" s="36" t="str">
        <f aca="false">IF(COUNTIF(O13:Q13,MAX(O13:Q13))&gt;1,"Tie",INDEX({"TVK","AIADMK+","DMK+"},MATCH(MAX(O13:Q13),O13:Q13,0)))</f>
        <v>TVK</v>
      </c>
      <c r="Z13" s="36" t="str">
        <f aca="false">IF(COUNTIF(R13:T13,MAX(R13:T13))&gt;1,"Tie",INDEX({"TVK","AIADMK+","DMK+"},MATCH(MAX(R13:T13),R13:T13,0)))</f>
        <v>DMK+</v>
      </c>
      <c r="AA13" s="0" t="str">
        <f aca="false">IF(OR(Y13="Tie",Z13="Tie"),"Partly",IF(Y13=Z13,"Yes","No"))</f>
        <v>No</v>
      </c>
      <c r="AB13" s="7" t="n">
        <f aca="false">COUNTIFS('AC Estimate'!$C$5:$C$238,$A13,'AC Estimate'!$AK$5:$AK$238,"TVK")</f>
        <v>1</v>
      </c>
      <c r="AC13" s="7" t="n">
        <f aca="false">COUNTIFS('AC Estimate'!$C$5:$C$238,$A13,'AC Estimate'!$AK$5:$AK$238,"AIADMK+")</f>
        <v>1</v>
      </c>
      <c r="AD13" s="7" t="n">
        <f aca="false">COUNTIFS('AC Estimate'!$C$5:$C$238,$A13,'AC Estimate'!$AK$5:$AK$238,"DMK+")</f>
        <v>2</v>
      </c>
      <c r="AE13" s="7" t="n">
        <f aca="false">COUNTIFS('AC Estimate'!$C$5:$C$238,$A13,'AC Estimate'!$AL$5:$AL$238,"Yes")</f>
        <v>4</v>
      </c>
      <c r="AF13" s="7" t="n">
        <f aca="false">ABS(R13-AB13)+ABS(S13-AC13)+ABS(T13-AD13)</f>
        <v>0</v>
      </c>
      <c r="AG13" s="7" t="n">
        <f aca="false">ABS(U13)+ABS(V13)+ABS(W13)</f>
        <v>4</v>
      </c>
      <c r="AH13" s="7" t="n">
        <f aca="false">R13-AB13</f>
        <v>0</v>
      </c>
      <c r="AI13" s="7" t="n">
        <f aca="false">S13-AC13</f>
        <v>0</v>
      </c>
      <c r="AJ13" s="7" t="n">
        <f aca="false">T13-AD13</f>
        <v>0</v>
      </c>
      <c r="AK13" s="7" t="str">
        <f aca="false">IF(MAX(ABS(AH13),ABS(AI13),ABS(AJ13))&lt;=Calibration!$B$3,"Yes","No")</f>
        <v>Yes</v>
      </c>
    </row>
    <row r="14" customFormat="false" ht="15" hidden="false" customHeight="false" outlineLevel="0" collapsed="false">
      <c r="A14" s="4" t="s">
        <v>110</v>
      </c>
      <c r="B14" s="5" t="n">
        <f aca="false">COUNTIF('AC Estimate'!$C$5:$C$238,$A14)</f>
        <v>3</v>
      </c>
      <c r="C14" s="5" t="n">
        <f aca="false">SUMIFS('AC Estimate'!$D$5:$D$238,'AC Estimate'!$C$5:$C$238,$A14)</f>
        <v>34</v>
      </c>
      <c r="D14" s="5" t="n">
        <f aca="false">SUMIFS('AC Estimate'!$E$5:$E$238,'AC Estimate'!$C$5:$C$238,$A14)</f>
        <v>39</v>
      </c>
      <c r="E14" s="5" t="n">
        <f aca="false">SUMIFS('AC Estimate'!$F$5:$F$238,'AC Estimate'!$C$5:$C$238,$A14)</f>
        <v>0</v>
      </c>
      <c r="F14" s="5" t="n">
        <f aca="false">SUMIFS('AC Estimate'!$G$5:$G$238,'AC Estimate'!$C$5:$C$238,$A14)</f>
        <v>8</v>
      </c>
      <c r="G14" s="5" t="n">
        <f aca="false">SUMIFS('AC Estimate'!$H$5:$H$238,'AC Estimate'!$C$5:$C$238,$A14)</f>
        <v>54</v>
      </c>
      <c r="H14" s="5" t="n">
        <f aca="false">SUM(C14:G14)</f>
        <v>135</v>
      </c>
      <c r="I14" s="10" t="n">
        <f aca="false">IF($H14=0,0,C14/$H14)</f>
        <v>0.251851851851852</v>
      </c>
      <c r="J14" s="10" t="n">
        <f aca="false">IF($H14=0,0,D14/$H14)</f>
        <v>0.288888888888889</v>
      </c>
      <c r="K14" s="10" t="n">
        <f aca="false">IF($H14=0,0,E14/$H14)</f>
        <v>0</v>
      </c>
      <c r="L14" s="10" t="n">
        <f aca="false">IF($H14=0,0,F14/$H14)</f>
        <v>0.0592592592592593</v>
      </c>
      <c r="M14" s="10" t="n">
        <f aca="false">IF($H14=0,0,G14/$H14)</f>
        <v>0.4</v>
      </c>
      <c r="N14" s="0" t="str">
        <f aca="false">INDEX({"AIADMK+","DMK+","NOTA","NTK","TVK"},MATCH(MAX(I14:M14),I14:M14,0))</f>
        <v>TVK</v>
      </c>
      <c r="O14" s="5" t="n">
        <f aca="false">COUNTIFS('AC Estimate'!$C$5:$C$238,$A14,'AC Estimate'!$P$5:$P$238,"TVK")</f>
        <v>1</v>
      </c>
      <c r="P14" s="5" t="n">
        <f aca="false">COUNTIFS('AC Estimate'!$C$5:$C$238,$A14,'AC Estimate'!$P$5:$P$238,"AIADMK+")</f>
        <v>0</v>
      </c>
      <c r="Q14" s="5" t="n">
        <f aca="false">COUNTIFS('AC Estimate'!$C$5:$C$238,$A14,'AC Estimate'!$P$5:$P$238,"DMK+")</f>
        <v>2</v>
      </c>
      <c r="R14" s="5" t="n">
        <f aca="false">COUNTIFS('AC Estimate'!$C$5:$C$238,$A14,'AC Estimate'!$R$5:$R$238,"TVK")</f>
        <v>3</v>
      </c>
      <c r="S14" s="5" t="n">
        <f aca="false">COUNTIFS('AC Estimate'!$C$5:$C$238,$A14,'AC Estimate'!$R$5:$R$238,"AIADMK+")</f>
        <v>0</v>
      </c>
      <c r="T14" s="5" t="n">
        <f aca="false">COUNTIFS('AC Estimate'!$C$5:$C$238,$A14,'AC Estimate'!$R$5:$R$238,"DMK+")</f>
        <v>0</v>
      </c>
      <c r="U14" s="6" t="n">
        <f aca="false">R14-O14</f>
        <v>2</v>
      </c>
      <c r="V14" s="6" t="n">
        <f aca="false">S14-P14</f>
        <v>0</v>
      </c>
      <c r="W14" s="6" t="n">
        <f aca="false">T14-Q14</f>
        <v>-2</v>
      </c>
      <c r="X14" s="5" t="n">
        <f aca="false">COUNTIFS('AC Estimate'!$C$5:$C$238,$A14,'AC Estimate'!$S$5:$S$238,"Yes")</f>
        <v>1</v>
      </c>
      <c r="Y14" s="36" t="str">
        <f aca="false">IF(COUNTIF(O14:Q14,MAX(O14:Q14))&gt;1,"Tie",INDEX({"TVK","AIADMK+","DMK+"},MATCH(MAX(O14:Q14),O14:Q14,0)))</f>
        <v>DMK+</v>
      </c>
      <c r="Z14" s="36" t="str">
        <f aca="false">IF(COUNTIF(R14:T14,MAX(R14:T14))&gt;1,"Tie",INDEX({"TVK","AIADMK+","DMK+"},MATCH(MAX(R14:T14),R14:T14,0)))</f>
        <v>TVK</v>
      </c>
      <c r="AA14" s="0" t="str">
        <f aca="false">IF(OR(Y14="Tie",Z14="Tie"),"Partly",IF(Y14=Z14,"Yes","No"))</f>
        <v>No</v>
      </c>
      <c r="AB14" s="7" t="n">
        <f aca="false">COUNTIFS('AC Estimate'!$C$5:$C$238,$A14,'AC Estimate'!$AK$5:$AK$238,"TVK")</f>
        <v>3</v>
      </c>
      <c r="AC14" s="7" t="n">
        <f aca="false">COUNTIFS('AC Estimate'!$C$5:$C$238,$A14,'AC Estimate'!$AK$5:$AK$238,"AIADMK+")</f>
        <v>0</v>
      </c>
      <c r="AD14" s="7" t="n">
        <f aca="false">COUNTIFS('AC Estimate'!$C$5:$C$238,$A14,'AC Estimate'!$AK$5:$AK$238,"DMK+")</f>
        <v>0</v>
      </c>
      <c r="AE14" s="7" t="n">
        <f aca="false">COUNTIFS('AC Estimate'!$C$5:$C$238,$A14,'AC Estimate'!$AL$5:$AL$238,"Yes")</f>
        <v>3</v>
      </c>
      <c r="AF14" s="7" t="n">
        <f aca="false">ABS(R14-AB14)+ABS(S14-AC14)+ABS(T14-AD14)</f>
        <v>0</v>
      </c>
      <c r="AG14" s="7" t="n">
        <f aca="false">ABS(U14)+ABS(V14)+ABS(W14)</f>
        <v>4</v>
      </c>
      <c r="AH14" s="7" t="n">
        <f aca="false">R14-AB14</f>
        <v>0</v>
      </c>
      <c r="AI14" s="7" t="n">
        <f aca="false">S14-AC14</f>
        <v>0</v>
      </c>
      <c r="AJ14" s="7" t="n">
        <f aca="false">T14-AD14</f>
        <v>0</v>
      </c>
      <c r="AK14" s="7" t="str">
        <f aca="false">IF(MAX(ABS(AH14),ABS(AI14),ABS(AJ14))&lt;=Calibration!$B$3,"Yes","No")</f>
        <v>Yes</v>
      </c>
    </row>
    <row r="15" customFormat="false" ht="15" hidden="false" customHeight="false" outlineLevel="0" collapsed="false">
      <c r="A15" s="4" t="s">
        <v>112</v>
      </c>
      <c r="B15" s="5" t="n">
        <f aca="false">COUNTIF('AC Estimate'!$C$5:$C$238,$A15)</f>
        <v>6</v>
      </c>
      <c r="C15" s="5" t="n">
        <f aca="false">SUMIFS('AC Estimate'!$D$5:$D$238,'AC Estimate'!$C$5:$C$238,$A15)</f>
        <v>122</v>
      </c>
      <c r="D15" s="5" t="n">
        <f aca="false">SUMIFS('AC Estimate'!$E$5:$E$238,'AC Estimate'!$C$5:$C$238,$A15)</f>
        <v>116</v>
      </c>
      <c r="E15" s="5" t="n">
        <f aca="false">SUMIFS('AC Estimate'!$F$5:$F$238,'AC Estimate'!$C$5:$C$238,$A15)</f>
        <v>2</v>
      </c>
      <c r="F15" s="5" t="n">
        <f aca="false">SUMIFS('AC Estimate'!$G$5:$G$238,'AC Estimate'!$C$5:$C$238,$A15)</f>
        <v>21</v>
      </c>
      <c r="G15" s="5" t="n">
        <f aca="false">SUMIFS('AC Estimate'!$H$5:$H$238,'AC Estimate'!$C$5:$C$238,$A15)</f>
        <v>132</v>
      </c>
      <c r="H15" s="5" t="n">
        <f aca="false">SUM(C15:G15)</f>
        <v>393</v>
      </c>
      <c r="I15" s="10" t="n">
        <f aca="false">IF($H15=0,0,C15/$H15)</f>
        <v>0.310432569974555</v>
      </c>
      <c r="J15" s="10" t="n">
        <f aca="false">IF($H15=0,0,D15/$H15)</f>
        <v>0.295165394402036</v>
      </c>
      <c r="K15" s="10" t="n">
        <f aca="false">IF($H15=0,0,E15/$H15)</f>
        <v>0.00508905852417303</v>
      </c>
      <c r="L15" s="10" t="n">
        <f aca="false">IF($H15=0,0,F15/$H15)</f>
        <v>0.0534351145038168</v>
      </c>
      <c r="M15" s="10" t="n">
        <f aca="false">IF($H15=0,0,G15/$H15)</f>
        <v>0.33587786259542</v>
      </c>
      <c r="N15" s="0" t="str">
        <f aca="false">INDEX({"AIADMK+","DMK+","NOTA","NTK","TVK"},MATCH(MAX(I15:M15),I15:M15,0))</f>
        <v>TVK</v>
      </c>
      <c r="O15" s="5" t="n">
        <f aca="false">COUNTIFS('AC Estimate'!$C$5:$C$238,$A15,'AC Estimate'!$P$5:$P$238,"TVK")</f>
        <v>3</v>
      </c>
      <c r="P15" s="5" t="n">
        <f aca="false">COUNTIFS('AC Estimate'!$C$5:$C$238,$A15,'AC Estimate'!$P$5:$P$238,"AIADMK+")</f>
        <v>2</v>
      </c>
      <c r="Q15" s="5" t="n">
        <f aca="false">COUNTIFS('AC Estimate'!$C$5:$C$238,$A15,'AC Estimate'!$P$5:$P$238,"DMK+")</f>
        <v>1</v>
      </c>
      <c r="R15" s="5" t="n">
        <f aca="false">COUNTIFS('AC Estimate'!$C$5:$C$238,$A15,'AC Estimate'!$R$5:$R$238,"TVK")</f>
        <v>0</v>
      </c>
      <c r="S15" s="5" t="n">
        <f aca="false">COUNTIFS('AC Estimate'!$C$5:$C$238,$A15,'AC Estimate'!$R$5:$R$238,"AIADMK+")</f>
        <v>1</v>
      </c>
      <c r="T15" s="5" t="n">
        <f aca="false">COUNTIFS('AC Estimate'!$C$5:$C$238,$A15,'AC Estimate'!$R$5:$R$238,"DMK+")</f>
        <v>5</v>
      </c>
      <c r="U15" s="6" t="n">
        <f aca="false">R15-O15</f>
        <v>-3</v>
      </c>
      <c r="V15" s="6" t="n">
        <f aca="false">S15-P15</f>
        <v>-1</v>
      </c>
      <c r="W15" s="6" t="n">
        <f aca="false">T15-Q15</f>
        <v>4</v>
      </c>
      <c r="X15" s="5" t="n">
        <f aca="false">COUNTIFS('AC Estimate'!$C$5:$C$238,$A15,'AC Estimate'!$S$5:$S$238,"Yes")</f>
        <v>2</v>
      </c>
      <c r="Y15" s="36" t="str">
        <f aca="false">IF(COUNTIF(O15:Q15,MAX(O15:Q15))&gt;1,"Tie",INDEX({"TVK","AIADMK+","DMK+"},MATCH(MAX(O15:Q15),O15:Q15,0)))</f>
        <v>TVK</v>
      </c>
      <c r="Z15" s="36" t="str">
        <f aca="false">IF(COUNTIF(R15:T15,MAX(R15:T15))&gt;1,"Tie",INDEX({"TVK","AIADMK+","DMK+"},MATCH(MAX(R15:T15),R15:T15,0)))</f>
        <v>DMK+</v>
      </c>
      <c r="AA15" s="0" t="str">
        <f aca="false">IF(OR(Y15="Tie",Z15="Tie"),"Partly",IF(Y15=Z15,"Yes","No"))</f>
        <v>No</v>
      </c>
      <c r="AB15" s="7" t="n">
        <f aca="false">COUNTIFS('AC Estimate'!$C$5:$C$238,$A15,'AC Estimate'!$AK$5:$AK$238,"TVK")</f>
        <v>0</v>
      </c>
      <c r="AC15" s="7" t="n">
        <f aca="false">COUNTIFS('AC Estimate'!$C$5:$C$238,$A15,'AC Estimate'!$AK$5:$AK$238,"AIADMK+")</f>
        <v>1</v>
      </c>
      <c r="AD15" s="7" t="n">
        <f aca="false">COUNTIFS('AC Estimate'!$C$5:$C$238,$A15,'AC Estimate'!$AK$5:$AK$238,"DMK+")</f>
        <v>5</v>
      </c>
      <c r="AE15" s="7" t="n">
        <f aca="false">COUNTIFS('AC Estimate'!$C$5:$C$238,$A15,'AC Estimate'!$AL$5:$AL$238,"Yes")</f>
        <v>6</v>
      </c>
      <c r="AF15" s="7" t="n">
        <f aca="false">ABS(R15-AB15)+ABS(S15-AC15)+ABS(T15-AD15)</f>
        <v>0</v>
      </c>
      <c r="AG15" s="7" t="n">
        <f aca="false">ABS(U15)+ABS(V15)+ABS(W15)</f>
        <v>8</v>
      </c>
      <c r="AH15" s="7" t="n">
        <f aca="false">R15-AB15</f>
        <v>0</v>
      </c>
      <c r="AI15" s="7" t="n">
        <f aca="false">S15-AC15</f>
        <v>0</v>
      </c>
      <c r="AJ15" s="7" t="n">
        <f aca="false">T15-AD15</f>
        <v>0</v>
      </c>
      <c r="AK15" s="7" t="str">
        <f aca="false">IF(MAX(ABS(AH15),ABS(AI15),ABS(AJ15))&lt;=Calibration!$B$3,"Yes","No")</f>
        <v>Yes</v>
      </c>
    </row>
    <row r="16" customFormat="false" ht="15" hidden="false" customHeight="false" outlineLevel="0" collapsed="false">
      <c r="A16" s="4" t="s">
        <v>114</v>
      </c>
      <c r="B16" s="5" t="n">
        <f aca="false">COUNTIF('AC Estimate'!$C$5:$C$238,$A16)</f>
        <v>4</v>
      </c>
      <c r="C16" s="5" t="n">
        <f aca="false">SUMIFS('AC Estimate'!$D$5:$D$238,'AC Estimate'!$C$5:$C$238,$A16)</f>
        <v>55</v>
      </c>
      <c r="D16" s="5" t="n">
        <f aca="false">SUMIFS('AC Estimate'!$E$5:$E$238,'AC Estimate'!$C$5:$C$238,$A16)</f>
        <v>35</v>
      </c>
      <c r="E16" s="5" t="n">
        <f aca="false">SUMIFS('AC Estimate'!$F$5:$F$238,'AC Estimate'!$C$5:$C$238,$A16)</f>
        <v>6</v>
      </c>
      <c r="F16" s="5" t="n">
        <f aca="false">SUMIFS('AC Estimate'!$G$5:$G$238,'AC Estimate'!$C$5:$C$238,$A16)</f>
        <v>16</v>
      </c>
      <c r="G16" s="5" t="n">
        <f aca="false">SUMIFS('AC Estimate'!$H$5:$H$238,'AC Estimate'!$C$5:$C$238,$A16)</f>
        <v>94</v>
      </c>
      <c r="H16" s="5" t="n">
        <f aca="false">SUM(C16:G16)</f>
        <v>206</v>
      </c>
      <c r="I16" s="10" t="n">
        <f aca="false">IF($H16=0,0,C16/$H16)</f>
        <v>0.266990291262136</v>
      </c>
      <c r="J16" s="10" t="n">
        <f aca="false">IF($H16=0,0,D16/$H16)</f>
        <v>0.169902912621359</v>
      </c>
      <c r="K16" s="10" t="n">
        <f aca="false">IF($H16=0,0,E16/$H16)</f>
        <v>0.029126213592233</v>
      </c>
      <c r="L16" s="10" t="n">
        <f aca="false">IF($H16=0,0,F16/$H16)</f>
        <v>0.0776699029126214</v>
      </c>
      <c r="M16" s="10" t="n">
        <f aca="false">IF($H16=0,0,G16/$H16)</f>
        <v>0.456310679611651</v>
      </c>
      <c r="N16" s="0" t="str">
        <f aca="false">INDEX({"AIADMK+","DMK+","NOTA","NTK","TVK"},MATCH(MAX(I16:M16),I16:M16,0))</f>
        <v>TVK</v>
      </c>
      <c r="O16" s="5" t="n">
        <f aca="false">COUNTIFS('AC Estimate'!$C$5:$C$238,$A16,'AC Estimate'!$P$5:$P$238,"TVK")</f>
        <v>4</v>
      </c>
      <c r="P16" s="5" t="n">
        <f aca="false">COUNTIFS('AC Estimate'!$C$5:$C$238,$A16,'AC Estimate'!$P$5:$P$238,"AIADMK+")</f>
        <v>0</v>
      </c>
      <c r="Q16" s="5" t="n">
        <f aca="false">COUNTIFS('AC Estimate'!$C$5:$C$238,$A16,'AC Estimate'!$P$5:$P$238,"DMK+")</f>
        <v>0</v>
      </c>
      <c r="R16" s="5" t="n">
        <f aca="false">COUNTIFS('AC Estimate'!$C$5:$C$238,$A16,'AC Estimate'!$R$5:$R$238,"TVK")</f>
        <v>1</v>
      </c>
      <c r="S16" s="5" t="n">
        <f aca="false">COUNTIFS('AC Estimate'!$C$5:$C$238,$A16,'AC Estimate'!$R$5:$R$238,"AIADMK+")</f>
        <v>1</v>
      </c>
      <c r="T16" s="5" t="n">
        <f aca="false">COUNTIFS('AC Estimate'!$C$5:$C$238,$A16,'AC Estimate'!$R$5:$R$238,"DMK+")</f>
        <v>2</v>
      </c>
      <c r="U16" s="6" t="n">
        <f aca="false">R16-O16</f>
        <v>-3</v>
      </c>
      <c r="V16" s="6" t="n">
        <f aca="false">S16-P16</f>
        <v>1</v>
      </c>
      <c r="W16" s="6" t="n">
        <f aca="false">T16-Q16</f>
        <v>2</v>
      </c>
      <c r="X16" s="5" t="n">
        <f aca="false">COUNTIFS('AC Estimate'!$C$5:$C$238,$A16,'AC Estimate'!$S$5:$S$238,"Yes")</f>
        <v>1</v>
      </c>
      <c r="Y16" s="36" t="str">
        <f aca="false">IF(COUNTIF(O16:Q16,MAX(O16:Q16))&gt;1,"Tie",INDEX({"TVK","AIADMK+","DMK+"},MATCH(MAX(O16:Q16),O16:Q16,0)))</f>
        <v>TVK</v>
      </c>
      <c r="Z16" s="36" t="str">
        <f aca="false">IF(COUNTIF(R16:T16,MAX(R16:T16))&gt;1,"Tie",INDEX({"TVK","AIADMK+","DMK+"},MATCH(MAX(R16:T16),R16:T16,0)))</f>
        <v>DMK+</v>
      </c>
      <c r="AA16" s="0" t="str">
        <f aca="false">IF(OR(Y16="Tie",Z16="Tie"),"Partly",IF(Y16=Z16,"Yes","No"))</f>
        <v>No</v>
      </c>
      <c r="AB16" s="7" t="n">
        <f aca="false">COUNTIFS('AC Estimate'!$C$5:$C$238,$A16,'AC Estimate'!$AK$5:$AK$238,"TVK")</f>
        <v>1</v>
      </c>
      <c r="AC16" s="7" t="n">
        <f aca="false">COUNTIFS('AC Estimate'!$C$5:$C$238,$A16,'AC Estimate'!$AK$5:$AK$238,"AIADMK+")</f>
        <v>1</v>
      </c>
      <c r="AD16" s="7" t="n">
        <f aca="false">COUNTIFS('AC Estimate'!$C$5:$C$238,$A16,'AC Estimate'!$AK$5:$AK$238,"DMK+")</f>
        <v>2</v>
      </c>
      <c r="AE16" s="7" t="n">
        <f aca="false">COUNTIFS('AC Estimate'!$C$5:$C$238,$A16,'AC Estimate'!$AL$5:$AL$238,"Yes")</f>
        <v>1</v>
      </c>
      <c r="AF16" s="7" t="n">
        <f aca="false">ABS(R16-AB16)+ABS(S16-AC16)+ABS(T16-AD16)</f>
        <v>0</v>
      </c>
      <c r="AG16" s="7" t="n">
        <f aca="false">ABS(U16)+ABS(V16)+ABS(W16)</f>
        <v>6</v>
      </c>
      <c r="AH16" s="7" t="n">
        <f aca="false">R16-AB16</f>
        <v>0</v>
      </c>
      <c r="AI16" s="7" t="n">
        <f aca="false">S16-AC16</f>
        <v>0</v>
      </c>
      <c r="AJ16" s="7" t="n">
        <f aca="false">T16-AD16</f>
        <v>0</v>
      </c>
      <c r="AK16" s="7" t="str">
        <f aca="false">IF(MAX(ABS(AH16),ABS(AI16),ABS(AJ16))&lt;=Calibration!$B$3,"Yes","No")</f>
        <v>Yes</v>
      </c>
    </row>
    <row r="17" customFormat="false" ht="15" hidden="false" customHeight="false" outlineLevel="0" collapsed="false">
      <c r="A17" s="4" t="s">
        <v>116</v>
      </c>
      <c r="B17" s="5" t="n">
        <f aca="false">COUNTIF('AC Estimate'!$C$5:$C$238,$A17)</f>
        <v>6</v>
      </c>
      <c r="C17" s="5" t="n">
        <f aca="false">SUMIFS('AC Estimate'!$D$5:$D$238,'AC Estimate'!$C$5:$C$238,$A17)</f>
        <v>100</v>
      </c>
      <c r="D17" s="5" t="n">
        <f aca="false">SUMIFS('AC Estimate'!$E$5:$E$238,'AC Estimate'!$C$5:$C$238,$A17)</f>
        <v>60</v>
      </c>
      <c r="E17" s="5" t="n">
        <f aca="false">SUMIFS('AC Estimate'!$F$5:$F$238,'AC Estimate'!$C$5:$C$238,$A17)</f>
        <v>3</v>
      </c>
      <c r="F17" s="5" t="n">
        <f aca="false">SUMIFS('AC Estimate'!$G$5:$G$238,'AC Estimate'!$C$5:$C$238,$A17)</f>
        <v>26</v>
      </c>
      <c r="G17" s="5" t="n">
        <f aca="false">SUMIFS('AC Estimate'!$H$5:$H$238,'AC Estimate'!$C$5:$C$238,$A17)</f>
        <v>138</v>
      </c>
      <c r="H17" s="5" t="n">
        <f aca="false">SUM(C17:G17)</f>
        <v>327</v>
      </c>
      <c r="I17" s="10" t="n">
        <f aca="false">IF($H17=0,0,C17/$H17)</f>
        <v>0.305810397553517</v>
      </c>
      <c r="J17" s="10" t="n">
        <f aca="false">IF($H17=0,0,D17/$H17)</f>
        <v>0.18348623853211</v>
      </c>
      <c r="K17" s="10" t="n">
        <f aca="false">IF($H17=0,0,E17/$H17)</f>
        <v>0.00917431192660551</v>
      </c>
      <c r="L17" s="10" t="n">
        <f aca="false">IF($H17=0,0,F17/$H17)</f>
        <v>0.0795107033639144</v>
      </c>
      <c r="M17" s="10" t="n">
        <f aca="false">IF($H17=0,0,G17/$H17)</f>
        <v>0.422018348623853</v>
      </c>
      <c r="N17" s="0" t="str">
        <f aca="false">INDEX({"AIADMK+","DMK+","NOTA","NTK","TVK"},MATCH(MAX(I17:M17),I17:M17,0))</f>
        <v>TVK</v>
      </c>
      <c r="O17" s="5" t="n">
        <f aca="false">COUNTIFS('AC Estimate'!$C$5:$C$238,$A17,'AC Estimate'!$P$5:$P$238,"TVK")</f>
        <v>4</v>
      </c>
      <c r="P17" s="5" t="n">
        <f aca="false">COUNTIFS('AC Estimate'!$C$5:$C$238,$A17,'AC Estimate'!$P$5:$P$238,"AIADMK+")</f>
        <v>2</v>
      </c>
      <c r="Q17" s="5" t="n">
        <f aca="false">COUNTIFS('AC Estimate'!$C$5:$C$238,$A17,'AC Estimate'!$P$5:$P$238,"DMK+")</f>
        <v>0</v>
      </c>
      <c r="R17" s="5" t="n">
        <f aca="false">COUNTIFS('AC Estimate'!$C$5:$C$238,$A17,'AC Estimate'!$R$5:$R$238,"TVK")</f>
        <v>2</v>
      </c>
      <c r="S17" s="5" t="n">
        <f aca="false">COUNTIFS('AC Estimate'!$C$5:$C$238,$A17,'AC Estimate'!$R$5:$R$238,"AIADMK+")</f>
        <v>2</v>
      </c>
      <c r="T17" s="5" t="n">
        <f aca="false">COUNTIFS('AC Estimate'!$C$5:$C$238,$A17,'AC Estimate'!$R$5:$R$238,"DMK+")</f>
        <v>2</v>
      </c>
      <c r="U17" s="6" t="n">
        <f aca="false">R17-O17</f>
        <v>-2</v>
      </c>
      <c r="V17" s="6" t="n">
        <f aca="false">S17-P17</f>
        <v>0</v>
      </c>
      <c r="W17" s="6" t="n">
        <f aca="false">T17-Q17</f>
        <v>2</v>
      </c>
      <c r="X17" s="5" t="n">
        <f aca="false">COUNTIFS('AC Estimate'!$C$5:$C$238,$A17,'AC Estimate'!$S$5:$S$238,"Yes")</f>
        <v>3</v>
      </c>
      <c r="Y17" s="36" t="str">
        <f aca="false">IF(COUNTIF(O17:Q17,MAX(O17:Q17))&gt;1,"Tie",INDEX({"TVK","AIADMK+","DMK+"},MATCH(MAX(O17:Q17),O17:Q17,0)))</f>
        <v>TVK</v>
      </c>
      <c r="Z17" s="36" t="str">
        <f aca="false">IF(COUNTIF(R17:T17,MAX(R17:T17))&gt;1,"Tie",INDEX({"TVK","AIADMK+","DMK+"},MATCH(MAX(R17:T17),R17:T17,0)))</f>
        <v>Tie</v>
      </c>
      <c r="AA17" s="0" t="str">
        <f aca="false">IF(OR(Y17="Tie",Z17="Tie"),"Partly",IF(Y17=Z17,"Yes","No"))</f>
        <v>Partly</v>
      </c>
      <c r="AB17" s="7" t="n">
        <f aca="false">COUNTIFS('AC Estimate'!$C$5:$C$238,$A17,'AC Estimate'!$AK$5:$AK$238,"TVK")</f>
        <v>2</v>
      </c>
      <c r="AC17" s="7" t="n">
        <f aca="false">COUNTIFS('AC Estimate'!$C$5:$C$238,$A17,'AC Estimate'!$AK$5:$AK$238,"AIADMK+")</f>
        <v>2</v>
      </c>
      <c r="AD17" s="7" t="n">
        <f aca="false">COUNTIFS('AC Estimate'!$C$5:$C$238,$A17,'AC Estimate'!$AK$5:$AK$238,"DMK+")</f>
        <v>2</v>
      </c>
      <c r="AE17" s="7" t="n">
        <f aca="false">COUNTIFS('AC Estimate'!$C$5:$C$238,$A17,'AC Estimate'!$AL$5:$AL$238,"Yes")</f>
        <v>2</v>
      </c>
      <c r="AF17" s="7" t="n">
        <f aca="false">ABS(R17-AB17)+ABS(S17-AC17)+ABS(T17-AD17)</f>
        <v>0</v>
      </c>
      <c r="AG17" s="7" t="n">
        <f aca="false">ABS(U17)+ABS(V17)+ABS(W17)</f>
        <v>4</v>
      </c>
      <c r="AH17" s="7" t="n">
        <f aca="false">R17-AB17</f>
        <v>0</v>
      </c>
      <c r="AI17" s="7" t="n">
        <f aca="false">S17-AC17</f>
        <v>0</v>
      </c>
      <c r="AJ17" s="7" t="n">
        <f aca="false">T17-AD17</f>
        <v>0</v>
      </c>
      <c r="AK17" s="7" t="str">
        <f aca="false">IF(MAX(ABS(AH17),ABS(AI17),ABS(AJ17))&lt;=Calibration!$B$3,"Yes","No")</f>
        <v>Yes</v>
      </c>
    </row>
    <row r="18" customFormat="false" ht="15" hidden="false" customHeight="false" outlineLevel="0" collapsed="false">
      <c r="A18" s="4" t="s">
        <v>118</v>
      </c>
      <c r="B18" s="5" t="n">
        <f aca="false">COUNTIF('AC Estimate'!$C$5:$C$238,$A18)</f>
        <v>10</v>
      </c>
      <c r="C18" s="5" t="n">
        <f aca="false">SUMIFS('AC Estimate'!$D$5:$D$238,'AC Estimate'!$C$5:$C$238,$A18)</f>
        <v>118</v>
      </c>
      <c r="D18" s="5" t="n">
        <f aca="false">SUMIFS('AC Estimate'!$E$5:$E$238,'AC Estimate'!$C$5:$C$238,$A18)</f>
        <v>156</v>
      </c>
      <c r="E18" s="5" t="n">
        <f aca="false">SUMIFS('AC Estimate'!$F$5:$F$238,'AC Estimate'!$C$5:$C$238,$A18)</f>
        <v>2</v>
      </c>
      <c r="F18" s="5" t="n">
        <f aca="false">SUMIFS('AC Estimate'!$G$5:$G$238,'AC Estimate'!$C$5:$C$238,$A18)</f>
        <v>54</v>
      </c>
      <c r="G18" s="5" t="n">
        <f aca="false">SUMIFS('AC Estimate'!$H$5:$H$238,'AC Estimate'!$C$5:$C$238,$A18)</f>
        <v>184</v>
      </c>
      <c r="H18" s="5" t="n">
        <f aca="false">SUM(C18:G18)</f>
        <v>514</v>
      </c>
      <c r="I18" s="10" t="n">
        <f aca="false">IF($H18=0,0,C18/$H18)</f>
        <v>0.229571984435798</v>
      </c>
      <c r="J18" s="10" t="n">
        <f aca="false">IF($H18=0,0,D18/$H18)</f>
        <v>0.303501945525292</v>
      </c>
      <c r="K18" s="10" t="n">
        <f aca="false">IF($H18=0,0,E18/$H18)</f>
        <v>0.00389105058365759</v>
      </c>
      <c r="L18" s="10" t="n">
        <f aca="false">IF($H18=0,0,F18/$H18)</f>
        <v>0.105058365758755</v>
      </c>
      <c r="M18" s="10" t="n">
        <f aca="false">IF($H18=0,0,G18/$H18)</f>
        <v>0.357976653696498</v>
      </c>
      <c r="N18" s="0" t="str">
        <f aca="false">INDEX({"AIADMK+","DMK+","NOTA","NTK","TVK"},MATCH(MAX(I18:M18),I18:M18,0))</f>
        <v>TVK</v>
      </c>
      <c r="O18" s="5" t="n">
        <f aca="false">COUNTIFS('AC Estimate'!$C$5:$C$238,$A18,'AC Estimate'!$P$5:$P$238,"TVK")</f>
        <v>3</v>
      </c>
      <c r="P18" s="5" t="n">
        <f aca="false">COUNTIFS('AC Estimate'!$C$5:$C$238,$A18,'AC Estimate'!$P$5:$P$238,"AIADMK+")</f>
        <v>1</v>
      </c>
      <c r="Q18" s="5" t="n">
        <f aca="false">COUNTIFS('AC Estimate'!$C$5:$C$238,$A18,'AC Estimate'!$P$5:$P$238,"DMK+")</f>
        <v>6</v>
      </c>
      <c r="R18" s="5" t="n">
        <f aca="false">COUNTIFS('AC Estimate'!$C$5:$C$238,$A18,'AC Estimate'!$R$5:$R$238,"TVK")</f>
        <v>8</v>
      </c>
      <c r="S18" s="5" t="n">
        <f aca="false">COUNTIFS('AC Estimate'!$C$5:$C$238,$A18,'AC Estimate'!$R$5:$R$238,"AIADMK+")</f>
        <v>0</v>
      </c>
      <c r="T18" s="5" t="n">
        <f aca="false">COUNTIFS('AC Estimate'!$C$5:$C$238,$A18,'AC Estimate'!$R$5:$R$238,"DMK+")</f>
        <v>2</v>
      </c>
      <c r="U18" s="6" t="n">
        <f aca="false">R18-O18</f>
        <v>5</v>
      </c>
      <c r="V18" s="6" t="n">
        <f aca="false">S18-P18</f>
        <v>-1</v>
      </c>
      <c r="W18" s="6" t="n">
        <f aca="false">T18-Q18</f>
        <v>-4</v>
      </c>
      <c r="X18" s="5" t="n">
        <f aca="false">COUNTIFS('AC Estimate'!$C$5:$C$238,$A18,'AC Estimate'!$S$5:$S$238,"Yes")</f>
        <v>3</v>
      </c>
      <c r="Y18" s="36" t="str">
        <f aca="false">IF(COUNTIF(O18:Q18,MAX(O18:Q18))&gt;1,"Tie",INDEX({"TVK","AIADMK+","DMK+"},MATCH(MAX(O18:Q18),O18:Q18,0)))</f>
        <v>DMK+</v>
      </c>
      <c r="Z18" s="36" t="str">
        <f aca="false">IF(COUNTIF(R18:T18,MAX(R18:T18))&gt;1,"Tie",INDEX({"TVK","AIADMK+","DMK+"},MATCH(MAX(R18:T18),R18:T18,0)))</f>
        <v>TVK</v>
      </c>
      <c r="AA18" s="0" t="str">
        <f aca="false">IF(OR(Y18="Tie",Z18="Tie"),"Partly",IF(Y18=Z18,"Yes","No"))</f>
        <v>No</v>
      </c>
      <c r="AB18" s="7" t="n">
        <f aca="false">COUNTIFS('AC Estimate'!$C$5:$C$238,$A18,'AC Estimate'!$AK$5:$AK$238,"TVK")</f>
        <v>8</v>
      </c>
      <c r="AC18" s="7" t="n">
        <f aca="false">COUNTIFS('AC Estimate'!$C$5:$C$238,$A18,'AC Estimate'!$AK$5:$AK$238,"AIADMK+")</f>
        <v>0</v>
      </c>
      <c r="AD18" s="7" t="n">
        <f aca="false">COUNTIFS('AC Estimate'!$C$5:$C$238,$A18,'AC Estimate'!$AK$5:$AK$238,"DMK+")</f>
        <v>2</v>
      </c>
      <c r="AE18" s="7" t="n">
        <f aca="false">COUNTIFS('AC Estimate'!$C$5:$C$238,$A18,'AC Estimate'!$AL$5:$AL$238,"Yes")</f>
        <v>8</v>
      </c>
      <c r="AF18" s="7" t="n">
        <f aca="false">ABS(R18-AB18)+ABS(S18-AC18)+ABS(T18-AD18)</f>
        <v>0</v>
      </c>
      <c r="AG18" s="7" t="n">
        <f aca="false">ABS(U18)+ABS(V18)+ABS(W18)</f>
        <v>10</v>
      </c>
      <c r="AH18" s="7" t="n">
        <f aca="false">R18-AB18</f>
        <v>0</v>
      </c>
      <c r="AI18" s="7" t="n">
        <f aca="false">S18-AC18</f>
        <v>0</v>
      </c>
      <c r="AJ18" s="7" t="n">
        <f aca="false">T18-AD18</f>
        <v>0</v>
      </c>
      <c r="AK18" s="7" t="str">
        <f aca="false">IF(MAX(ABS(AH18),ABS(AI18),ABS(AJ18))&lt;=Calibration!$B$3,"Yes","No")</f>
        <v>Yes</v>
      </c>
    </row>
    <row r="19" customFormat="false" ht="15" hidden="false" customHeight="false" outlineLevel="0" collapsed="false">
      <c r="A19" s="4" t="s">
        <v>120</v>
      </c>
      <c r="B19" s="5" t="n">
        <f aca="false">COUNTIF('AC Estimate'!$C$5:$C$238,$A19)</f>
        <v>3</v>
      </c>
      <c r="C19" s="5" t="n">
        <f aca="false">SUMIFS('AC Estimate'!$D$5:$D$238,'AC Estimate'!$C$5:$C$238,$A19)</f>
        <v>50</v>
      </c>
      <c r="D19" s="5" t="n">
        <f aca="false">SUMIFS('AC Estimate'!$E$5:$E$238,'AC Estimate'!$C$5:$C$238,$A19)</f>
        <v>30</v>
      </c>
      <c r="E19" s="5" t="n">
        <f aca="false">SUMIFS('AC Estimate'!$F$5:$F$238,'AC Estimate'!$C$5:$C$238,$A19)</f>
        <v>1</v>
      </c>
      <c r="F19" s="5" t="n">
        <f aca="false">SUMIFS('AC Estimate'!$G$5:$G$238,'AC Estimate'!$C$5:$C$238,$A19)</f>
        <v>10</v>
      </c>
      <c r="G19" s="5" t="n">
        <f aca="false">SUMIFS('AC Estimate'!$H$5:$H$238,'AC Estimate'!$C$5:$C$238,$A19)</f>
        <v>30</v>
      </c>
      <c r="H19" s="5" t="n">
        <f aca="false">SUM(C19:G19)</f>
        <v>121</v>
      </c>
      <c r="I19" s="10" t="n">
        <f aca="false">IF($H19=0,0,C19/$H19)</f>
        <v>0.413223140495868</v>
      </c>
      <c r="J19" s="10" t="n">
        <f aca="false">IF($H19=0,0,D19/$H19)</f>
        <v>0.247933884297521</v>
      </c>
      <c r="K19" s="10" t="n">
        <f aca="false">IF($H19=0,0,E19/$H19)</f>
        <v>0.00826446280991736</v>
      </c>
      <c r="L19" s="10" t="n">
        <f aca="false">IF($H19=0,0,F19/$H19)</f>
        <v>0.0826446280991736</v>
      </c>
      <c r="M19" s="10" t="n">
        <f aca="false">IF($H19=0,0,G19/$H19)</f>
        <v>0.247933884297521</v>
      </c>
      <c r="N19" s="0" t="str">
        <f aca="false">INDEX({"AIADMK+","DMK+","NOTA","NTK","TVK"},MATCH(MAX(I19:M19),I19:M19,0))</f>
        <v>AIADMK+</v>
      </c>
      <c r="O19" s="5" t="n">
        <f aca="false">COUNTIFS('AC Estimate'!$C$5:$C$238,$A19,'AC Estimate'!$P$5:$P$238,"TVK")</f>
        <v>0</v>
      </c>
      <c r="P19" s="5" t="n">
        <f aca="false">COUNTIFS('AC Estimate'!$C$5:$C$238,$A19,'AC Estimate'!$P$5:$P$238,"AIADMK+")</f>
        <v>3</v>
      </c>
      <c r="Q19" s="5" t="n">
        <f aca="false">COUNTIFS('AC Estimate'!$C$5:$C$238,$A19,'AC Estimate'!$P$5:$P$238,"DMK+")</f>
        <v>0</v>
      </c>
      <c r="R19" s="5" t="n">
        <f aca="false">COUNTIFS('AC Estimate'!$C$5:$C$238,$A19,'AC Estimate'!$R$5:$R$238,"TVK")</f>
        <v>0</v>
      </c>
      <c r="S19" s="5" t="n">
        <f aca="false">COUNTIFS('AC Estimate'!$C$5:$C$238,$A19,'AC Estimate'!$R$5:$R$238,"AIADMK+")</f>
        <v>0</v>
      </c>
      <c r="T19" s="5" t="n">
        <f aca="false">COUNTIFS('AC Estimate'!$C$5:$C$238,$A19,'AC Estimate'!$R$5:$R$238,"DMK+")</f>
        <v>3</v>
      </c>
      <c r="U19" s="6" t="n">
        <f aca="false">R19-O19</f>
        <v>0</v>
      </c>
      <c r="V19" s="6" t="n">
        <f aca="false">S19-P19</f>
        <v>-3</v>
      </c>
      <c r="W19" s="6" t="n">
        <f aca="false">T19-Q19</f>
        <v>3</v>
      </c>
      <c r="X19" s="5" t="n">
        <f aca="false">COUNTIFS('AC Estimate'!$C$5:$C$238,$A19,'AC Estimate'!$S$5:$S$238,"Yes")</f>
        <v>0</v>
      </c>
      <c r="Y19" s="36" t="str">
        <f aca="false">IF(COUNTIF(O19:Q19,MAX(O19:Q19))&gt;1,"Tie",INDEX({"TVK","AIADMK+","DMK+"},MATCH(MAX(O19:Q19),O19:Q19,0)))</f>
        <v>AIADMK+</v>
      </c>
      <c r="Z19" s="36" t="str">
        <f aca="false">IF(COUNTIF(R19:T19,MAX(R19:T19))&gt;1,"Tie",INDEX({"TVK","AIADMK+","DMK+"},MATCH(MAX(R19:T19),R19:T19,0)))</f>
        <v>DMK+</v>
      </c>
      <c r="AA19" s="0" t="str">
        <f aca="false">IF(OR(Y19="Tie",Z19="Tie"),"Partly",IF(Y19=Z19,"Yes","No"))</f>
        <v>No</v>
      </c>
      <c r="AB19" s="7" t="n">
        <f aca="false">COUNTIFS('AC Estimate'!$C$5:$C$238,$A19,'AC Estimate'!$AK$5:$AK$238,"TVK")</f>
        <v>0</v>
      </c>
      <c r="AC19" s="7" t="n">
        <f aca="false">COUNTIFS('AC Estimate'!$C$5:$C$238,$A19,'AC Estimate'!$AK$5:$AK$238,"AIADMK+")</f>
        <v>0</v>
      </c>
      <c r="AD19" s="7" t="n">
        <f aca="false">COUNTIFS('AC Estimate'!$C$5:$C$238,$A19,'AC Estimate'!$AK$5:$AK$238,"DMK+")</f>
        <v>3</v>
      </c>
      <c r="AE19" s="7" t="n">
        <f aca="false">COUNTIFS('AC Estimate'!$C$5:$C$238,$A19,'AC Estimate'!$AL$5:$AL$238,"Yes")</f>
        <v>3</v>
      </c>
      <c r="AF19" s="7" t="n">
        <f aca="false">ABS(R19-AB19)+ABS(S19-AC19)+ABS(T19-AD19)</f>
        <v>0</v>
      </c>
      <c r="AG19" s="7" t="n">
        <f aca="false">ABS(U19)+ABS(V19)+ABS(W19)</f>
        <v>6</v>
      </c>
      <c r="AH19" s="7" t="n">
        <f aca="false">R19-AB19</f>
        <v>0</v>
      </c>
      <c r="AI19" s="7" t="n">
        <f aca="false">S19-AC19</f>
        <v>0</v>
      </c>
      <c r="AJ19" s="7" t="n">
        <f aca="false">T19-AD19</f>
        <v>0</v>
      </c>
      <c r="AK19" s="7" t="str">
        <f aca="false">IF(MAX(ABS(AH19),ABS(AI19),ABS(AJ19))&lt;=Calibration!$B$3,"Yes","No")</f>
        <v>Yes</v>
      </c>
    </row>
    <row r="20" customFormat="false" ht="15" hidden="false" customHeight="false" outlineLevel="0" collapsed="false">
      <c r="A20" s="4" t="s">
        <v>122</v>
      </c>
      <c r="B20" s="5" t="n">
        <f aca="false">COUNTIF('AC Estimate'!$C$5:$C$238,$A20)</f>
        <v>3</v>
      </c>
      <c r="C20" s="5" t="n">
        <f aca="false">SUMIFS('AC Estimate'!$D$5:$D$238,'AC Estimate'!$C$5:$C$238,$A20)</f>
        <v>29</v>
      </c>
      <c r="D20" s="5" t="n">
        <f aca="false">SUMIFS('AC Estimate'!$E$5:$E$238,'AC Estimate'!$C$5:$C$238,$A20)</f>
        <v>54</v>
      </c>
      <c r="E20" s="5" t="n">
        <f aca="false">SUMIFS('AC Estimate'!$F$5:$F$238,'AC Estimate'!$C$5:$C$238,$A20)</f>
        <v>0</v>
      </c>
      <c r="F20" s="5" t="n">
        <f aca="false">SUMIFS('AC Estimate'!$G$5:$G$238,'AC Estimate'!$C$5:$C$238,$A20)</f>
        <v>22</v>
      </c>
      <c r="G20" s="5" t="n">
        <f aca="false">SUMIFS('AC Estimate'!$H$5:$H$238,'AC Estimate'!$C$5:$C$238,$A20)</f>
        <v>39</v>
      </c>
      <c r="H20" s="5" t="n">
        <f aca="false">SUM(C20:G20)</f>
        <v>144</v>
      </c>
      <c r="I20" s="10" t="n">
        <f aca="false">IF($H20=0,0,C20/$H20)</f>
        <v>0.201388888888889</v>
      </c>
      <c r="J20" s="10" t="n">
        <f aca="false">IF($H20=0,0,D20/$H20)</f>
        <v>0.375</v>
      </c>
      <c r="K20" s="10" t="n">
        <f aca="false">IF($H20=0,0,E20/$H20)</f>
        <v>0</v>
      </c>
      <c r="L20" s="10" t="n">
        <f aca="false">IF($H20=0,0,F20/$H20)</f>
        <v>0.152777777777778</v>
      </c>
      <c r="M20" s="10" t="n">
        <f aca="false">IF($H20=0,0,G20/$H20)</f>
        <v>0.270833333333333</v>
      </c>
      <c r="N20" s="0" t="str">
        <f aca="false">INDEX({"AIADMK+","DMK+","NOTA","NTK","TVK"},MATCH(MAX(I20:M20),I20:M20,0))</f>
        <v>DMK+</v>
      </c>
      <c r="O20" s="5" t="n">
        <f aca="false">COUNTIFS('AC Estimate'!$C$5:$C$238,$A20,'AC Estimate'!$P$5:$P$238,"TVK")</f>
        <v>0</v>
      </c>
      <c r="P20" s="5" t="n">
        <f aca="false">COUNTIFS('AC Estimate'!$C$5:$C$238,$A20,'AC Estimate'!$P$5:$P$238,"AIADMK+")</f>
        <v>0</v>
      </c>
      <c r="Q20" s="5" t="n">
        <f aca="false">COUNTIFS('AC Estimate'!$C$5:$C$238,$A20,'AC Estimate'!$P$5:$P$238,"DMK+")</f>
        <v>3</v>
      </c>
      <c r="R20" s="5" t="n">
        <f aca="false">COUNTIFS('AC Estimate'!$C$5:$C$238,$A20,'AC Estimate'!$R$5:$R$238,"TVK")</f>
        <v>0</v>
      </c>
      <c r="S20" s="5" t="n">
        <f aca="false">COUNTIFS('AC Estimate'!$C$5:$C$238,$A20,'AC Estimate'!$R$5:$R$238,"AIADMK+")</f>
        <v>1</v>
      </c>
      <c r="T20" s="5" t="n">
        <f aca="false">COUNTIFS('AC Estimate'!$C$5:$C$238,$A20,'AC Estimate'!$R$5:$R$238,"DMK+")</f>
        <v>2</v>
      </c>
      <c r="U20" s="6" t="n">
        <f aca="false">R20-O20</f>
        <v>0</v>
      </c>
      <c r="V20" s="6" t="n">
        <f aca="false">S20-P20</f>
        <v>1</v>
      </c>
      <c r="W20" s="6" t="n">
        <f aca="false">T20-Q20</f>
        <v>-1</v>
      </c>
      <c r="X20" s="5" t="n">
        <f aca="false">COUNTIFS('AC Estimate'!$C$5:$C$238,$A20,'AC Estimate'!$S$5:$S$238,"Yes")</f>
        <v>2</v>
      </c>
      <c r="Y20" s="36" t="str">
        <f aca="false">IF(COUNTIF(O20:Q20,MAX(O20:Q20))&gt;1,"Tie",INDEX({"TVK","AIADMK+","DMK+"},MATCH(MAX(O20:Q20),O20:Q20,0)))</f>
        <v>DMK+</v>
      </c>
      <c r="Z20" s="36" t="str">
        <f aca="false">IF(COUNTIF(R20:T20,MAX(R20:T20))&gt;1,"Tie",INDEX({"TVK","AIADMK+","DMK+"},MATCH(MAX(R20:T20),R20:T20,0)))</f>
        <v>DMK+</v>
      </c>
      <c r="AA20" s="0" t="str">
        <f aca="false">IF(OR(Y20="Tie",Z20="Tie"),"Partly",IF(Y20=Z20,"Yes","No"))</f>
        <v>Yes</v>
      </c>
      <c r="AB20" s="7" t="n">
        <f aca="false">COUNTIFS('AC Estimate'!$C$5:$C$238,$A20,'AC Estimate'!$AK$5:$AK$238,"TVK")</f>
        <v>0</v>
      </c>
      <c r="AC20" s="7" t="n">
        <f aca="false">COUNTIFS('AC Estimate'!$C$5:$C$238,$A20,'AC Estimate'!$AK$5:$AK$238,"AIADMK+")</f>
        <v>1</v>
      </c>
      <c r="AD20" s="7" t="n">
        <f aca="false">COUNTIFS('AC Estimate'!$C$5:$C$238,$A20,'AC Estimate'!$AK$5:$AK$238,"DMK+")</f>
        <v>2</v>
      </c>
      <c r="AE20" s="7" t="n">
        <f aca="false">COUNTIFS('AC Estimate'!$C$5:$C$238,$A20,'AC Estimate'!$AL$5:$AL$238,"Yes")</f>
        <v>3</v>
      </c>
      <c r="AF20" s="7" t="n">
        <f aca="false">ABS(R20-AB20)+ABS(S20-AC20)+ABS(T20-AD20)</f>
        <v>0</v>
      </c>
      <c r="AG20" s="7" t="n">
        <f aca="false">ABS(U20)+ABS(V20)+ABS(W20)</f>
        <v>2</v>
      </c>
      <c r="AH20" s="7" t="n">
        <f aca="false">R20-AB20</f>
        <v>0</v>
      </c>
      <c r="AI20" s="7" t="n">
        <f aca="false">S20-AC20</f>
        <v>0</v>
      </c>
      <c r="AJ20" s="7" t="n">
        <f aca="false">T20-AD20</f>
        <v>0</v>
      </c>
      <c r="AK20" s="7" t="str">
        <f aca="false">IF(MAX(ABS(AH20),ABS(AI20),ABS(AJ20))&lt;=Calibration!$B$3,"Yes","No")</f>
        <v>Yes</v>
      </c>
    </row>
    <row r="21" customFormat="false" ht="15" hidden="false" customHeight="false" outlineLevel="0" collapsed="false">
      <c r="A21" s="4" t="s">
        <v>124</v>
      </c>
      <c r="B21" s="5" t="n">
        <f aca="false">COUNTIF('AC Estimate'!$C$5:$C$238,$A21)</f>
        <v>6</v>
      </c>
      <c r="C21" s="5" t="n">
        <f aca="false">SUMIFS('AC Estimate'!$D$5:$D$238,'AC Estimate'!$C$5:$C$238,$A21)</f>
        <v>79</v>
      </c>
      <c r="D21" s="5" t="n">
        <f aca="false">SUMIFS('AC Estimate'!$E$5:$E$238,'AC Estimate'!$C$5:$C$238,$A21)</f>
        <v>41</v>
      </c>
      <c r="E21" s="5" t="n">
        <f aca="false">SUMIFS('AC Estimate'!$F$5:$F$238,'AC Estimate'!$C$5:$C$238,$A21)</f>
        <v>1</v>
      </c>
      <c r="F21" s="5" t="n">
        <f aca="false">SUMIFS('AC Estimate'!$G$5:$G$238,'AC Estimate'!$C$5:$C$238,$A21)</f>
        <v>14</v>
      </c>
      <c r="G21" s="5" t="n">
        <f aca="false">SUMIFS('AC Estimate'!$H$5:$H$238,'AC Estimate'!$C$5:$C$238,$A21)</f>
        <v>79</v>
      </c>
      <c r="H21" s="5" t="n">
        <f aca="false">SUM(C21:G21)</f>
        <v>214</v>
      </c>
      <c r="I21" s="10" t="n">
        <f aca="false">IF($H21=0,0,C21/$H21)</f>
        <v>0.369158878504673</v>
      </c>
      <c r="J21" s="10" t="n">
        <f aca="false">IF($H21=0,0,D21/$H21)</f>
        <v>0.191588785046729</v>
      </c>
      <c r="K21" s="10" t="n">
        <f aca="false">IF($H21=0,0,E21/$H21)</f>
        <v>0.00467289719626168</v>
      </c>
      <c r="L21" s="10" t="n">
        <f aca="false">IF($H21=0,0,F21/$H21)</f>
        <v>0.0654205607476635</v>
      </c>
      <c r="M21" s="10" t="n">
        <f aca="false">IF($H21=0,0,G21/$H21)</f>
        <v>0.369158878504673</v>
      </c>
      <c r="N21" s="0" t="str">
        <f aca="false">INDEX({"AIADMK+","DMK+","NOTA","NTK","TVK"},MATCH(MAX(I21:M21),I21:M21,0))</f>
        <v>AIADMK+</v>
      </c>
      <c r="O21" s="5" t="n">
        <f aca="false">COUNTIFS('AC Estimate'!$C$5:$C$238,$A21,'AC Estimate'!$P$5:$P$238,"TVK")</f>
        <v>3</v>
      </c>
      <c r="P21" s="5" t="n">
        <f aca="false">COUNTIFS('AC Estimate'!$C$5:$C$238,$A21,'AC Estimate'!$P$5:$P$238,"AIADMK+")</f>
        <v>3</v>
      </c>
      <c r="Q21" s="5" t="n">
        <f aca="false">COUNTIFS('AC Estimate'!$C$5:$C$238,$A21,'AC Estimate'!$P$5:$P$238,"DMK+")</f>
        <v>0</v>
      </c>
      <c r="R21" s="5" t="n">
        <f aca="false">COUNTIFS('AC Estimate'!$C$5:$C$238,$A21,'AC Estimate'!$R$5:$R$238,"TVK")</f>
        <v>5</v>
      </c>
      <c r="S21" s="5" t="n">
        <f aca="false">COUNTIFS('AC Estimate'!$C$5:$C$238,$A21,'AC Estimate'!$R$5:$R$238,"AIADMK+")</f>
        <v>1</v>
      </c>
      <c r="T21" s="5" t="n">
        <f aca="false">COUNTIFS('AC Estimate'!$C$5:$C$238,$A21,'AC Estimate'!$R$5:$R$238,"DMK+")</f>
        <v>0</v>
      </c>
      <c r="U21" s="6" t="n">
        <f aca="false">R21-O21</f>
        <v>2</v>
      </c>
      <c r="V21" s="6" t="n">
        <f aca="false">S21-P21</f>
        <v>-2</v>
      </c>
      <c r="W21" s="6" t="n">
        <f aca="false">T21-Q21</f>
        <v>0</v>
      </c>
      <c r="X21" s="5" t="n">
        <f aca="false">COUNTIFS('AC Estimate'!$C$5:$C$238,$A21,'AC Estimate'!$S$5:$S$238,"Yes")</f>
        <v>2</v>
      </c>
      <c r="Y21" s="36" t="str">
        <f aca="false">IF(COUNTIF(O21:Q21,MAX(O21:Q21))&gt;1,"Tie",INDEX({"TVK","AIADMK+","DMK+"},MATCH(MAX(O21:Q21),O21:Q21,0)))</f>
        <v>Tie</v>
      </c>
      <c r="Z21" s="36" t="str">
        <f aca="false">IF(COUNTIF(R21:T21,MAX(R21:T21))&gt;1,"Tie",INDEX({"TVK","AIADMK+","DMK+"},MATCH(MAX(R21:T21),R21:T21,0)))</f>
        <v>TVK</v>
      </c>
      <c r="AA21" s="0" t="str">
        <f aca="false">IF(OR(Y21="Tie",Z21="Tie"),"Partly",IF(Y21=Z21,"Yes","No"))</f>
        <v>Partly</v>
      </c>
      <c r="AB21" s="7" t="n">
        <f aca="false">COUNTIFS('AC Estimate'!$C$5:$C$238,$A21,'AC Estimate'!$AK$5:$AK$238,"TVK")</f>
        <v>5</v>
      </c>
      <c r="AC21" s="7" t="n">
        <f aca="false">COUNTIFS('AC Estimate'!$C$5:$C$238,$A21,'AC Estimate'!$AK$5:$AK$238,"AIADMK+")</f>
        <v>1</v>
      </c>
      <c r="AD21" s="7" t="n">
        <f aca="false">COUNTIFS('AC Estimate'!$C$5:$C$238,$A21,'AC Estimate'!$AK$5:$AK$238,"DMK+")</f>
        <v>0</v>
      </c>
      <c r="AE21" s="7" t="n">
        <f aca="false">COUNTIFS('AC Estimate'!$C$5:$C$238,$A21,'AC Estimate'!$AL$5:$AL$238,"Yes")</f>
        <v>4</v>
      </c>
      <c r="AF21" s="7" t="n">
        <f aca="false">ABS(R21-AB21)+ABS(S21-AC21)+ABS(T21-AD21)</f>
        <v>0</v>
      </c>
      <c r="AG21" s="7" t="n">
        <f aca="false">ABS(U21)+ABS(V21)+ABS(W21)</f>
        <v>4</v>
      </c>
      <c r="AH21" s="7" t="n">
        <f aca="false">R21-AB21</f>
        <v>0</v>
      </c>
      <c r="AI21" s="7" t="n">
        <f aca="false">S21-AC21</f>
        <v>0</v>
      </c>
      <c r="AJ21" s="7" t="n">
        <f aca="false">T21-AD21</f>
        <v>0</v>
      </c>
      <c r="AK21" s="7" t="str">
        <f aca="false">IF(MAX(ABS(AH21),ABS(AI21),ABS(AJ21))&lt;=Calibration!$B$3,"Yes","No")</f>
        <v>Yes</v>
      </c>
    </row>
    <row r="22" customFormat="false" ht="15" hidden="false" customHeight="false" outlineLevel="0" collapsed="false">
      <c r="A22" s="4" t="s">
        <v>126</v>
      </c>
      <c r="B22" s="5" t="n">
        <f aca="false">COUNTIF('AC Estimate'!$C$5:$C$238,$A22)</f>
        <v>2</v>
      </c>
      <c r="C22" s="5" t="n">
        <f aca="false">SUMIFS('AC Estimate'!$D$5:$D$238,'AC Estimate'!$C$5:$C$238,$A22)</f>
        <v>22</v>
      </c>
      <c r="D22" s="5" t="n">
        <f aca="false">SUMIFS('AC Estimate'!$E$5:$E$238,'AC Estimate'!$C$5:$C$238,$A22)</f>
        <v>24</v>
      </c>
      <c r="E22" s="5" t="n">
        <f aca="false">SUMIFS('AC Estimate'!$F$5:$F$238,'AC Estimate'!$C$5:$C$238,$A22)</f>
        <v>0</v>
      </c>
      <c r="F22" s="5" t="n">
        <f aca="false">SUMIFS('AC Estimate'!$G$5:$G$238,'AC Estimate'!$C$5:$C$238,$A22)</f>
        <v>6</v>
      </c>
      <c r="G22" s="5" t="n">
        <f aca="false">SUMIFS('AC Estimate'!$H$5:$H$238,'AC Estimate'!$C$5:$C$238,$A22)</f>
        <v>26</v>
      </c>
      <c r="H22" s="5" t="n">
        <f aca="false">SUM(C22:G22)</f>
        <v>78</v>
      </c>
      <c r="I22" s="10" t="n">
        <f aca="false">IF($H22=0,0,C22/$H22)</f>
        <v>0.282051282051282</v>
      </c>
      <c r="J22" s="10" t="n">
        <f aca="false">IF($H22=0,0,D22/$H22)</f>
        <v>0.307692307692308</v>
      </c>
      <c r="K22" s="10" t="n">
        <f aca="false">IF($H22=0,0,E22/$H22)</f>
        <v>0</v>
      </c>
      <c r="L22" s="10" t="n">
        <f aca="false">IF($H22=0,0,F22/$H22)</f>
        <v>0.0769230769230769</v>
      </c>
      <c r="M22" s="10" t="n">
        <f aca="false">IF($H22=0,0,G22/$H22)</f>
        <v>0.333333333333333</v>
      </c>
      <c r="N22" s="0" t="str">
        <f aca="false">INDEX({"AIADMK+","DMK+","NOTA","NTK","TVK"},MATCH(MAX(I22:M22),I22:M22,0))</f>
        <v>TVK</v>
      </c>
      <c r="O22" s="5" t="n">
        <f aca="false">COUNTIFS('AC Estimate'!$C$5:$C$238,$A22,'AC Estimate'!$P$5:$P$238,"TVK")</f>
        <v>1</v>
      </c>
      <c r="P22" s="5" t="n">
        <f aca="false">COUNTIFS('AC Estimate'!$C$5:$C$238,$A22,'AC Estimate'!$P$5:$P$238,"AIADMK+")</f>
        <v>0</v>
      </c>
      <c r="Q22" s="5" t="n">
        <f aca="false">COUNTIFS('AC Estimate'!$C$5:$C$238,$A22,'AC Estimate'!$P$5:$P$238,"DMK+")</f>
        <v>1</v>
      </c>
      <c r="R22" s="5" t="n">
        <f aca="false">COUNTIFS('AC Estimate'!$C$5:$C$238,$A22,'AC Estimate'!$R$5:$R$238,"TVK")</f>
        <v>1</v>
      </c>
      <c r="S22" s="5" t="n">
        <f aca="false">COUNTIFS('AC Estimate'!$C$5:$C$238,$A22,'AC Estimate'!$R$5:$R$238,"AIADMK+")</f>
        <v>0</v>
      </c>
      <c r="T22" s="5" t="n">
        <f aca="false">COUNTIFS('AC Estimate'!$C$5:$C$238,$A22,'AC Estimate'!$R$5:$R$238,"DMK+")</f>
        <v>1</v>
      </c>
      <c r="U22" s="6" t="n">
        <f aca="false">R22-O22</f>
        <v>0</v>
      </c>
      <c r="V22" s="6" t="n">
        <f aca="false">S22-P22</f>
        <v>0</v>
      </c>
      <c r="W22" s="6" t="n">
        <f aca="false">T22-Q22</f>
        <v>0</v>
      </c>
      <c r="X22" s="5" t="n">
        <f aca="false">COUNTIFS('AC Estimate'!$C$5:$C$238,$A22,'AC Estimate'!$S$5:$S$238,"Yes")</f>
        <v>2</v>
      </c>
      <c r="Y22" s="36" t="str">
        <f aca="false">IF(COUNTIF(O22:Q22,MAX(O22:Q22))&gt;1,"Tie",INDEX({"TVK","AIADMK+","DMK+"},MATCH(MAX(O22:Q22),O22:Q22,0)))</f>
        <v>Tie</v>
      </c>
      <c r="Z22" s="36" t="str">
        <f aca="false">IF(COUNTIF(R22:T22,MAX(R22:T22))&gt;1,"Tie",INDEX({"TVK","AIADMK+","DMK+"},MATCH(MAX(R22:T22),R22:T22,0)))</f>
        <v>Tie</v>
      </c>
      <c r="AA22" s="0" t="str">
        <f aca="false">IF(OR(Y22="Tie",Z22="Tie"),"Partly",IF(Y22=Z22,"Yes","No"))</f>
        <v>Partly</v>
      </c>
      <c r="AB22" s="7" t="n">
        <f aca="false">COUNTIFS('AC Estimate'!$C$5:$C$238,$A22,'AC Estimate'!$AK$5:$AK$238,"TVK")</f>
        <v>1</v>
      </c>
      <c r="AC22" s="7" t="n">
        <f aca="false">COUNTIFS('AC Estimate'!$C$5:$C$238,$A22,'AC Estimate'!$AK$5:$AK$238,"AIADMK+")</f>
        <v>0</v>
      </c>
      <c r="AD22" s="7" t="n">
        <f aca="false">COUNTIFS('AC Estimate'!$C$5:$C$238,$A22,'AC Estimate'!$AK$5:$AK$238,"DMK+")</f>
        <v>1</v>
      </c>
      <c r="AE22" s="7" t="n">
        <f aca="false">COUNTIFS('AC Estimate'!$C$5:$C$238,$A22,'AC Estimate'!$AL$5:$AL$238,"Yes")</f>
        <v>2</v>
      </c>
      <c r="AF22" s="7" t="n">
        <f aca="false">ABS(R22-AB22)+ABS(S22-AC22)+ABS(T22-AD22)</f>
        <v>0</v>
      </c>
      <c r="AG22" s="7" t="n">
        <f aca="false">ABS(U22)+ABS(V22)+ABS(W22)</f>
        <v>0</v>
      </c>
      <c r="AH22" s="7" t="n">
        <f aca="false">R22-AB22</f>
        <v>0</v>
      </c>
      <c r="AI22" s="7" t="n">
        <f aca="false">S22-AC22</f>
        <v>0</v>
      </c>
      <c r="AJ22" s="7" t="n">
        <f aca="false">T22-AD22</f>
        <v>0</v>
      </c>
      <c r="AK22" s="7" t="str">
        <f aca="false">IF(MAX(ABS(AH22),ABS(AI22),ABS(AJ22))&lt;=Calibration!$B$3,"Yes","No")</f>
        <v>Yes</v>
      </c>
    </row>
    <row r="23" customFormat="false" ht="15" hidden="false" customHeight="false" outlineLevel="0" collapsed="false">
      <c r="A23" s="4" t="s">
        <v>128</v>
      </c>
      <c r="B23" s="5" t="n">
        <f aca="false">COUNTIF('AC Estimate'!$C$5:$C$238,$A23)</f>
        <v>6</v>
      </c>
      <c r="C23" s="5" t="n">
        <f aca="false">SUMIFS('AC Estimate'!$D$5:$D$238,'AC Estimate'!$C$5:$C$238,$A23)</f>
        <v>42</v>
      </c>
      <c r="D23" s="5" t="n">
        <f aca="false">SUMIFS('AC Estimate'!$E$5:$E$238,'AC Estimate'!$C$5:$C$238,$A23)</f>
        <v>43</v>
      </c>
      <c r="E23" s="5" t="n">
        <f aca="false">SUMIFS('AC Estimate'!$F$5:$F$238,'AC Estimate'!$C$5:$C$238,$A23)</f>
        <v>1</v>
      </c>
      <c r="F23" s="5" t="n">
        <f aca="false">SUMIFS('AC Estimate'!$G$5:$G$238,'AC Estimate'!$C$5:$C$238,$A23)</f>
        <v>23</v>
      </c>
      <c r="G23" s="5" t="n">
        <f aca="false">SUMIFS('AC Estimate'!$H$5:$H$238,'AC Estimate'!$C$5:$C$238,$A23)</f>
        <v>79</v>
      </c>
      <c r="H23" s="5" t="n">
        <f aca="false">SUM(C23:G23)</f>
        <v>188</v>
      </c>
      <c r="I23" s="10" t="n">
        <f aca="false">IF($H23=0,0,C23/$H23)</f>
        <v>0.223404255319149</v>
      </c>
      <c r="J23" s="10" t="n">
        <f aca="false">IF($H23=0,0,D23/$H23)</f>
        <v>0.228723404255319</v>
      </c>
      <c r="K23" s="10" t="n">
        <f aca="false">IF($H23=0,0,E23/$H23)</f>
        <v>0.00531914893617021</v>
      </c>
      <c r="L23" s="10" t="n">
        <f aca="false">IF($H23=0,0,F23/$H23)</f>
        <v>0.122340425531915</v>
      </c>
      <c r="M23" s="10" t="n">
        <f aca="false">IF($H23=0,0,G23/$H23)</f>
        <v>0.420212765957447</v>
      </c>
      <c r="N23" s="0" t="str">
        <f aca="false">INDEX({"AIADMK+","DMK+","NOTA","NTK","TVK"},MATCH(MAX(I23:M23),I23:M23,0))</f>
        <v>TVK</v>
      </c>
      <c r="O23" s="5" t="n">
        <f aca="false">COUNTIFS('AC Estimate'!$C$5:$C$238,$A23,'AC Estimate'!$P$5:$P$238,"TVK")</f>
        <v>3</v>
      </c>
      <c r="P23" s="5" t="n">
        <f aca="false">COUNTIFS('AC Estimate'!$C$5:$C$238,$A23,'AC Estimate'!$P$5:$P$238,"AIADMK+")</f>
        <v>2</v>
      </c>
      <c r="Q23" s="5" t="n">
        <f aca="false">COUNTIFS('AC Estimate'!$C$5:$C$238,$A23,'AC Estimate'!$P$5:$P$238,"DMK+")</f>
        <v>1</v>
      </c>
      <c r="R23" s="5" t="n">
        <f aca="false">COUNTIFS('AC Estimate'!$C$5:$C$238,$A23,'AC Estimate'!$R$5:$R$238,"TVK")</f>
        <v>2</v>
      </c>
      <c r="S23" s="5" t="n">
        <f aca="false">COUNTIFS('AC Estimate'!$C$5:$C$238,$A23,'AC Estimate'!$R$5:$R$238,"AIADMK+")</f>
        <v>1</v>
      </c>
      <c r="T23" s="5" t="n">
        <f aca="false">COUNTIFS('AC Estimate'!$C$5:$C$238,$A23,'AC Estimate'!$R$5:$R$238,"DMK+")</f>
        <v>3</v>
      </c>
      <c r="U23" s="6" t="n">
        <f aca="false">R23-O23</f>
        <v>-1</v>
      </c>
      <c r="V23" s="6" t="n">
        <f aca="false">S23-P23</f>
        <v>-1</v>
      </c>
      <c r="W23" s="6" t="n">
        <f aca="false">T23-Q23</f>
        <v>2</v>
      </c>
      <c r="X23" s="5" t="n">
        <f aca="false">COUNTIFS('AC Estimate'!$C$5:$C$238,$A23,'AC Estimate'!$S$5:$S$238,"Yes")</f>
        <v>2</v>
      </c>
      <c r="Y23" s="36" t="str">
        <f aca="false">IF(COUNTIF(O23:Q23,MAX(O23:Q23))&gt;1,"Tie",INDEX({"TVK","AIADMK+","DMK+"},MATCH(MAX(O23:Q23),O23:Q23,0)))</f>
        <v>TVK</v>
      </c>
      <c r="Z23" s="36" t="str">
        <f aca="false">IF(COUNTIF(R23:T23,MAX(R23:T23))&gt;1,"Tie",INDEX({"TVK","AIADMK+","DMK+"},MATCH(MAX(R23:T23),R23:T23,0)))</f>
        <v>DMK+</v>
      </c>
      <c r="AA23" s="0" t="str">
        <f aca="false">IF(OR(Y23="Tie",Z23="Tie"),"Partly",IF(Y23=Z23,"Yes","No"))</f>
        <v>No</v>
      </c>
      <c r="AB23" s="7" t="n">
        <f aca="false">COUNTIFS('AC Estimate'!$C$5:$C$238,$A23,'AC Estimate'!$AK$5:$AK$238,"TVK")</f>
        <v>2</v>
      </c>
      <c r="AC23" s="7" t="n">
        <f aca="false">COUNTIFS('AC Estimate'!$C$5:$C$238,$A23,'AC Estimate'!$AK$5:$AK$238,"AIADMK+")</f>
        <v>1</v>
      </c>
      <c r="AD23" s="7" t="n">
        <f aca="false">COUNTIFS('AC Estimate'!$C$5:$C$238,$A23,'AC Estimate'!$AK$5:$AK$238,"DMK+")</f>
        <v>3</v>
      </c>
      <c r="AE23" s="7" t="n">
        <f aca="false">COUNTIFS('AC Estimate'!$C$5:$C$238,$A23,'AC Estimate'!$AL$5:$AL$238,"Yes")</f>
        <v>2</v>
      </c>
      <c r="AF23" s="7" t="n">
        <f aca="false">ABS(R23-AB23)+ABS(S23-AC23)+ABS(T23-AD23)</f>
        <v>0</v>
      </c>
      <c r="AG23" s="7" t="n">
        <f aca="false">ABS(U23)+ABS(V23)+ABS(W23)</f>
        <v>4</v>
      </c>
      <c r="AH23" s="7" t="n">
        <f aca="false">R23-AB23</f>
        <v>0</v>
      </c>
      <c r="AI23" s="7" t="n">
        <f aca="false">S23-AC23</f>
        <v>0</v>
      </c>
      <c r="AJ23" s="7" t="n">
        <f aca="false">T23-AD23</f>
        <v>0</v>
      </c>
      <c r="AK23" s="7" t="str">
        <f aca="false">IF(MAX(ABS(AH23),ABS(AI23),ABS(AJ23))&lt;=Calibration!$B$3,"Yes","No")</f>
        <v>Yes</v>
      </c>
    </row>
    <row r="24" customFormat="false" ht="15" hidden="false" customHeight="false" outlineLevel="0" collapsed="false">
      <c r="A24" s="4" t="s">
        <v>130</v>
      </c>
      <c r="B24" s="5" t="n">
        <f aca="false">COUNTIF('AC Estimate'!$C$5:$C$238,$A24)</f>
        <v>4</v>
      </c>
      <c r="C24" s="5" t="n">
        <f aca="false">SUMIFS('AC Estimate'!$D$5:$D$238,'AC Estimate'!$C$5:$C$238,$A24)</f>
        <v>40</v>
      </c>
      <c r="D24" s="5" t="n">
        <f aca="false">SUMIFS('AC Estimate'!$E$5:$E$238,'AC Estimate'!$C$5:$C$238,$A24)</f>
        <v>60</v>
      </c>
      <c r="E24" s="5" t="n">
        <f aca="false">SUMIFS('AC Estimate'!$F$5:$F$238,'AC Estimate'!$C$5:$C$238,$A24)</f>
        <v>1</v>
      </c>
      <c r="F24" s="5" t="n">
        <f aca="false">SUMIFS('AC Estimate'!$G$5:$G$238,'AC Estimate'!$C$5:$C$238,$A24)</f>
        <v>24</v>
      </c>
      <c r="G24" s="5" t="n">
        <f aca="false">SUMIFS('AC Estimate'!$H$5:$H$238,'AC Estimate'!$C$5:$C$238,$A24)</f>
        <v>63</v>
      </c>
      <c r="H24" s="5" t="n">
        <f aca="false">SUM(C24:G24)</f>
        <v>188</v>
      </c>
      <c r="I24" s="10" t="n">
        <f aca="false">IF($H24=0,0,C24/$H24)</f>
        <v>0.212765957446809</v>
      </c>
      <c r="J24" s="10" t="n">
        <f aca="false">IF($H24=0,0,D24/$H24)</f>
        <v>0.319148936170213</v>
      </c>
      <c r="K24" s="10" t="n">
        <f aca="false">IF($H24=0,0,E24/$H24)</f>
        <v>0.00531914893617021</v>
      </c>
      <c r="L24" s="10" t="n">
        <f aca="false">IF($H24=0,0,F24/$H24)</f>
        <v>0.127659574468085</v>
      </c>
      <c r="M24" s="10" t="n">
        <f aca="false">IF($H24=0,0,G24/$H24)</f>
        <v>0.335106382978723</v>
      </c>
      <c r="N24" s="0" t="str">
        <f aca="false">INDEX({"AIADMK+","DMK+","NOTA","NTK","TVK"},MATCH(MAX(I24:M24),I24:M24,0))</f>
        <v>TVK</v>
      </c>
      <c r="O24" s="5" t="n">
        <f aca="false">COUNTIFS('AC Estimate'!$C$5:$C$238,$A24,'AC Estimate'!$P$5:$P$238,"TVK")</f>
        <v>1</v>
      </c>
      <c r="P24" s="5" t="n">
        <f aca="false">COUNTIFS('AC Estimate'!$C$5:$C$238,$A24,'AC Estimate'!$P$5:$P$238,"AIADMK+")</f>
        <v>0</v>
      </c>
      <c r="Q24" s="5" t="n">
        <f aca="false">COUNTIFS('AC Estimate'!$C$5:$C$238,$A24,'AC Estimate'!$P$5:$P$238,"DMK+")</f>
        <v>3</v>
      </c>
      <c r="R24" s="5" t="n">
        <f aca="false">COUNTIFS('AC Estimate'!$C$5:$C$238,$A24,'AC Estimate'!$R$5:$R$238,"TVK")</f>
        <v>1</v>
      </c>
      <c r="S24" s="5" t="n">
        <f aca="false">COUNTIFS('AC Estimate'!$C$5:$C$238,$A24,'AC Estimate'!$R$5:$R$238,"AIADMK+")</f>
        <v>0</v>
      </c>
      <c r="T24" s="5" t="n">
        <f aca="false">COUNTIFS('AC Estimate'!$C$5:$C$238,$A24,'AC Estimate'!$R$5:$R$238,"DMK+")</f>
        <v>3</v>
      </c>
      <c r="U24" s="6" t="n">
        <f aca="false">R24-O24</f>
        <v>0</v>
      </c>
      <c r="V24" s="6" t="n">
        <f aca="false">S24-P24</f>
        <v>0</v>
      </c>
      <c r="W24" s="6" t="n">
        <f aca="false">T24-Q24</f>
        <v>0</v>
      </c>
      <c r="X24" s="5" t="n">
        <f aca="false">COUNTIFS('AC Estimate'!$C$5:$C$238,$A24,'AC Estimate'!$S$5:$S$238,"Yes")</f>
        <v>2</v>
      </c>
      <c r="Y24" s="36" t="str">
        <f aca="false">IF(COUNTIF(O24:Q24,MAX(O24:Q24))&gt;1,"Tie",INDEX({"TVK","AIADMK+","DMK+"},MATCH(MAX(O24:Q24),O24:Q24,0)))</f>
        <v>DMK+</v>
      </c>
      <c r="Z24" s="36" t="str">
        <f aca="false">IF(COUNTIF(R24:T24,MAX(R24:T24))&gt;1,"Tie",INDEX({"TVK","AIADMK+","DMK+"},MATCH(MAX(R24:T24),R24:T24,0)))</f>
        <v>DMK+</v>
      </c>
      <c r="AA24" s="0" t="str">
        <f aca="false">IF(OR(Y24="Tie",Z24="Tie"),"Partly",IF(Y24=Z24,"Yes","No"))</f>
        <v>Yes</v>
      </c>
      <c r="AB24" s="7" t="n">
        <f aca="false">COUNTIFS('AC Estimate'!$C$5:$C$238,$A24,'AC Estimate'!$AK$5:$AK$238,"TVK")</f>
        <v>1</v>
      </c>
      <c r="AC24" s="7" t="n">
        <f aca="false">COUNTIFS('AC Estimate'!$C$5:$C$238,$A24,'AC Estimate'!$AK$5:$AK$238,"AIADMK+")</f>
        <v>0</v>
      </c>
      <c r="AD24" s="7" t="n">
        <f aca="false">COUNTIFS('AC Estimate'!$C$5:$C$238,$A24,'AC Estimate'!$AK$5:$AK$238,"DMK+")</f>
        <v>3</v>
      </c>
      <c r="AE24" s="7" t="n">
        <f aca="false">COUNTIFS('AC Estimate'!$C$5:$C$238,$A24,'AC Estimate'!$AL$5:$AL$238,"Yes")</f>
        <v>2</v>
      </c>
      <c r="AF24" s="7" t="n">
        <f aca="false">ABS(R24-AB24)+ABS(S24-AC24)+ABS(T24-AD24)</f>
        <v>0</v>
      </c>
      <c r="AG24" s="7" t="n">
        <f aca="false">ABS(U24)+ABS(V24)+ABS(W24)</f>
        <v>0</v>
      </c>
      <c r="AH24" s="7" t="n">
        <f aca="false">R24-AB24</f>
        <v>0</v>
      </c>
      <c r="AI24" s="7" t="n">
        <f aca="false">S24-AC24</f>
        <v>0</v>
      </c>
      <c r="AJ24" s="7" t="n">
        <f aca="false">T24-AD24</f>
        <v>0</v>
      </c>
      <c r="AK24" s="7" t="str">
        <f aca="false">IF(MAX(ABS(AH24),ABS(AI24),ABS(AJ24))&lt;=Calibration!$B$3,"Yes","No")</f>
        <v>Yes</v>
      </c>
    </row>
    <row r="25" customFormat="false" ht="15" hidden="false" customHeight="false" outlineLevel="0" collapsed="false">
      <c r="A25" s="4" t="s">
        <v>132</v>
      </c>
      <c r="B25" s="5" t="n">
        <f aca="false">COUNTIF('AC Estimate'!$C$5:$C$238,$A25)</f>
        <v>4</v>
      </c>
      <c r="C25" s="5" t="n">
        <f aca="false">SUMIFS('AC Estimate'!$D$5:$D$238,'AC Estimate'!$C$5:$C$238,$A25)</f>
        <v>36</v>
      </c>
      <c r="D25" s="5" t="n">
        <f aca="false">SUMIFS('AC Estimate'!$E$5:$E$238,'AC Estimate'!$C$5:$C$238,$A25)</f>
        <v>26</v>
      </c>
      <c r="E25" s="5" t="n">
        <f aca="false">SUMIFS('AC Estimate'!$F$5:$F$238,'AC Estimate'!$C$5:$C$238,$A25)</f>
        <v>0</v>
      </c>
      <c r="F25" s="5" t="n">
        <f aca="false">SUMIFS('AC Estimate'!$G$5:$G$238,'AC Estimate'!$C$5:$C$238,$A25)</f>
        <v>11</v>
      </c>
      <c r="G25" s="5" t="n">
        <f aca="false">SUMIFS('AC Estimate'!$H$5:$H$238,'AC Estimate'!$C$5:$C$238,$A25)</f>
        <v>37</v>
      </c>
      <c r="H25" s="5" t="n">
        <f aca="false">SUM(C25:G25)</f>
        <v>110</v>
      </c>
      <c r="I25" s="10" t="n">
        <f aca="false">IF($H25=0,0,C25/$H25)</f>
        <v>0.327272727272727</v>
      </c>
      <c r="J25" s="10" t="n">
        <f aca="false">IF($H25=0,0,D25/$H25)</f>
        <v>0.236363636363636</v>
      </c>
      <c r="K25" s="10" t="n">
        <f aca="false">IF($H25=0,0,E25/$H25)</f>
        <v>0</v>
      </c>
      <c r="L25" s="10" t="n">
        <f aca="false">IF($H25=0,0,F25/$H25)</f>
        <v>0.1</v>
      </c>
      <c r="M25" s="10" t="n">
        <f aca="false">IF($H25=0,0,G25/$H25)</f>
        <v>0.336363636363636</v>
      </c>
      <c r="N25" s="0" t="str">
        <f aca="false">INDEX({"AIADMK+","DMK+","NOTA","NTK","TVK"},MATCH(MAX(I25:M25),I25:M25,0))</f>
        <v>TVK</v>
      </c>
      <c r="O25" s="5" t="n">
        <f aca="false">COUNTIFS('AC Estimate'!$C$5:$C$238,$A25,'AC Estimate'!$P$5:$P$238,"TVK")</f>
        <v>1</v>
      </c>
      <c r="P25" s="5" t="n">
        <f aca="false">COUNTIFS('AC Estimate'!$C$5:$C$238,$A25,'AC Estimate'!$P$5:$P$238,"AIADMK+")</f>
        <v>2</v>
      </c>
      <c r="Q25" s="5" t="n">
        <f aca="false">COUNTIFS('AC Estimate'!$C$5:$C$238,$A25,'AC Estimate'!$P$5:$P$238,"DMK+")</f>
        <v>1</v>
      </c>
      <c r="R25" s="5" t="n">
        <f aca="false">COUNTIFS('AC Estimate'!$C$5:$C$238,$A25,'AC Estimate'!$R$5:$R$238,"TVK")</f>
        <v>3</v>
      </c>
      <c r="S25" s="5" t="n">
        <f aca="false">COUNTIFS('AC Estimate'!$C$5:$C$238,$A25,'AC Estimate'!$R$5:$R$238,"AIADMK+")</f>
        <v>1</v>
      </c>
      <c r="T25" s="5" t="n">
        <f aca="false">COUNTIFS('AC Estimate'!$C$5:$C$238,$A25,'AC Estimate'!$R$5:$R$238,"DMK+")</f>
        <v>0</v>
      </c>
      <c r="U25" s="6" t="n">
        <f aca="false">R25-O25</f>
        <v>2</v>
      </c>
      <c r="V25" s="6" t="n">
        <f aca="false">S25-P25</f>
        <v>-1</v>
      </c>
      <c r="W25" s="6" t="n">
        <f aca="false">T25-Q25</f>
        <v>-1</v>
      </c>
      <c r="X25" s="5" t="n">
        <f aca="false">COUNTIFS('AC Estimate'!$C$5:$C$238,$A25,'AC Estimate'!$S$5:$S$238,"Yes")</f>
        <v>1</v>
      </c>
      <c r="Y25" s="36" t="str">
        <f aca="false">IF(COUNTIF(O25:Q25,MAX(O25:Q25))&gt;1,"Tie",INDEX({"TVK","AIADMK+","DMK+"},MATCH(MAX(O25:Q25),O25:Q25,0)))</f>
        <v>AIADMK+</v>
      </c>
      <c r="Z25" s="36" t="str">
        <f aca="false">IF(COUNTIF(R25:T25,MAX(R25:T25))&gt;1,"Tie",INDEX({"TVK","AIADMK+","DMK+"},MATCH(MAX(R25:T25),R25:T25,0)))</f>
        <v>TVK</v>
      </c>
      <c r="AA25" s="0" t="str">
        <f aca="false">IF(OR(Y25="Tie",Z25="Tie"),"Partly",IF(Y25=Z25,"Yes","No"))</f>
        <v>No</v>
      </c>
      <c r="AB25" s="7" t="n">
        <f aca="false">COUNTIFS('AC Estimate'!$C$5:$C$238,$A25,'AC Estimate'!$AK$5:$AK$238,"TVK")</f>
        <v>3</v>
      </c>
      <c r="AC25" s="7" t="n">
        <f aca="false">COUNTIFS('AC Estimate'!$C$5:$C$238,$A25,'AC Estimate'!$AK$5:$AK$238,"AIADMK+")</f>
        <v>1</v>
      </c>
      <c r="AD25" s="7" t="n">
        <f aca="false">COUNTIFS('AC Estimate'!$C$5:$C$238,$A25,'AC Estimate'!$AK$5:$AK$238,"DMK+")</f>
        <v>0</v>
      </c>
      <c r="AE25" s="7" t="n">
        <f aca="false">COUNTIFS('AC Estimate'!$C$5:$C$238,$A25,'AC Estimate'!$AL$5:$AL$238,"Yes")</f>
        <v>2</v>
      </c>
      <c r="AF25" s="7" t="n">
        <f aca="false">ABS(R25-AB25)+ABS(S25-AC25)+ABS(T25-AD25)</f>
        <v>0</v>
      </c>
      <c r="AG25" s="7" t="n">
        <f aca="false">ABS(U25)+ABS(V25)+ABS(W25)</f>
        <v>4</v>
      </c>
      <c r="AH25" s="7" t="n">
        <f aca="false">R25-AB25</f>
        <v>0</v>
      </c>
      <c r="AI25" s="7" t="n">
        <f aca="false">S25-AC25</f>
        <v>0</v>
      </c>
      <c r="AJ25" s="7" t="n">
        <f aca="false">T25-AD25</f>
        <v>0</v>
      </c>
      <c r="AK25" s="7" t="str">
        <f aca="false">IF(MAX(ABS(AH25),ABS(AI25),ABS(AJ25))&lt;=Calibration!$B$3,"Yes","No")</f>
        <v>Yes</v>
      </c>
    </row>
    <row r="26" customFormat="false" ht="15" hidden="false" customHeight="false" outlineLevel="0" collapsed="false">
      <c r="A26" s="4" t="s">
        <v>134</v>
      </c>
      <c r="B26" s="5" t="n">
        <f aca="false">COUNTIF('AC Estimate'!$C$5:$C$238,$A26)</f>
        <v>11</v>
      </c>
      <c r="C26" s="5" t="n">
        <f aca="false">SUMIFS('AC Estimate'!$D$5:$D$238,'AC Estimate'!$C$5:$C$238,$A26)</f>
        <v>138</v>
      </c>
      <c r="D26" s="5" t="n">
        <f aca="false">SUMIFS('AC Estimate'!$E$5:$E$238,'AC Estimate'!$C$5:$C$238,$A26)</f>
        <v>123</v>
      </c>
      <c r="E26" s="5" t="n">
        <f aca="false">SUMIFS('AC Estimate'!$F$5:$F$238,'AC Estimate'!$C$5:$C$238,$A26)</f>
        <v>0</v>
      </c>
      <c r="F26" s="5" t="n">
        <f aca="false">SUMIFS('AC Estimate'!$G$5:$G$238,'AC Estimate'!$C$5:$C$238,$A26)</f>
        <v>44</v>
      </c>
      <c r="G26" s="5" t="n">
        <f aca="false">SUMIFS('AC Estimate'!$H$5:$H$238,'AC Estimate'!$C$5:$C$238,$A26)</f>
        <v>191</v>
      </c>
      <c r="H26" s="5" t="n">
        <f aca="false">SUM(C26:G26)</f>
        <v>496</v>
      </c>
      <c r="I26" s="10" t="n">
        <f aca="false">IF($H26=0,0,C26/$H26)</f>
        <v>0.278225806451613</v>
      </c>
      <c r="J26" s="10" t="n">
        <f aca="false">IF($H26=0,0,D26/$H26)</f>
        <v>0.247983870967742</v>
      </c>
      <c r="K26" s="10" t="n">
        <f aca="false">IF($H26=0,0,E26/$H26)</f>
        <v>0</v>
      </c>
      <c r="L26" s="10" t="n">
        <f aca="false">IF($H26=0,0,F26/$H26)</f>
        <v>0.0887096774193548</v>
      </c>
      <c r="M26" s="10" t="n">
        <f aca="false">IF($H26=0,0,G26/$H26)</f>
        <v>0.38508064516129</v>
      </c>
      <c r="N26" s="0" t="str">
        <f aca="false">INDEX({"AIADMK+","DMK+","NOTA","NTK","TVK"},MATCH(MAX(I26:M26),I26:M26,0))</f>
        <v>TVK</v>
      </c>
      <c r="O26" s="5" t="n">
        <f aca="false">COUNTIFS('AC Estimate'!$C$5:$C$238,$A26,'AC Estimate'!$P$5:$P$238,"TVK")</f>
        <v>5</v>
      </c>
      <c r="P26" s="5" t="n">
        <f aca="false">COUNTIFS('AC Estimate'!$C$5:$C$238,$A26,'AC Estimate'!$P$5:$P$238,"AIADMK+")</f>
        <v>2</v>
      </c>
      <c r="Q26" s="5" t="n">
        <f aca="false">COUNTIFS('AC Estimate'!$C$5:$C$238,$A26,'AC Estimate'!$P$5:$P$238,"DMK+")</f>
        <v>4</v>
      </c>
      <c r="R26" s="5" t="n">
        <f aca="false">COUNTIFS('AC Estimate'!$C$5:$C$238,$A26,'AC Estimate'!$R$5:$R$238,"TVK")</f>
        <v>4</v>
      </c>
      <c r="S26" s="5" t="n">
        <f aca="false">COUNTIFS('AC Estimate'!$C$5:$C$238,$A26,'AC Estimate'!$R$5:$R$238,"AIADMK+")</f>
        <v>7</v>
      </c>
      <c r="T26" s="5" t="n">
        <f aca="false">COUNTIFS('AC Estimate'!$C$5:$C$238,$A26,'AC Estimate'!$R$5:$R$238,"DMK+")</f>
        <v>0</v>
      </c>
      <c r="U26" s="6" t="n">
        <f aca="false">R26-O26</f>
        <v>-1</v>
      </c>
      <c r="V26" s="6" t="n">
        <f aca="false">S26-P26</f>
        <v>5</v>
      </c>
      <c r="W26" s="6" t="n">
        <f aca="false">T26-Q26</f>
        <v>-4</v>
      </c>
      <c r="X26" s="5" t="n">
        <f aca="false">COUNTIFS('AC Estimate'!$C$5:$C$238,$A26,'AC Estimate'!$S$5:$S$238,"Yes")</f>
        <v>5</v>
      </c>
      <c r="Y26" s="36" t="str">
        <f aca="false">IF(COUNTIF(O26:Q26,MAX(O26:Q26))&gt;1,"Tie",INDEX({"TVK","AIADMK+","DMK+"},MATCH(MAX(O26:Q26),O26:Q26,0)))</f>
        <v>TVK</v>
      </c>
      <c r="Z26" s="36" t="str">
        <f aca="false">IF(COUNTIF(R26:T26,MAX(R26:T26))&gt;1,"Tie",INDEX({"TVK","AIADMK+","DMK+"},MATCH(MAX(R26:T26),R26:T26,0)))</f>
        <v>AIADMK+</v>
      </c>
      <c r="AA26" s="0" t="str">
        <f aca="false">IF(OR(Y26="Tie",Z26="Tie"),"Partly",IF(Y26=Z26,"Yes","No"))</f>
        <v>No</v>
      </c>
      <c r="AB26" s="7" t="n">
        <f aca="false">COUNTIFS('AC Estimate'!$C$5:$C$238,$A26,'AC Estimate'!$AK$5:$AK$238,"TVK")</f>
        <v>4</v>
      </c>
      <c r="AC26" s="7" t="n">
        <f aca="false">COUNTIFS('AC Estimate'!$C$5:$C$238,$A26,'AC Estimate'!$AK$5:$AK$238,"AIADMK+")</f>
        <v>7</v>
      </c>
      <c r="AD26" s="7" t="n">
        <f aca="false">COUNTIFS('AC Estimate'!$C$5:$C$238,$A26,'AC Estimate'!$AK$5:$AK$238,"DMK+")</f>
        <v>0</v>
      </c>
      <c r="AE26" s="7" t="n">
        <f aca="false">COUNTIFS('AC Estimate'!$C$5:$C$238,$A26,'AC Estimate'!$AL$5:$AL$238,"Yes")</f>
        <v>9</v>
      </c>
      <c r="AF26" s="7" t="n">
        <f aca="false">ABS(R26-AB26)+ABS(S26-AC26)+ABS(T26-AD26)</f>
        <v>0</v>
      </c>
      <c r="AG26" s="7" t="n">
        <f aca="false">ABS(U26)+ABS(V26)+ABS(W26)</f>
        <v>10</v>
      </c>
      <c r="AH26" s="7" t="n">
        <f aca="false">R26-AB26</f>
        <v>0</v>
      </c>
      <c r="AI26" s="7" t="n">
        <f aca="false">S26-AC26</f>
        <v>0</v>
      </c>
      <c r="AJ26" s="7" t="n">
        <f aca="false">T26-AD26</f>
        <v>0</v>
      </c>
      <c r="AK26" s="7" t="str">
        <f aca="false">IF(MAX(ABS(AH26),ABS(AI26),ABS(AJ26))&lt;=Calibration!$B$3,"Yes","No")</f>
        <v>Yes</v>
      </c>
    </row>
    <row r="27" customFormat="false" ht="15" hidden="false" customHeight="false" outlineLevel="0" collapsed="false">
      <c r="A27" s="4" t="s">
        <v>136</v>
      </c>
      <c r="B27" s="5" t="n">
        <f aca="false">COUNTIF('AC Estimate'!$C$5:$C$238,$A27)</f>
        <v>4</v>
      </c>
      <c r="C27" s="5" t="n">
        <f aca="false">SUMIFS('AC Estimate'!$D$5:$D$238,'AC Estimate'!$C$5:$C$238,$A27)</f>
        <v>29</v>
      </c>
      <c r="D27" s="5" t="n">
        <f aca="false">SUMIFS('AC Estimate'!$E$5:$E$238,'AC Estimate'!$C$5:$C$238,$A27)</f>
        <v>33</v>
      </c>
      <c r="E27" s="5" t="n">
        <f aca="false">SUMIFS('AC Estimate'!$F$5:$F$238,'AC Estimate'!$C$5:$C$238,$A27)</f>
        <v>1</v>
      </c>
      <c r="F27" s="5" t="n">
        <f aca="false">SUMIFS('AC Estimate'!$G$5:$G$238,'AC Estimate'!$C$5:$C$238,$A27)</f>
        <v>21</v>
      </c>
      <c r="G27" s="5" t="n">
        <f aca="false">SUMIFS('AC Estimate'!$H$5:$H$238,'AC Estimate'!$C$5:$C$238,$A27)</f>
        <v>56</v>
      </c>
      <c r="H27" s="5" t="n">
        <f aca="false">SUM(C27:G27)</f>
        <v>140</v>
      </c>
      <c r="I27" s="10" t="n">
        <f aca="false">IF($H27=0,0,C27/$H27)</f>
        <v>0.207142857142857</v>
      </c>
      <c r="J27" s="10" t="n">
        <f aca="false">IF($H27=0,0,D27/$H27)</f>
        <v>0.235714285714286</v>
      </c>
      <c r="K27" s="10" t="n">
        <f aca="false">IF($H27=0,0,E27/$H27)</f>
        <v>0.00714285714285714</v>
      </c>
      <c r="L27" s="10" t="n">
        <f aca="false">IF($H27=0,0,F27/$H27)</f>
        <v>0.15</v>
      </c>
      <c r="M27" s="10" t="n">
        <f aca="false">IF($H27=0,0,G27/$H27)</f>
        <v>0.4</v>
      </c>
      <c r="N27" s="0" t="str">
        <f aca="false">INDEX({"AIADMK+","DMK+","NOTA","NTK","TVK"},MATCH(MAX(I27:M27),I27:M27,0))</f>
        <v>TVK</v>
      </c>
      <c r="O27" s="5" t="n">
        <f aca="false">COUNTIFS('AC Estimate'!$C$5:$C$238,$A27,'AC Estimate'!$P$5:$P$238,"TVK")</f>
        <v>2</v>
      </c>
      <c r="P27" s="5" t="n">
        <f aca="false">COUNTIFS('AC Estimate'!$C$5:$C$238,$A27,'AC Estimate'!$P$5:$P$238,"AIADMK+")</f>
        <v>0</v>
      </c>
      <c r="Q27" s="5" t="n">
        <f aca="false">COUNTIFS('AC Estimate'!$C$5:$C$238,$A27,'AC Estimate'!$P$5:$P$238,"DMK+")</f>
        <v>2</v>
      </c>
      <c r="R27" s="5" t="n">
        <f aca="false">COUNTIFS('AC Estimate'!$C$5:$C$238,$A27,'AC Estimate'!$R$5:$R$238,"TVK")</f>
        <v>4</v>
      </c>
      <c r="S27" s="5" t="n">
        <f aca="false">COUNTIFS('AC Estimate'!$C$5:$C$238,$A27,'AC Estimate'!$R$5:$R$238,"AIADMK+")</f>
        <v>0</v>
      </c>
      <c r="T27" s="5" t="n">
        <f aca="false">COUNTIFS('AC Estimate'!$C$5:$C$238,$A27,'AC Estimate'!$R$5:$R$238,"DMK+")</f>
        <v>0</v>
      </c>
      <c r="U27" s="6" t="n">
        <f aca="false">R27-O27</f>
        <v>2</v>
      </c>
      <c r="V27" s="6" t="n">
        <f aca="false">S27-P27</f>
        <v>0</v>
      </c>
      <c r="W27" s="6" t="n">
        <f aca="false">T27-Q27</f>
        <v>-2</v>
      </c>
      <c r="X27" s="5" t="n">
        <f aca="false">COUNTIFS('AC Estimate'!$C$5:$C$238,$A27,'AC Estimate'!$S$5:$S$238,"Yes")</f>
        <v>2</v>
      </c>
      <c r="Y27" s="36" t="str">
        <f aca="false">IF(COUNTIF(O27:Q27,MAX(O27:Q27))&gt;1,"Tie",INDEX({"TVK","AIADMK+","DMK+"},MATCH(MAX(O27:Q27),O27:Q27,0)))</f>
        <v>Tie</v>
      </c>
      <c r="Z27" s="36" t="str">
        <f aca="false">IF(COUNTIF(R27:T27,MAX(R27:T27))&gt;1,"Tie",INDEX({"TVK","AIADMK+","DMK+"},MATCH(MAX(R27:T27),R27:T27,0)))</f>
        <v>TVK</v>
      </c>
      <c r="AA27" s="0" t="str">
        <f aca="false">IF(OR(Y27="Tie",Z27="Tie"),"Partly",IF(Y27=Z27,"Yes","No"))</f>
        <v>Partly</v>
      </c>
      <c r="AB27" s="7" t="n">
        <f aca="false">COUNTIFS('AC Estimate'!$C$5:$C$238,$A27,'AC Estimate'!$AK$5:$AK$238,"TVK")</f>
        <v>4</v>
      </c>
      <c r="AC27" s="7" t="n">
        <f aca="false">COUNTIFS('AC Estimate'!$C$5:$C$238,$A27,'AC Estimate'!$AK$5:$AK$238,"AIADMK+")</f>
        <v>0</v>
      </c>
      <c r="AD27" s="7" t="n">
        <f aca="false">COUNTIFS('AC Estimate'!$C$5:$C$238,$A27,'AC Estimate'!$AK$5:$AK$238,"DMK+")</f>
        <v>0</v>
      </c>
      <c r="AE27" s="7" t="n">
        <f aca="false">COUNTIFS('AC Estimate'!$C$5:$C$238,$A27,'AC Estimate'!$AL$5:$AL$238,"Yes")</f>
        <v>4</v>
      </c>
      <c r="AF27" s="7" t="n">
        <f aca="false">ABS(R27-AB27)+ABS(S27-AC27)+ABS(T27-AD27)</f>
        <v>0</v>
      </c>
      <c r="AG27" s="7" t="n">
        <f aca="false">ABS(U27)+ABS(V27)+ABS(W27)</f>
        <v>4</v>
      </c>
      <c r="AH27" s="7" t="n">
        <f aca="false">R27-AB27</f>
        <v>0</v>
      </c>
      <c r="AI27" s="7" t="n">
        <f aca="false">S27-AC27</f>
        <v>0</v>
      </c>
      <c r="AJ27" s="7" t="n">
        <f aca="false">T27-AD27</f>
        <v>0</v>
      </c>
      <c r="AK27" s="7" t="str">
        <f aca="false">IF(MAX(ABS(AH27),ABS(AI27),ABS(AJ27))&lt;=Calibration!$B$3,"Yes","No")</f>
        <v>Yes</v>
      </c>
    </row>
    <row r="28" customFormat="false" ht="15" hidden="false" customHeight="false" outlineLevel="0" collapsed="false">
      <c r="A28" s="4" t="s">
        <v>138</v>
      </c>
      <c r="B28" s="5" t="n">
        <f aca="false">COUNTIF('AC Estimate'!$C$5:$C$238,$A28)</f>
        <v>5</v>
      </c>
      <c r="C28" s="5" t="n">
        <f aca="false">SUMIFS('AC Estimate'!$D$5:$D$238,'AC Estimate'!$C$5:$C$238,$A28)</f>
        <v>71</v>
      </c>
      <c r="D28" s="5" t="n">
        <f aca="false">SUMIFS('AC Estimate'!$E$5:$E$238,'AC Estimate'!$C$5:$C$238,$A28)</f>
        <v>76</v>
      </c>
      <c r="E28" s="5" t="n">
        <f aca="false">SUMIFS('AC Estimate'!$F$5:$F$238,'AC Estimate'!$C$5:$C$238,$A28)</f>
        <v>0</v>
      </c>
      <c r="F28" s="5" t="n">
        <f aca="false">SUMIFS('AC Estimate'!$G$5:$G$238,'AC Estimate'!$C$5:$C$238,$A28)</f>
        <v>42</v>
      </c>
      <c r="G28" s="5" t="n">
        <f aca="false">SUMIFS('AC Estimate'!$H$5:$H$238,'AC Estimate'!$C$5:$C$238,$A28)</f>
        <v>75</v>
      </c>
      <c r="H28" s="5" t="n">
        <f aca="false">SUM(C28:G28)</f>
        <v>264</v>
      </c>
      <c r="I28" s="10" t="n">
        <f aca="false">IF($H28=0,0,C28/$H28)</f>
        <v>0.268939393939394</v>
      </c>
      <c r="J28" s="10" t="n">
        <f aca="false">IF($H28=0,0,D28/$H28)</f>
        <v>0.287878787878788</v>
      </c>
      <c r="K28" s="10" t="n">
        <f aca="false">IF($H28=0,0,E28/$H28)</f>
        <v>0</v>
      </c>
      <c r="L28" s="10" t="n">
        <f aca="false">IF($H28=0,0,F28/$H28)</f>
        <v>0.159090909090909</v>
      </c>
      <c r="M28" s="10" t="n">
        <f aca="false">IF($H28=0,0,G28/$H28)</f>
        <v>0.284090909090909</v>
      </c>
      <c r="N28" s="0" t="str">
        <f aca="false">INDEX({"AIADMK+","DMK+","NOTA","NTK","TVK"},MATCH(MAX(I28:M28),I28:M28,0))</f>
        <v>DMK+</v>
      </c>
      <c r="O28" s="5" t="n">
        <f aca="false">COUNTIFS('AC Estimate'!$C$5:$C$238,$A28,'AC Estimate'!$P$5:$P$238,"TVK")</f>
        <v>0</v>
      </c>
      <c r="P28" s="5" t="n">
        <f aca="false">COUNTIFS('AC Estimate'!$C$5:$C$238,$A28,'AC Estimate'!$P$5:$P$238,"AIADMK+")</f>
        <v>2</v>
      </c>
      <c r="Q28" s="5" t="n">
        <f aca="false">COUNTIFS('AC Estimate'!$C$5:$C$238,$A28,'AC Estimate'!$P$5:$P$238,"DMK+")</f>
        <v>3</v>
      </c>
      <c r="R28" s="5" t="n">
        <f aca="false">COUNTIFS('AC Estimate'!$C$5:$C$238,$A28,'AC Estimate'!$R$5:$R$238,"TVK")</f>
        <v>0</v>
      </c>
      <c r="S28" s="5" t="n">
        <f aca="false">COUNTIFS('AC Estimate'!$C$5:$C$238,$A28,'AC Estimate'!$R$5:$R$238,"AIADMK+")</f>
        <v>1</v>
      </c>
      <c r="T28" s="5" t="n">
        <f aca="false">COUNTIFS('AC Estimate'!$C$5:$C$238,$A28,'AC Estimate'!$R$5:$R$238,"DMK+")</f>
        <v>4</v>
      </c>
      <c r="U28" s="6" t="n">
        <f aca="false">R28-O28</f>
        <v>0</v>
      </c>
      <c r="V28" s="6" t="n">
        <f aca="false">S28-P28</f>
        <v>-1</v>
      </c>
      <c r="W28" s="6" t="n">
        <f aca="false">T28-Q28</f>
        <v>1</v>
      </c>
      <c r="X28" s="5" t="n">
        <f aca="false">COUNTIFS('AC Estimate'!$C$5:$C$238,$A28,'AC Estimate'!$S$5:$S$238,"Yes")</f>
        <v>4</v>
      </c>
      <c r="Y28" s="36" t="str">
        <f aca="false">IF(COUNTIF(O28:Q28,MAX(O28:Q28))&gt;1,"Tie",INDEX({"TVK","AIADMK+","DMK+"},MATCH(MAX(O28:Q28),O28:Q28,0)))</f>
        <v>DMK+</v>
      </c>
      <c r="Z28" s="36" t="str">
        <f aca="false">IF(COUNTIF(R28:T28,MAX(R28:T28))&gt;1,"Tie",INDEX({"TVK","AIADMK+","DMK+"},MATCH(MAX(R28:T28),R28:T28,0)))</f>
        <v>DMK+</v>
      </c>
      <c r="AA28" s="0" t="str">
        <f aca="false">IF(OR(Y28="Tie",Z28="Tie"),"Partly",IF(Y28=Z28,"Yes","No"))</f>
        <v>Yes</v>
      </c>
      <c r="AB28" s="7" t="n">
        <f aca="false">COUNTIFS('AC Estimate'!$C$5:$C$238,$A28,'AC Estimate'!$AK$5:$AK$238,"TVK")</f>
        <v>0</v>
      </c>
      <c r="AC28" s="7" t="n">
        <f aca="false">COUNTIFS('AC Estimate'!$C$5:$C$238,$A28,'AC Estimate'!$AK$5:$AK$238,"AIADMK+")</f>
        <v>1</v>
      </c>
      <c r="AD28" s="7" t="n">
        <f aca="false">COUNTIFS('AC Estimate'!$C$5:$C$238,$A28,'AC Estimate'!$AK$5:$AK$238,"DMK+")</f>
        <v>4</v>
      </c>
      <c r="AE28" s="7" t="n">
        <f aca="false">COUNTIFS('AC Estimate'!$C$5:$C$238,$A28,'AC Estimate'!$AL$5:$AL$238,"Yes")</f>
        <v>3</v>
      </c>
      <c r="AF28" s="7" t="n">
        <f aca="false">ABS(R28-AB28)+ABS(S28-AC28)+ABS(T28-AD28)</f>
        <v>0</v>
      </c>
      <c r="AG28" s="7" t="n">
        <f aca="false">ABS(U28)+ABS(V28)+ABS(W28)</f>
        <v>2</v>
      </c>
      <c r="AH28" s="7" t="n">
        <f aca="false">R28-AB28</f>
        <v>0</v>
      </c>
      <c r="AI28" s="7" t="n">
        <f aca="false">S28-AC28</f>
        <v>0</v>
      </c>
      <c r="AJ28" s="7" t="n">
        <f aca="false">T28-AD28</f>
        <v>0</v>
      </c>
      <c r="AK28" s="7" t="str">
        <f aca="false">IF(MAX(ABS(AH28),ABS(AI28),ABS(AJ28))&lt;=Calibration!$B$3,"Yes","No")</f>
        <v>Yes</v>
      </c>
    </row>
    <row r="29" customFormat="false" ht="15" hidden="false" customHeight="false" outlineLevel="0" collapsed="false">
      <c r="A29" s="4" t="s">
        <v>140</v>
      </c>
      <c r="B29" s="5" t="n">
        <f aca="false">COUNTIF('AC Estimate'!$C$5:$C$238,$A29)</f>
        <v>8</v>
      </c>
      <c r="C29" s="5" t="n">
        <f aca="false">SUMIFS('AC Estimate'!$D$5:$D$238,'AC Estimate'!$C$5:$C$238,$A29)</f>
        <v>82</v>
      </c>
      <c r="D29" s="5" t="n">
        <f aca="false">SUMIFS('AC Estimate'!$E$5:$E$238,'AC Estimate'!$C$5:$C$238,$A29)</f>
        <v>109</v>
      </c>
      <c r="E29" s="5" t="n">
        <f aca="false">SUMIFS('AC Estimate'!$F$5:$F$238,'AC Estimate'!$C$5:$C$238,$A29)</f>
        <v>2</v>
      </c>
      <c r="F29" s="5" t="n">
        <f aca="false">SUMIFS('AC Estimate'!$G$5:$G$238,'AC Estimate'!$C$5:$C$238,$A29)</f>
        <v>46</v>
      </c>
      <c r="G29" s="5" t="n">
        <f aca="false">SUMIFS('AC Estimate'!$H$5:$H$238,'AC Estimate'!$C$5:$C$238,$A29)</f>
        <v>126</v>
      </c>
      <c r="H29" s="5" t="n">
        <f aca="false">SUM(C29:G29)</f>
        <v>365</v>
      </c>
      <c r="I29" s="10" t="n">
        <f aca="false">IF($H29=0,0,C29/$H29)</f>
        <v>0.224657534246575</v>
      </c>
      <c r="J29" s="10" t="n">
        <f aca="false">IF($H29=0,0,D29/$H29)</f>
        <v>0.298630136986301</v>
      </c>
      <c r="K29" s="10" t="n">
        <f aca="false">IF($H29=0,0,E29/$H29)</f>
        <v>0.00547945205479452</v>
      </c>
      <c r="L29" s="10" t="n">
        <f aca="false">IF($H29=0,0,F29/$H29)</f>
        <v>0.126027397260274</v>
      </c>
      <c r="M29" s="10" t="n">
        <f aca="false">IF($H29=0,0,G29/$H29)</f>
        <v>0.345205479452055</v>
      </c>
      <c r="N29" s="0" t="str">
        <f aca="false">INDEX({"AIADMK+","DMK+","NOTA","NTK","TVK"},MATCH(MAX(I29:M29),I29:M29,0))</f>
        <v>TVK</v>
      </c>
      <c r="O29" s="5" t="n">
        <f aca="false">COUNTIFS('AC Estimate'!$C$5:$C$238,$A29,'AC Estimate'!$P$5:$P$238,"TVK")</f>
        <v>3</v>
      </c>
      <c r="P29" s="5" t="n">
        <f aca="false">COUNTIFS('AC Estimate'!$C$5:$C$238,$A29,'AC Estimate'!$P$5:$P$238,"AIADMK+")</f>
        <v>2</v>
      </c>
      <c r="Q29" s="5" t="n">
        <f aca="false">COUNTIFS('AC Estimate'!$C$5:$C$238,$A29,'AC Estimate'!$P$5:$P$238,"DMK+")</f>
        <v>3</v>
      </c>
      <c r="R29" s="5" t="n">
        <f aca="false">COUNTIFS('AC Estimate'!$C$5:$C$238,$A29,'AC Estimate'!$R$5:$R$238,"TVK")</f>
        <v>2</v>
      </c>
      <c r="S29" s="5" t="n">
        <f aca="false">COUNTIFS('AC Estimate'!$C$5:$C$238,$A29,'AC Estimate'!$R$5:$R$238,"AIADMK+")</f>
        <v>0</v>
      </c>
      <c r="T29" s="5" t="n">
        <f aca="false">COUNTIFS('AC Estimate'!$C$5:$C$238,$A29,'AC Estimate'!$R$5:$R$238,"DMK+")</f>
        <v>6</v>
      </c>
      <c r="U29" s="6" t="n">
        <f aca="false">R29-O29</f>
        <v>-1</v>
      </c>
      <c r="V29" s="6" t="n">
        <f aca="false">S29-P29</f>
        <v>-2</v>
      </c>
      <c r="W29" s="6" t="n">
        <f aca="false">T29-Q29</f>
        <v>3</v>
      </c>
      <c r="X29" s="5" t="n">
        <f aca="false">COUNTIFS('AC Estimate'!$C$5:$C$238,$A29,'AC Estimate'!$S$5:$S$238,"Yes")</f>
        <v>3</v>
      </c>
      <c r="Y29" s="36" t="str">
        <f aca="false">IF(COUNTIF(O29:Q29,MAX(O29:Q29))&gt;1,"Tie",INDEX({"TVK","AIADMK+","DMK+"},MATCH(MAX(O29:Q29),O29:Q29,0)))</f>
        <v>Tie</v>
      </c>
      <c r="Z29" s="36" t="str">
        <f aca="false">IF(COUNTIF(R29:T29,MAX(R29:T29))&gt;1,"Tie",INDEX({"TVK","AIADMK+","DMK+"},MATCH(MAX(R29:T29),R29:T29,0)))</f>
        <v>DMK+</v>
      </c>
      <c r="AA29" s="0" t="str">
        <f aca="false">IF(OR(Y29="Tie",Z29="Tie"),"Partly",IF(Y29=Z29,"Yes","No"))</f>
        <v>Partly</v>
      </c>
      <c r="AB29" s="7" t="n">
        <f aca="false">COUNTIFS('AC Estimate'!$C$5:$C$238,$A29,'AC Estimate'!$AK$5:$AK$238,"TVK")</f>
        <v>2</v>
      </c>
      <c r="AC29" s="7" t="n">
        <f aca="false">COUNTIFS('AC Estimate'!$C$5:$C$238,$A29,'AC Estimate'!$AK$5:$AK$238,"AIADMK+")</f>
        <v>0</v>
      </c>
      <c r="AD29" s="7" t="n">
        <f aca="false">COUNTIFS('AC Estimate'!$C$5:$C$238,$A29,'AC Estimate'!$AK$5:$AK$238,"DMK+")</f>
        <v>6</v>
      </c>
      <c r="AE29" s="7" t="n">
        <f aca="false">COUNTIFS('AC Estimate'!$C$5:$C$238,$A29,'AC Estimate'!$AL$5:$AL$238,"Yes")</f>
        <v>8</v>
      </c>
      <c r="AF29" s="7" t="n">
        <f aca="false">ABS(R29-AB29)+ABS(S29-AC29)+ABS(T29-AD29)</f>
        <v>0</v>
      </c>
      <c r="AG29" s="7" t="n">
        <f aca="false">ABS(U29)+ABS(V29)+ABS(W29)</f>
        <v>6</v>
      </c>
      <c r="AH29" s="7" t="n">
        <f aca="false">R29-AB29</f>
        <v>0</v>
      </c>
      <c r="AI29" s="7" t="n">
        <f aca="false">S29-AC29</f>
        <v>0</v>
      </c>
      <c r="AJ29" s="7" t="n">
        <f aca="false">T29-AD29</f>
        <v>0</v>
      </c>
      <c r="AK29" s="7" t="str">
        <f aca="false">IF(MAX(ABS(AH29),ABS(AI29),ABS(AJ29))&lt;=Calibration!$B$3,"Yes","No")</f>
        <v>Yes</v>
      </c>
    </row>
    <row r="30" customFormat="false" ht="15" hidden="false" customHeight="false" outlineLevel="0" collapsed="false">
      <c r="A30" s="4" t="s">
        <v>142</v>
      </c>
      <c r="B30" s="5" t="n">
        <f aca="false">COUNTIF('AC Estimate'!$C$5:$C$238,$A30)</f>
        <v>3</v>
      </c>
      <c r="C30" s="5" t="n">
        <f aca="false">SUMIFS('AC Estimate'!$D$5:$D$238,'AC Estimate'!$C$5:$C$238,$A30)</f>
        <v>22</v>
      </c>
      <c r="D30" s="5" t="n">
        <f aca="false">SUMIFS('AC Estimate'!$E$5:$E$238,'AC Estimate'!$C$5:$C$238,$A30)</f>
        <v>21</v>
      </c>
      <c r="E30" s="5" t="n">
        <f aca="false">SUMIFS('AC Estimate'!$F$5:$F$238,'AC Estimate'!$C$5:$C$238,$A30)</f>
        <v>1</v>
      </c>
      <c r="F30" s="5" t="n">
        <f aca="false">SUMIFS('AC Estimate'!$G$5:$G$238,'AC Estimate'!$C$5:$C$238,$A30)</f>
        <v>11</v>
      </c>
      <c r="G30" s="5" t="n">
        <f aca="false">SUMIFS('AC Estimate'!$H$5:$H$238,'AC Estimate'!$C$5:$C$238,$A30)</f>
        <v>34</v>
      </c>
      <c r="H30" s="5" t="n">
        <f aca="false">SUM(C30:G30)</f>
        <v>89</v>
      </c>
      <c r="I30" s="10" t="n">
        <f aca="false">IF($H30=0,0,C30/$H30)</f>
        <v>0.247191011235955</v>
      </c>
      <c r="J30" s="10" t="n">
        <f aca="false">IF($H30=0,0,D30/$H30)</f>
        <v>0.235955056179775</v>
      </c>
      <c r="K30" s="10" t="n">
        <f aca="false">IF($H30=0,0,E30/$H30)</f>
        <v>0.0112359550561798</v>
      </c>
      <c r="L30" s="10" t="n">
        <f aca="false">IF($H30=0,0,F30/$H30)</f>
        <v>0.123595505617978</v>
      </c>
      <c r="M30" s="10" t="n">
        <f aca="false">IF($H30=0,0,G30/$H30)</f>
        <v>0.382022471910112</v>
      </c>
      <c r="N30" s="0" t="str">
        <f aca="false">INDEX({"AIADMK+","DMK+","NOTA","NTK","TVK"},MATCH(MAX(I30:M30),I30:M30,0))</f>
        <v>TVK</v>
      </c>
      <c r="O30" s="5" t="n">
        <f aca="false">COUNTIFS('AC Estimate'!$C$5:$C$238,$A30,'AC Estimate'!$P$5:$P$238,"TVK")</f>
        <v>2</v>
      </c>
      <c r="P30" s="5" t="n">
        <f aca="false">COUNTIFS('AC Estimate'!$C$5:$C$238,$A30,'AC Estimate'!$P$5:$P$238,"AIADMK+")</f>
        <v>0</v>
      </c>
      <c r="Q30" s="5" t="n">
        <f aca="false">COUNTIFS('AC Estimate'!$C$5:$C$238,$A30,'AC Estimate'!$P$5:$P$238,"DMK+")</f>
        <v>1</v>
      </c>
      <c r="R30" s="5" t="n">
        <f aca="false">COUNTIFS('AC Estimate'!$C$5:$C$238,$A30,'AC Estimate'!$R$5:$R$238,"TVK")</f>
        <v>0</v>
      </c>
      <c r="S30" s="5" t="n">
        <f aca="false">COUNTIFS('AC Estimate'!$C$5:$C$238,$A30,'AC Estimate'!$R$5:$R$238,"AIADMK+")</f>
        <v>1</v>
      </c>
      <c r="T30" s="5" t="n">
        <f aca="false">COUNTIFS('AC Estimate'!$C$5:$C$238,$A30,'AC Estimate'!$R$5:$R$238,"DMK+")</f>
        <v>2</v>
      </c>
      <c r="U30" s="6" t="n">
        <f aca="false">R30-O30</f>
        <v>-2</v>
      </c>
      <c r="V30" s="6" t="n">
        <f aca="false">S30-P30</f>
        <v>1</v>
      </c>
      <c r="W30" s="6" t="n">
        <f aca="false">T30-Q30</f>
        <v>1</v>
      </c>
      <c r="X30" s="5" t="n">
        <f aca="false">COUNTIFS('AC Estimate'!$C$5:$C$238,$A30,'AC Estimate'!$S$5:$S$238,"Yes")</f>
        <v>1</v>
      </c>
      <c r="Y30" s="36" t="str">
        <f aca="false">IF(COUNTIF(O30:Q30,MAX(O30:Q30))&gt;1,"Tie",INDEX({"TVK","AIADMK+","DMK+"},MATCH(MAX(O30:Q30),O30:Q30,0)))</f>
        <v>TVK</v>
      </c>
      <c r="Z30" s="36" t="str">
        <f aca="false">IF(COUNTIF(R30:T30,MAX(R30:T30))&gt;1,"Tie",INDEX({"TVK","AIADMK+","DMK+"},MATCH(MAX(R30:T30),R30:T30,0)))</f>
        <v>DMK+</v>
      </c>
      <c r="AA30" s="0" t="str">
        <f aca="false">IF(OR(Y30="Tie",Z30="Tie"),"Partly",IF(Y30=Z30,"Yes","No"))</f>
        <v>No</v>
      </c>
      <c r="AB30" s="7" t="n">
        <f aca="false">COUNTIFS('AC Estimate'!$C$5:$C$238,$A30,'AC Estimate'!$AK$5:$AK$238,"TVK")</f>
        <v>0</v>
      </c>
      <c r="AC30" s="7" t="n">
        <f aca="false">COUNTIFS('AC Estimate'!$C$5:$C$238,$A30,'AC Estimate'!$AK$5:$AK$238,"AIADMK+")</f>
        <v>1</v>
      </c>
      <c r="AD30" s="7" t="n">
        <f aca="false">COUNTIFS('AC Estimate'!$C$5:$C$238,$A30,'AC Estimate'!$AK$5:$AK$238,"DMK+")</f>
        <v>2</v>
      </c>
      <c r="AE30" s="7" t="n">
        <f aca="false">COUNTIFS('AC Estimate'!$C$5:$C$238,$A30,'AC Estimate'!$AL$5:$AL$238,"Yes")</f>
        <v>1</v>
      </c>
      <c r="AF30" s="7" t="n">
        <f aca="false">ABS(R30-AB30)+ABS(S30-AC30)+ABS(T30-AD30)</f>
        <v>0</v>
      </c>
      <c r="AG30" s="7" t="n">
        <f aca="false">ABS(U30)+ABS(V30)+ABS(W30)</f>
        <v>4</v>
      </c>
      <c r="AH30" s="7" t="n">
        <f aca="false">R30-AB30</f>
        <v>0</v>
      </c>
      <c r="AI30" s="7" t="n">
        <f aca="false">S30-AC30</f>
        <v>0</v>
      </c>
      <c r="AJ30" s="7" t="n">
        <f aca="false">T30-AD30</f>
        <v>0</v>
      </c>
      <c r="AK30" s="7" t="str">
        <f aca="false">IF(MAX(ABS(AH30),ABS(AI30),ABS(AJ30))&lt;=Calibration!$B$3,"Yes","No")</f>
        <v>Yes</v>
      </c>
    </row>
    <row r="31" customFormat="false" ht="15" hidden="false" customHeight="false" outlineLevel="0" collapsed="false">
      <c r="A31" s="4" t="s">
        <v>144</v>
      </c>
      <c r="B31" s="5" t="n">
        <f aca="false">COUNTIF('AC Estimate'!$C$5:$C$238,$A31)</f>
        <v>4</v>
      </c>
      <c r="C31" s="5" t="n">
        <f aca="false">SUMIFS('AC Estimate'!$D$5:$D$238,'AC Estimate'!$C$5:$C$238,$A31)</f>
        <v>34</v>
      </c>
      <c r="D31" s="5" t="n">
        <f aca="false">SUMIFS('AC Estimate'!$E$5:$E$238,'AC Estimate'!$C$5:$C$238,$A31)</f>
        <v>72</v>
      </c>
      <c r="E31" s="5" t="n">
        <f aca="false">SUMIFS('AC Estimate'!$F$5:$F$238,'AC Estimate'!$C$5:$C$238,$A31)</f>
        <v>0</v>
      </c>
      <c r="F31" s="5" t="n">
        <f aca="false">SUMIFS('AC Estimate'!$G$5:$G$238,'AC Estimate'!$C$5:$C$238,$A31)</f>
        <v>18</v>
      </c>
      <c r="G31" s="5" t="n">
        <f aca="false">SUMIFS('AC Estimate'!$H$5:$H$238,'AC Estimate'!$C$5:$C$238,$A31)</f>
        <v>73</v>
      </c>
      <c r="H31" s="5" t="n">
        <f aca="false">SUM(C31:G31)</f>
        <v>197</v>
      </c>
      <c r="I31" s="10" t="n">
        <f aca="false">IF($H31=0,0,C31/$H31)</f>
        <v>0.17258883248731</v>
      </c>
      <c r="J31" s="10" t="n">
        <f aca="false">IF($H31=0,0,D31/$H31)</f>
        <v>0.365482233502538</v>
      </c>
      <c r="K31" s="10" t="n">
        <f aca="false">IF($H31=0,0,E31/$H31)</f>
        <v>0</v>
      </c>
      <c r="L31" s="10" t="n">
        <f aca="false">IF($H31=0,0,F31/$H31)</f>
        <v>0.0913705583756345</v>
      </c>
      <c r="M31" s="10" t="n">
        <f aca="false">IF($H31=0,0,G31/$H31)</f>
        <v>0.370558375634518</v>
      </c>
      <c r="N31" s="0" t="str">
        <f aca="false">INDEX({"AIADMK+","DMK+","NOTA","NTK","TVK"},MATCH(MAX(I31:M31),I31:M31,0))</f>
        <v>TVK</v>
      </c>
      <c r="O31" s="5" t="n">
        <f aca="false">COUNTIFS('AC Estimate'!$C$5:$C$238,$A31,'AC Estimate'!$P$5:$P$238,"TVK")</f>
        <v>1</v>
      </c>
      <c r="P31" s="5" t="n">
        <f aca="false">COUNTIFS('AC Estimate'!$C$5:$C$238,$A31,'AC Estimate'!$P$5:$P$238,"AIADMK+")</f>
        <v>0</v>
      </c>
      <c r="Q31" s="5" t="n">
        <f aca="false">COUNTIFS('AC Estimate'!$C$5:$C$238,$A31,'AC Estimate'!$P$5:$P$238,"DMK+")</f>
        <v>3</v>
      </c>
      <c r="R31" s="5" t="n">
        <f aca="false">COUNTIFS('AC Estimate'!$C$5:$C$238,$A31,'AC Estimate'!$R$5:$R$238,"TVK")</f>
        <v>2</v>
      </c>
      <c r="S31" s="5" t="n">
        <f aca="false">COUNTIFS('AC Estimate'!$C$5:$C$238,$A31,'AC Estimate'!$R$5:$R$238,"AIADMK+")</f>
        <v>0</v>
      </c>
      <c r="T31" s="5" t="n">
        <f aca="false">COUNTIFS('AC Estimate'!$C$5:$C$238,$A31,'AC Estimate'!$R$5:$R$238,"DMK+")</f>
        <v>2</v>
      </c>
      <c r="U31" s="6" t="n">
        <f aca="false">R31-O31</f>
        <v>1</v>
      </c>
      <c r="V31" s="6" t="n">
        <f aca="false">S31-P31</f>
        <v>0</v>
      </c>
      <c r="W31" s="6" t="n">
        <f aca="false">T31-Q31</f>
        <v>-1</v>
      </c>
      <c r="X31" s="5" t="n">
        <f aca="false">COUNTIFS('AC Estimate'!$C$5:$C$238,$A31,'AC Estimate'!$S$5:$S$238,"Yes")</f>
        <v>3</v>
      </c>
      <c r="Y31" s="36" t="str">
        <f aca="false">IF(COUNTIF(O31:Q31,MAX(O31:Q31))&gt;1,"Tie",INDEX({"TVK","AIADMK+","DMK+"},MATCH(MAX(O31:Q31),O31:Q31,0)))</f>
        <v>DMK+</v>
      </c>
      <c r="Z31" s="36" t="str">
        <f aca="false">IF(COUNTIF(R31:T31,MAX(R31:T31))&gt;1,"Tie",INDEX({"TVK","AIADMK+","DMK+"},MATCH(MAX(R31:T31),R31:T31,0)))</f>
        <v>Tie</v>
      </c>
      <c r="AA31" s="0" t="str">
        <f aca="false">IF(OR(Y31="Tie",Z31="Tie"),"Partly",IF(Y31=Z31,"Yes","No"))</f>
        <v>Partly</v>
      </c>
      <c r="AB31" s="7" t="n">
        <f aca="false">COUNTIFS('AC Estimate'!$C$5:$C$238,$A31,'AC Estimate'!$AK$5:$AK$238,"TVK")</f>
        <v>2</v>
      </c>
      <c r="AC31" s="7" t="n">
        <f aca="false">COUNTIFS('AC Estimate'!$C$5:$C$238,$A31,'AC Estimate'!$AK$5:$AK$238,"AIADMK+")</f>
        <v>0</v>
      </c>
      <c r="AD31" s="7" t="n">
        <f aca="false">COUNTIFS('AC Estimate'!$C$5:$C$238,$A31,'AC Estimate'!$AK$5:$AK$238,"DMK+")</f>
        <v>2</v>
      </c>
      <c r="AE31" s="7" t="n">
        <f aca="false">COUNTIFS('AC Estimate'!$C$5:$C$238,$A31,'AC Estimate'!$AL$5:$AL$238,"Yes")</f>
        <v>2</v>
      </c>
      <c r="AF31" s="7" t="n">
        <f aca="false">ABS(R31-AB31)+ABS(S31-AC31)+ABS(T31-AD31)</f>
        <v>0</v>
      </c>
      <c r="AG31" s="7" t="n">
        <f aca="false">ABS(U31)+ABS(V31)+ABS(W31)</f>
        <v>2</v>
      </c>
      <c r="AH31" s="7" t="n">
        <f aca="false">R31-AB31</f>
        <v>0</v>
      </c>
      <c r="AI31" s="7" t="n">
        <f aca="false">S31-AC31</f>
        <v>0</v>
      </c>
      <c r="AJ31" s="7" t="n">
        <f aca="false">T31-AD31</f>
        <v>0</v>
      </c>
      <c r="AK31" s="7" t="str">
        <f aca="false">IF(MAX(ABS(AH31),ABS(AI31),ABS(AJ31))&lt;=Calibration!$B$3,"Yes","No")</f>
        <v>Yes</v>
      </c>
    </row>
    <row r="32" customFormat="false" ht="15" hidden="false" customHeight="false" outlineLevel="0" collapsed="false">
      <c r="A32" s="4" t="s">
        <v>146</v>
      </c>
      <c r="B32" s="5" t="n">
        <f aca="false">COUNTIF('AC Estimate'!$C$5:$C$238,$A32)</f>
        <v>6</v>
      </c>
      <c r="C32" s="5" t="n">
        <f aca="false">SUMIFS('AC Estimate'!$D$5:$D$238,'AC Estimate'!$C$5:$C$238,$A32)</f>
        <v>93</v>
      </c>
      <c r="D32" s="5" t="n">
        <f aca="false">SUMIFS('AC Estimate'!$E$5:$E$238,'AC Estimate'!$C$5:$C$238,$A32)</f>
        <v>164</v>
      </c>
      <c r="E32" s="5" t="n">
        <f aca="false">SUMIFS('AC Estimate'!$F$5:$F$238,'AC Estimate'!$C$5:$C$238,$A32)</f>
        <v>6</v>
      </c>
      <c r="F32" s="5" t="n">
        <f aca="false">SUMIFS('AC Estimate'!$G$5:$G$238,'AC Estimate'!$C$5:$C$238,$A32)</f>
        <v>29</v>
      </c>
      <c r="G32" s="5" t="n">
        <f aca="false">SUMIFS('AC Estimate'!$H$5:$H$238,'AC Estimate'!$C$5:$C$238,$A32)</f>
        <v>213</v>
      </c>
      <c r="H32" s="5" t="n">
        <f aca="false">SUM(C32:G32)</f>
        <v>505</v>
      </c>
      <c r="I32" s="10" t="n">
        <f aca="false">IF($H32=0,0,C32/$H32)</f>
        <v>0.184158415841584</v>
      </c>
      <c r="J32" s="10" t="n">
        <f aca="false">IF($H32=0,0,D32/$H32)</f>
        <v>0.324752475247525</v>
      </c>
      <c r="K32" s="10" t="n">
        <f aca="false">IF($H32=0,0,E32/$H32)</f>
        <v>0.0118811881188119</v>
      </c>
      <c r="L32" s="10" t="n">
        <f aca="false">IF($H32=0,0,F32/$H32)</f>
        <v>0.0574257425742574</v>
      </c>
      <c r="M32" s="10" t="n">
        <f aca="false">IF($H32=0,0,G32/$H32)</f>
        <v>0.421782178217822</v>
      </c>
      <c r="N32" s="0" t="str">
        <f aca="false">INDEX({"AIADMK+","DMK+","NOTA","NTK","TVK"},MATCH(MAX(I32:M32),I32:M32,0))</f>
        <v>TVK</v>
      </c>
      <c r="O32" s="5" t="n">
        <f aca="false">COUNTIFS('AC Estimate'!$C$5:$C$238,$A32,'AC Estimate'!$P$5:$P$238,"TVK")</f>
        <v>4</v>
      </c>
      <c r="P32" s="5" t="n">
        <f aca="false">COUNTIFS('AC Estimate'!$C$5:$C$238,$A32,'AC Estimate'!$P$5:$P$238,"AIADMK+")</f>
        <v>0</v>
      </c>
      <c r="Q32" s="5" t="n">
        <f aca="false">COUNTIFS('AC Estimate'!$C$5:$C$238,$A32,'AC Estimate'!$P$5:$P$238,"DMK+")</f>
        <v>2</v>
      </c>
      <c r="R32" s="5" t="n">
        <f aca="false">COUNTIFS('AC Estimate'!$C$5:$C$238,$A32,'AC Estimate'!$R$5:$R$238,"TVK")</f>
        <v>5</v>
      </c>
      <c r="S32" s="5" t="n">
        <f aca="false">COUNTIFS('AC Estimate'!$C$5:$C$238,$A32,'AC Estimate'!$R$5:$R$238,"AIADMK+")</f>
        <v>1</v>
      </c>
      <c r="T32" s="5" t="n">
        <f aca="false">COUNTIFS('AC Estimate'!$C$5:$C$238,$A32,'AC Estimate'!$R$5:$R$238,"DMK+")</f>
        <v>0</v>
      </c>
      <c r="U32" s="6" t="n">
        <f aca="false">R32-O32</f>
        <v>1</v>
      </c>
      <c r="V32" s="6" t="n">
        <f aca="false">S32-P32</f>
        <v>1</v>
      </c>
      <c r="W32" s="6" t="n">
        <f aca="false">T32-Q32</f>
        <v>-2</v>
      </c>
      <c r="X32" s="5" t="n">
        <f aca="false">COUNTIFS('AC Estimate'!$C$5:$C$238,$A32,'AC Estimate'!$S$5:$S$238,"Yes")</f>
        <v>3</v>
      </c>
      <c r="Y32" s="36" t="str">
        <f aca="false">IF(COUNTIF(O32:Q32,MAX(O32:Q32))&gt;1,"Tie",INDEX({"TVK","AIADMK+","DMK+"},MATCH(MAX(O32:Q32),O32:Q32,0)))</f>
        <v>TVK</v>
      </c>
      <c r="Z32" s="36" t="str">
        <f aca="false">IF(COUNTIF(R32:T32,MAX(R32:T32))&gt;1,"Tie",INDEX({"TVK","AIADMK+","DMK+"},MATCH(MAX(R32:T32),R32:T32,0)))</f>
        <v>TVK</v>
      </c>
      <c r="AA32" s="0" t="str">
        <f aca="false">IF(OR(Y32="Tie",Z32="Tie"),"Partly",IF(Y32=Z32,"Yes","No"))</f>
        <v>Yes</v>
      </c>
      <c r="AB32" s="7" t="n">
        <f aca="false">COUNTIFS('AC Estimate'!$C$5:$C$238,$A32,'AC Estimate'!$AK$5:$AK$238,"TVK")</f>
        <v>5</v>
      </c>
      <c r="AC32" s="7" t="n">
        <f aca="false">COUNTIFS('AC Estimate'!$C$5:$C$238,$A32,'AC Estimate'!$AK$5:$AK$238,"AIADMK+")</f>
        <v>1</v>
      </c>
      <c r="AD32" s="7" t="n">
        <f aca="false">COUNTIFS('AC Estimate'!$C$5:$C$238,$A32,'AC Estimate'!$AK$5:$AK$238,"DMK+")</f>
        <v>0</v>
      </c>
      <c r="AE32" s="7" t="n">
        <f aca="false">COUNTIFS('AC Estimate'!$C$5:$C$238,$A32,'AC Estimate'!$AL$5:$AL$238,"Yes")</f>
        <v>4</v>
      </c>
      <c r="AF32" s="7" t="n">
        <f aca="false">ABS(R32-AB32)+ABS(S32-AC32)+ABS(T32-AD32)</f>
        <v>0</v>
      </c>
      <c r="AG32" s="7" t="n">
        <f aca="false">ABS(U32)+ABS(V32)+ABS(W32)</f>
        <v>4</v>
      </c>
      <c r="AH32" s="7" t="n">
        <f aca="false">R32-AB32</f>
        <v>0</v>
      </c>
      <c r="AI32" s="7" t="n">
        <f aca="false">S32-AC32</f>
        <v>0</v>
      </c>
      <c r="AJ32" s="7" t="n">
        <f aca="false">T32-AD32</f>
        <v>0</v>
      </c>
      <c r="AK32" s="7" t="str">
        <f aca="false">IF(MAX(ABS(AH32),ABS(AI32),ABS(AJ32))&lt;=Calibration!$B$3,"Yes","No")</f>
        <v>Yes</v>
      </c>
    </row>
    <row r="33" customFormat="false" ht="15" hidden="false" customHeight="false" outlineLevel="0" collapsed="false">
      <c r="A33" s="4" t="s">
        <v>148</v>
      </c>
      <c r="B33" s="5" t="n">
        <f aca="false">COUNTIF('AC Estimate'!$C$5:$C$238,$A33)</f>
        <v>6</v>
      </c>
      <c r="C33" s="5" t="n">
        <f aca="false">SUMIFS('AC Estimate'!$D$5:$D$238,'AC Estimate'!$C$5:$C$238,$A33)</f>
        <v>74</v>
      </c>
      <c r="D33" s="5" t="n">
        <f aca="false">SUMIFS('AC Estimate'!$E$5:$E$238,'AC Estimate'!$C$5:$C$238,$A33)</f>
        <v>100</v>
      </c>
      <c r="E33" s="5" t="n">
        <f aca="false">SUMIFS('AC Estimate'!$F$5:$F$238,'AC Estimate'!$C$5:$C$238,$A33)</f>
        <v>1</v>
      </c>
      <c r="F33" s="5" t="n">
        <f aca="false">SUMIFS('AC Estimate'!$G$5:$G$238,'AC Estimate'!$C$5:$C$238,$A33)</f>
        <v>33</v>
      </c>
      <c r="G33" s="5" t="n">
        <f aca="false">SUMIFS('AC Estimate'!$H$5:$H$238,'AC Estimate'!$C$5:$C$238,$A33)</f>
        <v>120</v>
      </c>
      <c r="H33" s="5" t="n">
        <f aca="false">SUM(C33:G33)</f>
        <v>328</v>
      </c>
      <c r="I33" s="10" t="n">
        <f aca="false">IF($H33=0,0,C33/$H33)</f>
        <v>0.225609756097561</v>
      </c>
      <c r="J33" s="10" t="n">
        <f aca="false">IF($H33=0,0,D33/$H33)</f>
        <v>0.304878048780488</v>
      </c>
      <c r="K33" s="10" t="n">
        <f aca="false">IF($H33=0,0,E33/$H33)</f>
        <v>0.00304878048780488</v>
      </c>
      <c r="L33" s="10" t="n">
        <f aca="false">IF($H33=0,0,F33/$H33)</f>
        <v>0.100609756097561</v>
      </c>
      <c r="M33" s="10" t="n">
        <f aca="false">IF($H33=0,0,G33/$H33)</f>
        <v>0.365853658536585</v>
      </c>
      <c r="N33" s="0" t="str">
        <f aca="false">INDEX({"AIADMK+","DMK+","NOTA","NTK","TVK"},MATCH(MAX(I33:M33),I33:M33,0))</f>
        <v>TVK</v>
      </c>
      <c r="O33" s="5" t="n">
        <f aca="false">COUNTIFS('AC Estimate'!$C$5:$C$238,$A33,'AC Estimate'!$P$5:$P$238,"TVK")</f>
        <v>2</v>
      </c>
      <c r="P33" s="5" t="n">
        <f aca="false">COUNTIFS('AC Estimate'!$C$5:$C$238,$A33,'AC Estimate'!$P$5:$P$238,"AIADMK+")</f>
        <v>0</v>
      </c>
      <c r="Q33" s="5" t="n">
        <f aca="false">COUNTIFS('AC Estimate'!$C$5:$C$238,$A33,'AC Estimate'!$P$5:$P$238,"DMK+")</f>
        <v>4</v>
      </c>
      <c r="R33" s="5" t="n">
        <f aca="false">COUNTIFS('AC Estimate'!$C$5:$C$238,$A33,'AC Estimate'!$R$5:$R$238,"TVK")</f>
        <v>3</v>
      </c>
      <c r="S33" s="5" t="n">
        <f aca="false">COUNTIFS('AC Estimate'!$C$5:$C$238,$A33,'AC Estimate'!$R$5:$R$238,"AIADMK+")</f>
        <v>0</v>
      </c>
      <c r="T33" s="5" t="n">
        <f aca="false">COUNTIFS('AC Estimate'!$C$5:$C$238,$A33,'AC Estimate'!$R$5:$R$238,"DMK+")</f>
        <v>3</v>
      </c>
      <c r="U33" s="6" t="n">
        <f aca="false">R33-O33</f>
        <v>1</v>
      </c>
      <c r="V33" s="6" t="n">
        <f aca="false">S33-P33</f>
        <v>0</v>
      </c>
      <c r="W33" s="6" t="n">
        <f aca="false">T33-Q33</f>
        <v>-1</v>
      </c>
      <c r="X33" s="5" t="n">
        <f aca="false">COUNTIFS('AC Estimate'!$C$5:$C$238,$A33,'AC Estimate'!$S$5:$S$238,"Yes")</f>
        <v>3</v>
      </c>
      <c r="Y33" s="36" t="str">
        <f aca="false">IF(COUNTIF(O33:Q33,MAX(O33:Q33))&gt;1,"Tie",INDEX({"TVK","AIADMK+","DMK+"},MATCH(MAX(O33:Q33),O33:Q33,0)))</f>
        <v>DMK+</v>
      </c>
      <c r="Z33" s="36" t="str">
        <f aca="false">IF(COUNTIF(R33:T33,MAX(R33:T33))&gt;1,"Tie",INDEX({"TVK","AIADMK+","DMK+"},MATCH(MAX(R33:T33),R33:T33,0)))</f>
        <v>Tie</v>
      </c>
      <c r="AA33" s="0" t="str">
        <f aca="false">IF(OR(Y33="Tie",Z33="Tie"),"Partly",IF(Y33=Z33,"Yes","No"))</f>
        <v>Partly</v>
      </c>
      <c r="AB33" s="7" t="n">
        <f aca="false">COUNTIFS('AC Estimate'!$C$5:$C$238,$A33,'AC Estimate'!$AK$5:$AK$238,"TVK")</f>
        <v>3</v>
      </c>
      <c r="AC33" s="7" t="n">
        <f aca="false">COUNTIFS('AC Estimate'!$C$5:$C$238,$A33,'AC Estimate'!$AK$5:$AK$238,"AIADMK+")</f>
        <v>0</v>
      </c>
      <c r="AD33" s="7" t="n">
        <f aca="false">COUNTIFS('AC Estimate'!$C$5:$C$238,$A33,'AC Estimate'!$AK$5:$AK$238,"DMK+")</f>
        <v>3</v>
      </c>
      <c r="AE33" s="7" t="n">
        <f aca="false">COUNTIFS('AC Estimate'!$C$5:$C$238,$A33,'AC Estimate'!$AL$5:$AL$238,"Yes")</f>
        <v>4</v>
      </c>
      <c r="AF33" s="7" t="n">
        <f aca="false">ABS(R33-AB33)+ABS(S33-AC33)+ABS(T33-AD33)</f>
        <v>0</v>
      </c>
      <c r="AG33" s="7" t="n">
        <f aca="false">ABS(U33)+ABS(V33)+ABS(W33)</f>
        <v>2</v>
      </c>
      <c r="AH33" s="7" t="n">
        <f aca="false">R33-AB33</f>
        <v>0</v>
      </c>
      <c r="AI33" s="7" t="n">
        <f aca="false">S33-AC33</f>
        <v>0</v>
      </c>
      <c r="AJ33" s="7" t="n">
        <f aca="false">T33-AD33</f>
        <v>0</v>
      </c>
      <c r="AK33" s="7" t="str">
        <f aca="false">IF(MAX(ABS(AH33),ABS(AI33),ABS(AJ33))&lt;=Calibration!$B$3,"Yes","No")</f>
        <v>Yes</v>
      </c>
    </row>
    <row r="34" customFormat="false" ht="15" hidden="false" customHeight="false" outlineLevel="0" collapsed="false">
      <c r="A34" s="4" t="s">
        <v>150</v>
      </c>
      <c r="B34" s="5" t="n">
        <f aca="false">COUNTIF('AC Estimate'!$C$5:$C$238,$A34)</f>
        <v>9</v>
      </c>
      <c r="C34" s="5" t="n">
        <f aca="false">SUMIFS('AC Estimate'!$D$5:$D$238,'AC Estimate'!$C$5:$C$238,$A34)</f>
        <v>139</v>
      </c>
      <c r="D34" s="5" t="n">
        <f aca="false">SUMIFS('AC Estimate'!$E$5:$E$238,'AC Estimate'!$C$5:$C$238,$A34)</f>
        <v>139</v>
      </c>
      <c r="E34" s="5" t="n">
        <f aca="false">SUMIFS('AC Estimate'!$F$5:$F$238,'AC Estimate'!$C$5:$C$238,$A34)</f>
        <v>5</v>
      </c>
      <c r="F34" s="5" t="n">
        <f aca="false">SUMIFS('AC Estimate'!$G$5:$G$238,'AC Estimate'!$C$5:$C$238,$A34)</f>
        <v>38</v>
      </c>
      <c r="G34" s="5" t="n">
        <f aca="false">SUMIFS('AC Estimate'!$H$5:$H$238,'AC Estimate'!$C$5:$C$238,$A34)</f>
        <v>185</v>
      </c>
      <c r="H34" s="5" t="n">
        <f aca="false">SUM(C34:G34)</f>
        <v>506</v>
      </c>
      <c r="I34" s="10" t="n">
        <f aca="false">IF($H34=0,0,C34/$H34)</f>
        <v>0.274703557312253</v>
      </c>
      <c r="J34" s="10" t="n">
        <f aca="false">IF($H34=0,0,D34/$H34)</f>
        <v>0.274703557312253</v>
      </c>
      <c r="K34" s="10" t="n">
        <f aca="false">IF($H34=0,0,E34/$H34)</f>
        <v>0.00988142292490119</v>
      </c>
      <c r="L34" s="10" t="n">
        <f aca="false">IF($H34=0,0,F34/$H34)</f>
        <v>0.075098814229249</v>
      </c>
      <c r="M34" s="10" t="n">
        <f aca="false">IF($H34=0,0,G34/$H34)</f>
        <v>0.365612648221344</v>
      </c>
      <c r="N34" s="0" t="str">
        <f aca="false">INDEX({"AIADMK+","DMK+","NOTA","NTK","TVK"},MATCH(MAX(I34:M34),I34:M34,0))</f>
        <v>TVK</v>
      </c>
      <c r="O34" s="5" t="n">
        <f aca="false">COUNTIFS('AC Estimate'!$C$5:$C$238,$A34,'AC Estimate'!$P$5:$P$238,"TVK")</f>
        <v>3</v>
      </c>
      <c r="P34" s="5" t="n">
        <f aca="false">COUNTIFS('AC Estimate'!$C$5:$C$238,$A34,'AC Estimate'!$P$5:$P$238,"AIADMK+")</f>
        <v>2</v>
      </c>
      <c r="Q34" s="5" t="n">
        <f aca="false">COUNTIFS('AC Estimate'!$C$5:$C$238,$A34,'AC Estimate'!$P$5:$P$238,"DMK+")</f>
        <v>4</v>
      </c>
      <c r="R34" s="5" t="n">
        <f aca="false">COUNTIFS('AC Estimate'!$C$5:$C$238,$A34,'AC Estimate'!$R$5:$R$238,"TVK")</f>
        <v>6</v>
      </c>
      <c r="S34" s="5" t="n">
        <f aca="false">COUNTIFS('AC Estimate'!$C$5:$C$238,$A34,'AC Estimate'!$R$5:$R$238,"AIADMK+")</f>
        <v>1</v>
      </c>
      <c r="T34" s="5" t="n">
        <f aca="false">COUNTIFS('AC Estimate'!$C$5:$C$238,$A34,'AC Estimate'!$R$5:$R$238,"DMK+")</f>
        <v>2</v>
      </c>
      <c r="U34" s="6" t="n">
        <f aca="false">R34-O34</f>
        <v>3</v>
      </c>
      <c r="V34" s="6" t="n">
        <f aca="false">S34-P34</f>
        <v>-1</v>
      </c>
      <c r="W34" s="6" t="n">
        <f aca="false">T34-Q34</f>
        <v>-2</v>
      </c>
      <c r="X34" s="5" t="n">
        <f aca="false">COUNTIFS('AC Estimate'!$C$5:$C$238,$A34,'AC Estimate'!$S$5:$S$238,"Yes")</f>
        <v>2</v>
      </c>
      <c r="Y34" s="36" t="str">
        <f aca="false">IF(COUNTIF(O34:Q34,MAX(O34:Q34))&gt;1,"Tie",INDEX({"TVK","AIADMK+","DMK+"},MATCH(MAX(O34:Q34),O34:Q34,0)))</f>
        <v>DMK+</v>
      </c>
      <c r="Z34" s="36" t="str">
        <f aca="false">IF(COUNTIF(R34:T34,MAX(R34:T34))&gt;1,"Tie",INDEX({"TVK","AIADMK+","DMK+"},MATCH(MAX(R34:T34),R34:T34,0)))</f>
        <v>TVK</v>
      </c>
      <c r="AA34" s="0" t="str">
        <f aca="false">IF(OR(Y34="Tie",Z34="Tie"),"Partly",IF(Y34=Z34,"Yes","No"))</f>
        <v>No</v>
      </c>
      <c r="AB34" s="7" t="n">
        <f aca="false">COUNTIFS('AC Estimate'!$C$5:$C$238,$A34,'AC Estimate'!$AK$5:$AK$238,"TVK")</f>
        <v>6</v>
      </c>
      <c r="AC34" s="7" t="n">
        <f aca="false">COUNTIFS('AC Estimate'!$C$5:$C$238,$A34,'AC Estimate'!$AK$5:$AK$238,"AIADMK+")</f>
        <v>1</v>
      </c>
      <c r="AD34" s="7" t="n">
        <f aca="false">COUNTIFS('AC Estimate'!$C$5:$C$238,$A34,'AC Estimate'!$AK$5:$AK$238,"DMK+")</f>
        <v>2</v>
      </c>
      <c r="AE34" s="7" t="n">
        <f aca="false">COUNTIFS('AC Estimate'!$C$5:$C$238,$A34,'AC Estimate'!$AL$5:$AL$238,"Yes")</f>
        <v>7</v>
      </c>
      <c r="AF34" s="7" t="n">
        <f aca="false">ABS(R34-AB34)+ABS(S34-AC34)+ABS(T34-AD34)</f>
        <v>0</v>
      </c>
      <c r="AG34" s="7" t="n">
        <f aca="false">ABS(U34)+ABS(V34)+ABS(W34)</f>
        <v>6</v>
      </c>
      <c r="AH34" s="7" t="n">
        <f aca="false">R34-AB34</f>
        <v>0</v>
      </c>
      <c r="AI34" s="7" t="n">
        <f aca="false">S34-AC34</f>
        <v>0</v>
      </c>
      <c r="AJ34" s="7" t="n">
        <f aca="false">T34-AD34</f>
        <v>0</v>
      </c>
      <c r="AK34" s="7" t="str">
        <f aca="false">IF(MAX(ABS(AH34),ABS(AI34),ABS(AJ34))&lt;=Calibration!$B$3,"Yes","No")</f>
        <v>Yes</v>
      </c>
    </row>
    <row r="35" customFormat="false" ht="15" hidden="false" customHeight="false" outlineLevel="0" collapsed="false">
      <c r="A35" s="4" t="s">
        <v>152</v>
      </c>
      <c r="B35" s="5" t="n">
        <f aca="false">COUNTIF('AC Estimate'!$C$5:$C$238,$A35)</f>
        <v>5</v>
      </c>
      <c r="C35" s="5" t="n">
        <f aca="false">SUMIFS('AC Estimate'!$D$5:$D$238,'AC Estimate'!$C$5:$C$238,$A35)</f>
        <v>57</v>
      </c>
      <c r="D35" s="5" t="n">
        <f aca="false">SUMIFS('AC Estimate'!$E$5:$E$238,'AC Estimate'!$C$5:$C$238,$A35)</f>
        <v>95</v>
      </c>
      <c r="E35" s="5" t="n">
        <f aca="false">SUMIFS('AC Estimate'!$F$5:$F$238,'AC Estimate'!$C$5:$C$238,$A35)</f>
        <v>4</v>
      </c>
      <c r="F35" s="5" t="n">
        <f aca="false">SUMIFS('AC Estimate'!$G$5:$G$238,'AC Estimate'!$C$5:$C$238,$A35)</f>
        <v>32</v>
      </c>
      <c r="G35" s="5" t="n">
        <f aca="false">SUMIFS('AC Estimate'!$H$5:$H$238,'AC Estimate'!$C$5:$C$238,$A35)</f>
        <v>103</v>
      </c>
      <c r="H35" s="5" t="n">
        <f aca="false">SUM(C35:G35)</f>
        <v>291</v>
      </c>
      <c r="I35" s="10" t="n">
        <f aca="false">IF($H35=0,0,C35/$H35)</f>
        <v>0.195876288659794</v>
      </c>
      <c r="J35" s="10" t="n">
        <f aca="false">IF($H35=0,0,D35/$H35)</f>
        <v>0.326460481099656</v>
      </c>
      <c r="K35" s="10" t="n">
        <f aca="false">IF($H35=0,0,E35/$H35)</f>
        <v>0.013745704467354</v>
      </c>
      <c r="L35" s="10" t="n">
        <f aca="false">IF($H35=0,0,F35/$H35)</f>
        <v>0.109965635738832</v>
      </c>
      <c r="M35" s="10" t="n">
        <f aca="false">IF($H35=0,0,G35/$H35)</f>
        <v>0.353951890034364</v>
      </c>
      <c r="N35" s="0" t="str">
        <f aca="false">INDEX({"AIADMK+","DMK+","NOTA","NTK","TVK"},MATCH(MAX(I35:M35),I35:M35,0))</f>
        <v>TVK</v>
      </c>
      <c r="O35" s="5" t="n">
        <f aca="false">COUNTIFS('AC Estimate'!$C$5:$C$238,$A35,'AC Estimate'!$P$5:$P$238,"TVK")</f>
        <v>1</v>
      </c>
      <c r="P35" s="5" t="n">
        <f aca="false">COUNTIFS('AC Estimate'!$C$5:$C$238,$A35,'AC Estimate'!$P$5:$P$238,"AIADMK+")</f>
        <v>1</v>
      </c>
      <c r="Q35" s="5" t="n">
        <f aca="false">COUNTIFS('AC Estimate'!$C$5:$C$238,$A35,'AC Estimate'!$P$5:$P$238,"DMK+")</f>
        <v>3</v>
      </c>
      <c r="R35" s="5" t="n">
        <f aca="false">COUNTIFS('AC Estimate'!$C$5:$C$238,$A35,'AC Estimate'!$R$5:$R$238,"TVK")</f>
        <v>3</v>
      </c>
      <c r="S35" s="5" t="n">
        <f aca="false">COUNTIFS('AC Estimate'!$C$5:$C$238,$A35,'AC Estimate'!$R$5:$R$238,"AIADMK+")</f>
        <v>1</v>
      </c>
      <c r="T35" s="5" t="n">
        <f aca="false">COUNTIFS('AC Estimate'!$C$5:$C$238,$A35,'AC Estimate'!$R$5:$R$238,"DMK+")</f>
        <v>1</v>
      </c>
      <c r="U35" s="6" t="n">
        <f aca="false">R35-O35</f>
        <v>2</v>
      </c>
      <c r="V35" s="6" t="n">
        <f aca="false">S35-P35</f>
        <v>0</v>
      </c>
      <c r="W35" s="6" t="n">
        <f aca="false">T35-Q35</f>
        <v>-2</v>
      </c>
      <c r="X35" s="5" t="n">
        <f aca="false">COUNTIFS('AC Estimate'!$C$5:$C$238,$A35,'AC Estimate'!$S$5:$S$238,"Yes")</f>
        <v>2</v>
      </c>
      <c r="Y35" s="36" t="str">
        <f aca="false">IF(COUNTIF(O35:Q35,MAX(O35:Q35))&gt;1,"Tie",INDEX({"TVK","AIADMK+","DMK+"},MATCH(MAX(O35:Q35),O35:Q35,0)))</f>
        <v>DMK+</v>
      </c>
      <c r="Z35" s="36" t="str">
        <f aca="false">IF(COUNTIF(R35:T35,MAX(R35:T35))&gt;1,"Tie",INDEX({"TVK","AIADMK+","DMK+"},MATCH(MAX(R35:T35),R35:T35,0)))</f>
        <v>TVK</v>
      </c>
      <c r="AA35" s="0" t="str">
        <f aca="false">IF(OR(Y35="Tie",Z35="Tie"),"Partly",IF(Y35=Z35,"Yes","No"))</f>
        <v>No</v>
      </c>
      <c r="AB35" s="7" t="n">
        <f aca="false">COUNTIFS('AC Estimate'!$C$5:$C$238,$A35,'AC Estimate'!$AK$5:$AK$238,"TVK")</f>
        <v>3</v>
      </c>
      <c r="AC35" s="7" t="n">
        <f aca="false">COUNTIFS('AC Estimate'!$C$5:$C$238,$A35,'AC Estimate'!$AK$5:$AK$238,"AIADMK+")</f>
        <v>1</v>
      </c>
      <c r="AD35" s="7" t="n">
        <f aca="false">COUNTIFS('AC Estimate'!$C$5:$C$238,$A35,'AC Estimate'!$AK$5:$AK$238,"DMK+")</f>
        <v>1</v>
      </c>
      <c r="AE35" s="7" t="n">
        <f aca="false">COUNTIFS('AC Estimate'!$C$5:$C$238,$A35,'AC Estimate'!$AL$5:$AL$238,"Yes")</f>
        <v>3</v>
      </c>
      <c r="AF35" s="7" t="n">
        <f aca="false">ABS(R35-AB35)+ABS(S35-AC35)+ABS(T35-AD35)</f>
        <v>0</v>
      </c>
      <c r="AG35" s="7" t="n">
        <f aca="false">ABS(U35)+ABS(V35)+ABS(W35)</f>
        <v>4</v>
      </c>
      <c r="AH35" s="7" t="n">
        <f aca="false">R35-AB35</f>
        <v>0</v>
      </c>
      <c r="AI35" s="7" t="n">
        <f aca="false">S35-AC35</f>
        <v>0</v>
      </c>
      <c r="AJ35" s="7" t="n">
        <f aca="false">T35-AD35</f>
        <v>0</v>
      </c>
      <c r="AK35" s="7" t="str">
        <f aca="false">IF(MAX(ABS(AH35),ABS(AI35),ABS(AJ35))&lt;=Calibration!$B$3,"Yes","No")</f>
        <v>Yes</v>
      </c>
    </row>
    <row r="36" customFormat="false" ht="15" hidden="false" customHeight="false" outlineLevel="0" collapsed="false">
      <c r="A36" s="4" t="s">
        <v>154</v>
      </c>
      <c r="B36" s="5" t="n">
        <f aca="false">COUNTIF('AC Estimate'!$C$5:$C$238,$A36)</f>
        <v>4</v>
      </c>
      <c r="C36" s="5" t="n">
        <f aca="false">SUMIFS('AC Estimate'!$D$5:$D$238,'AC Estimate'!$C$5:$C$238,$A36)</f>
        <v>25</v>
      </c>
      <c r="D36" s="5" t="n">
        <f aca="false">SUMIFS('AC Estimate'!$E$5:$E$238,'AC Estimate'!$C$5:$C$238,$A36)</f>
        <v>50</v>
      </c>
      <c r="E36" s="5" t="n">
        <f aca="false">SUMIFS('AC Estimate'!$F$5:$F$238,'AC Estimate'!$C$5:$C$238,$A36)</f>
        <v>0</v>
      </c>
      <c r="F36" s="5" t="n">
        <f aca="false">SUMIFS('AC Estimate'!$G$5:$G$238,'AC Estimate'!$C$5:$C$238,$A36)</f>
        <v>3</v>
      </c>
      <c r="G36" s="5" t="n">
        <f aca="false">SUMIFS('AC Estimate'!$H$5:$H$238,'AC Estimate'!$C$5:$C$238,$A36)</f>
        <v>53</v>
      </c>
      <c r="H36" s="5" t="n">
        <f aca="false">SUM(C36:G36)</f>
        <v>131</v>
      </c>
      <c r="I36" s="10" t="n">
        <f aca="false">IF($H36=0,0,C36/$H36)</f>
        <v>0.190839694656489</v>
      </c>
      <c r="J36" s="10" t="n">
        <f aca="false">IF($H36=0,0,D36/$H36)</f>
        <v>0.381679389312977</v>
      </c>
      <c r="K36" s="10" t="n">
        <f aca="false">IF($H36=0,0,E36/$H36)</f>
        <v>0</v>
      </c>
      <c r="L36" s="10" t="n">
        <f aca="false">IF($H36=0,0,F36/$H36)</f>
        <v>0.0229007633587786</v>
      </c>
      <c r="M36" s="10" t="n">
        <f aca="false">IF($H36=0,0,G36/$H36)</f>
        <v>0.404580152671756</v>
      </c>
      <c r="N36" s="0" t="str">
        <f aca="false">INDEX({"AIADMK+","DMK+","NOTA","NTK","TVK"},MATCH(MAX(I36:M36),I36:M36,0))</f>
        <v>TVK</v>
      </c>
      <c r="O36" s="5" t="n">
        <f aca="false">COUNTIFS('AC Estimate'!$C$5:$C$238,$A36,'AC Estimate'!$P$5:$P$238,"TVK")</f>
        <v>2</v>
      </c>
      <c r="P36" s="5" t="n">
        <f aca="false">COUNTIFS('AC Estimate'!$C$5:$C$238,$A36,'AC Estimate'!$P$5:$P$238,"AIADMK+")</f>
        <v>0</v>
      </c>
      <c r="Q36" s="5" t="n">
        <f aca="false">COUNTIFS('AC Estimate'!$C$5:$C$238,$A36,'AC Estimate'!$P$5:$P$238,"DMK+")</f>
        <v>2</v>
      </c>
      <c r="R36" s="5" t="n">
        <f aca="false">COUNTIFS('AC Estimate'!$C$5:$C$238,$A36,'AC Estimate'!$R$5:$R$238,"TVK")</f>
        <v>1</v>
      </c>
      <c r="S36" s="5" t="n">
        <f aca="false">COUNTIFS('AC Estimate'!$C$5:$C$238,$A36,'AC Estimate'!$R$5:$R$238,"AIADMK+")</f>
        <v>1</v>
      </c>
      <c r="T36" s="5" t="n">
        <f aca="false">COUNTIFS('AC Estimate'!$C$5:$C$238,$A36,'AC Estimate'!$R$5:$R$238,"DMK+")</f>
        <v>2</v>
      </c>
      <c r="U36" s="6" t="n">
        <f aca="false">R36-O36</f>
        <v>-1</v>
      </c>
      <c r="V36" s="6" t="n">
        <f aca="false">S36-P36</f>
        <v>1</v>
      </c>
      <c r="W36" s="6" t="n">
        <f aca="false">T36-Q36</f>
        <v>0</v>
      </c>
      <c r="X36" s="5" t="n">
        <f aca="false">COUNTIFS('AC Estimate'!$C$5:$C$238,$A36,'AC Estimate'!$S$5:$S$238,"Yes")</f>
        <v>1</v>
      </c>
      <c r="Y36" s="36" t="str">
        <f aca="false">IF(COUNTIF(O36:Q36,MAX(O36:Q36))&gt;1,"Tie",INDEX({"TVK","AIADMK+","DMK+"},MATCH(MAX(O36:Q36),O36:Q36,0)))</f>
        <v>Tie</v>
      </c>
      <c r="Z36" s="36" t="str">
        <f aca="false">IF(COUNTIF(R36:T36,MAX(R36:T36))&gt;1,"Tie",INDEX({"TVK","AIADMK+","DMK+"},MATCH(MAX(R36:T36),R36:T36,0)))</f>
        <v>DMK+</v>
      </c>
      <c r="AA36" s="0" t="str">
        <f aca="false">IF(OR(Y36="Tie",Z36="Tie"),"Partly",IF(Y36=Z36,"Yes","No"))</f>
        <v>Partly</v>
      </c>
      <c r="AB36" s="7" t="n">
        <f aca="false">COUNTIFS('AC Estimate'!$C$5:$C$238,$A36,'AC Estimate'!$AK$5:$AK$238,"TVK")</f>
        <v>1</v>
      </c>
      <c r="AC36" s="7" t="n">
        <f aca="false">COUNTIFS('AC Estimate'!$C$5:$C$238,$A36,'AC Estimate'!$AK$5:$AK$238,"AIADMK+")</f>
        <v>1</v>
      </c>
      <c r="AD36" s="7" t="n">
        <f aca="false">COUNTIFS('AC Estimate'!$C$5:$C$238,$A36,'AC Estimate'!$AK$5:$AK$238,"DMK+")</f>
        <v>2</v>
      </c>
      <c r="AE36" s="7" t="n">
        <f aca="false">COUNTIFS('AC Estimate'!$C$5:$C$238,$A36,'AC Estimate'!$AL$5:$AL$238,"Yes")</f>
        <v>2</v>
      </c>
      <c r="AF36" s="7" t="n">
        <f aca="false">ABS(R36-AB36)+ABS(S36-AC36)+ABS(T36-AD36)</f>
        <v>0</v>
      </c>
      <c r="AG36" s="7" t="n">
        <f aca="false">ABS(U36)+ABS(V36)+ABS(W36)</f>
        <v>2</v>
      </c>
      <c r="AH36" s="7" t="n">
        <f aca="false">R36-AB36</f>
        <v>0</v>
      </c>
      <c r="AI36" s="7" t="n">
        <f aca="false">S36-AC36</f>
        <v>0</v>
      </c>
      <c r="AJ36" s="7" t="n">
        <f aca="false">T36-AD36</f>
        <v>0</v>
      </c>
      <c r="AK36" s="7" t="str">
        <f aca="false">IF(MAX(ABS(AH36),ABS(AI36),ABS(AJ36))&lt;=Calibration!$B$3,"Yes","No")</f>
        <v>Yes</v>
      </c>
    </row>
    <row r="37" customFormat="false" ht="15" hidden="false" customHeight="false" outlineLevel="0" collapsed="false">
      <c r="A37" s="4" t="s">
        <v>156</v>
      </c>
      <c r="B37" s="5" t="n">
        <f aca="false">COUNTIF('AC Estimate'!$C$5:$C$238,$A37)</f>
        <v>8</v>
      </c>
      <c r="C37" s="5" t="n">
        <f aca="false">SUMIFS('AC Estimate'!$D$5:$D$238,'AC Estimate'!$C$5:$C$238,$A37)</f>
        <v>104</v>
      </c>
      <c r="D37" s="5" t="n">
        <f aca="false">SUMIFS('AC Estimate'!$E$5:$E$238,'AC Estimate'!$C$5:$C$238,$A37)</f>
        <v>81</v>
      </c>
      <c r="E37" s="5" t="n">
        <f aca="false">SUMIFS('AC Estimate'!$F$5:$F$238,'AC Estimate'!$C$5:$C$238,$A37)</f>
        <v>2</v>
      </c>
      <c r="F37" s="5" t="n">
        <f aca="false">SUMIFS('AC Estimate'!$G$5:$G$238,'AC Estimate'!$C$5:$C$238,$A37)</f>
        <v>27</v>
      </c>
      <c r="G37" s="5" t="n">
        <f aca="false">SUMIFS('AC Estimate'!$H$5:$H$238,'AC Estimate'!$C$5:$C$238,$A37)</f>
        <v>163</v>
      </c>
      <c r="H37" s="5" t="n">
        <f aca="false">SUM(C37:G37)</f>
        <v>377</v>
      </c>
      <c r="I37" s="10" t="n">
        <f aca="false">IF($H37=0,0,C37/$H37)</f>
        <v>0.275862068965517</v>
      </c>
      <c r="J37" s="10" t="n">
        <f aca="false">IF($H37=0,0,D37/$H37)</f>
        <v>0.214854111405836</v>
      </c>
      <c r="K37" s="10" t="n">
        <f aca="false">IF($H37=0,0,E37/$H37)</f>
        <v>0.00530503978779841</v>
      </c>
      <c r="L37" s="10" t="n">
        <f aca="false">IF($H37=0,0,F37/$H37)</f>
        <v>0.0716180371352785</v>
      </c>
      <c r="M37" s="10" t="n">
        <f aca="false">IF($H37=0,0,G37/$H37)</f>
        <v>0.43236074270557</v>
      </c>
      <c r="N37" s="0" t="str">
        <f aca="false">INDEX({"AIADMK+","DMK+","NOTA","NTK","TVK"},MATCH(MAX(I37:M37),I37:M37,0))</f>
        <v>TVK</v>
      </c>
      <c r="O37" s="5" t="n">
        <f aca="false">COUNTIFS('AC Estimate'!$C$5:$C$238,$A37,'AC Estimate'!$P$5:$P$238,"TVK")</f>
        <v>5</v>
      </c>
      <c r="P37" s="5" t="n">
        <f aca="false">COUNTIFS('AC Estimate'!$C$5:$C$238,$A37,'AC Estimate'!$P$5:$P$238,"AIADMK+")</f>
        <v>1</v>
      </c>
      <c r="Q37" s="5" t="n">
        <f aca="false">COUNTIFS('AC Estimate'!$C$5:$C$238,$A37,'AC Estimate'!$P$5:$P$238,"DMK+")</f>
        <v>2</v>
      </c>
      <c r="R37" s="5" t="n">
        <f aca="false">COUNTIFS('AC Estimate'!$C$5:$C$238,$A37,'AC Estimate'!$R$5:$R$238,"TVK")</f>
        <v>4</v>
      </c>
      <c r="S37" s="5" t="n">
        <f aca="false">COUNTIFS('AC Estimate'!$C$5:$C$238,$A37,'AC Estimate'!$R$5:$R$238,"AIADMK+")</f>
        <v>2</v>
      </c>
      <c r="T37" s="5" t="n">
        <f aca="false">COUNTIFS('AC Estimate'!$C$5:$C$238,$A37,'AC Estimate'!$R$5:$R$238,"DMK+")</f>
        <v>2</v>
      </c>
      <c r="U37" s="6" t="n">
        <f aca="false">R37-O37</f>
        <v>-1</v>
      </c>
      <c r="V37" s="6" t="n">
        <f aca="false">S37-P37</f>
        <v>1</v>
      </c>
      <c r="W37" s="6" t="n">
        <f aca="false">T37-Q37</f>
        <v>0</v>
      </c>
      <c r="X37" s="5" t="n">
        <f aca="false">COUNTIFS('AC Estimate'!$C$5:$C$238,$A37,'AC Estimate'!$S$5:$S$238,"Yes")</f>
        <v>2</v>
      </c>
      <c r="Y37" s="36" t="str">
        <f aca="false">IF(COUNTIF(O37:Q37,MAX(O37:Q37))&gt;1,"Tie",INDEX({"TVK","AIADMK+","DMK+"},MATCH(MAX(O37:Q37),O37:Q37,0)))</f>
        <v>TVK</v>
      </c>
      <c r="Z37" s="36" t="str">
        <f aca="false">IF(COUNTIF(R37:T37,MAX(R37:T37))&gt;1,"Tie",INDEX({"TVK","AIADMK+","DMK+"},MATCH(MAX(R37:T37),R37:T37,0)))</f>
        <v>TVK</v>
      </c>
      <c r="AA37" s="0" t="str">
        <f aca="false">IF(OR(Y37="Tie",Z37="Tie"),"Partly",IF(Y37=Z37,"Yes","No"))</f>
        <v>Yes</v>
      </c>
      <c r="AB37" s="7" t="n">
        <f aca="false">COUNTIFS('AC Estimate'!$C$5:$C$238,$A37,'AC Estimate'!$AK$5:$AK$238,"TVK")</f>
        <v>4</v>
      </c>
      <c r="AC37" s="7" t="n">
        <f aca="false">COUNTIFS('AC Estimate'!$C$5:$C$238,$A37,'AC Estimate'!$AK$5:$AK$238,"AIADMK+")</f>
        <v>2</v>
      </c>
      <c r="AD37" s="7" t="n">
        <f aca="false">COUNTIFS('AC Estimate'!$C$5:$C$238,$A37,'AC Estimate'!$AK$5:$AK$238,"DMK+")</f>
        <v>2</v>
      </c>
      <c r="AE37" s="7" t="n">
        <f aca="false">COUNTIFS('AC Estimate'!$C$5:$C$238,$A37,'AC Estimate'!$AL$5:$AL$238,"Yes")</f>
        <v>6</v>
      </c>
      <c r="AF37" s="7" t="n">
        <f aca="false">ABS(R37-AB37)+ABS(S37-AC37)+ABS(T37-AD37)</f>
        <v>0</v>
      </c>
      <c r="AG37" s="7" t="n">
        <f aca="false">ABS(U37)+ABS(V37)+ABS(W37)</f>
        <v>2</v>
      </c>
      <c r="AH37" s="7" t="n">
        <f aca="false">R37-AB37</f>
        <v>0</v>
      </c>
      <c r="AI37" s="7" t="n">
        <f aca="false">S37-AC37</f>
        <v>0</v>
      </c>
      <c r="AJ37" s="7" t="n">
        <f aca="false">T37-AD37</f>
        <v>0</v>
      </c>
      <c r="AK37" s="7" t="str">
        <f aca="false">IF(MAX(ABS(AH37),ABS(AI37),ABS(AJ37))&lt;=Calibration!$B$3,"Yes","No")</f>
        <v>Yes</v>
      </c>
    </row>
    <row r="38" customFormat="false" ht="15" hidden="false" customHeight="false" outlineLevel="0" collapsed="false">
      <c r="A38" s="4" t="s">
        <v>158</v>
      </c>
      <c r="B38" s="5" t="n">
        <f aca="false">COUNTIF('AC Estimate'!$C$5:$C$238,$A38)</f>
        <v>8</v>
      </c>
      <c r="C38" s="5" t="n">
        <f aca="false">SUMIFS('AC Estimate'!$D$5:$D$238,'AC Estimate'!$C$5:$C$238,$A38)</f>
        <v>51</v>
      </c>
      <c r="D38" s="5" t="n">
        <f aca="false">SUMIFS('AC Estimate'!$E$5:$E$238,'AC Estimate'!$C$5:$C$238,$A38)</f>
        <v>30</v>
      </c>
      <c r="E38" s="5" t="n">
        <f aca="false">SUMIFS('AC Estimate'!$F$5:$F$238,'AC Estimate'!$C$5:$C$238,$A38)</f>
        <v>1</v>
      </c>
      <c r="F38" s="5" t="n">
        <f aca="false">SUMIFS('AC Estimate'!$G$5:$G$238,'AC Estimate'!$C$5:$C$238,$A38)</f>
        <v>5</v>
      </c>
      <c r="G38" s="5" t="n">
        <f aca="false">SUMIFS('AC Estimate'!$H$5:$H$238,'AC Estimate'!$C$5:$C$238,$A38)</f>
        <v>84</v>
      </c>
      <c r="H38" s="5" t="n">
        <f aca="false">SUM(C38:G38)</f>
        <v>171</v>
      </c>
      <c r="I38" s="10" t="n">
        <f aca="false">IF($H38=0,0,C38/$H38)</f>
        <v>0.298245614035088</v>
      </c>
      <c r="J38" s="10" t="n">
        <f aca="false">IF($H38=0,0,D38/$H38)</f>
        <v>0.175438596491228</v>
      </c>
      <c r="K38" s="10" t="n">
        <f aca="false">IF($H38=0,0,E38/$H38)</f>
        <v>0.00584795321637427</v>
      </c>
      <c r="L38" s="10" t="n">
        <f aca="false">IF($H38=0,0,F38/$H38)</f>
        <v>0.0292397660818713</v>
      </c>
      <c r="M38" s="10" t="n">
        <f aca="false">IF($H38=0,0,G38/$H38)</f>
        <v>0.491228070175439</v>
      </c>
      <c r="N38" s="0" t="str">
        <f aca="false">INDEX({"AIADMK+","DMK+","NOTA","NTK","TVK"},MATCH(MAX(I38:M38),I38:M38,0))</f>
        <v>TVK</v>
      </c>
      <c r="O38" s="5" t="n">
        <f aca="false">COUNTIFS('AC Estimate'!$C$5:$C$238,$A38,'AC Estimate'!$P$5:$P$238,"TVK")</f>
        <v>7</v>
      </c>
      <c r="P38" s="5" t="n">
        <f aca="false">COUNTIFS('AC Estimate'!$C$5:$C$238,$A38,'AC Estimate'!$P$5:$P$238,"AIADMK+")</f>
        <v>0</v>
      </c>
      <c r="Q38" s="5" t="n">
        <f aca="false">COUNTIFS('AC Estimate'!$C$5:$C$238,$A38,'AC Estimate'!$P$5:$P$238,"DMK+")</f>
        <v>1</v>
      </c>
      <c r="R38" s="5" t="n">
        <f aca="false">COUNTIFS('AC Estimate'!$C$5:$C$238,$A38,'AC Estimate'!$R$5:$R$238,"TVK")</f>
        <v>1</v>
      </c>
      <c r="S38" s="5" t="n">
        <f aca="false">COUNTIFS('AC Estimate'!$C$5:$C$238,$A38,'AC Estimate'!$R$5:$R$238,"AIADMK+")</f>
        <v>5</v>
      </c>
      <c r="T38" s="5" t="n">
        <f aca="false">COUNTIFS('AC Estimate'!$C$5:$C$238,$A38,'AC Estimate'!$R$5:$R$238,"DMK+")</f>
        <v>2</v>
      </c>
      <c r="U38" s="6" t="n">
        <f aca="false">R38-O38</f>
        <v>-6</v>
      </c>
      <c r="V38" s="6" t="n">
        <f aca="false">S38-P38</f>
        <v>5</v>
      </c>
      <c r="W38" s="6" t="n">
        <f aca="false">T38-Q38</f>
        <v>1</v>
      </c>
      <c r="X38" s="5" t="n">
        <f aca="false">COUNTIFS('AC Estimate'!$C$5:$C$238,$A38,'AC Estimate'!$S$5:$S$238,"Yes")</f>
        <v>2</v>
      </c>
      <c r="Y38" s="36" t="str">
        <f aca="false">IF(COUNTIF(O38:Q38,MAX(O38:Q38))&gt;1,"Tie",INDEX({"TVK","AIADMK+","DMK+"},MATCH(MAX(O38:Q38),O38:Q38,0)))</f>
        <v>TVK</v>
      </c>
      <c r="Z38" s="36" t="str">
        <f aca="false">IF(COUNTIF(R38:T38,MAX(R38:T38))&gt;1,"Tie",INDEX({"TVK","AIADMK+","DMK+"},MATCH(MAX(R38:T38),R38:T38,0)))</f>
        <v>AIADMK+</v>
      </c>
      <c r="AA38" s="0" t="str">
        <f aca="false">IF(OR(Y38="Tie",Z38="Tie"),"Partly",IF(Y38=Z38,"Yes","No"))</f>
        <v>No</v>
      </c>
      <c r="AB38" s="7" t="n">
        <f aca="false">COUNTIFS('AC Estimate'!$C$5:$C$238,$A38,'AC Estimate'!$AK$5:$AK$238,"TVK")</f>
        <v>1</v>
      </c>
      <c r="AC38" s="7" t="n">
        <f aca="false">COUNTIFS('AC Estimate'!$C$5:$C$238,$A38,'AC Estimate'!$AK$5:$AK$238,"AIADMK+")</f>
        <v>5</v>
      </c>
      <c r="AD38" s="7" t="n">
        <f aca="false">COUNTIFS('AC Estimate'!$C$5:$C$238,$A38,'AC Estimate'!$AK$5:$AK$238,"DMK+")</f>
        <v>2</v>
      </c>
      <c r="AE38" s="7" t="n">
        <f aca="false">COUNTIFS('AC Estimate'!$C$5:$C$238,$A38,'AC Estimate'!$AL$5:$AL$238,"Yes")</f>
        <v>6</v>
      </c>
      <c r="AF38" s="7" t="n">
        <f aca="false">ABS(R38-AB38)+ABS(S38-AC38)+ABS(T38-AD38)</f>
        <v>0</v>
      </c>
      <c r="AG38" s="7" t="n">
        <f aca="false">ABS(U38)+ABS(V38)+ABS(W38)</f>
        <v>12</v>
      </c>
      <c r="AH38" s="7" t="n">
        <f aca="false">R38-AB38</f>
        <v>0</v>
      </c>
      <c r="AI38" s="7" t="n">
        <f aca="false">S38-AC38</f>
        <v>0</v>
      </c>
      <c r="AJ38" s="7" t="n">
        <f aca="false">T38-AD38</f>
        <v>0</v>
      </c>
      <c r="AK38" s="7" t="str">
        <f aca="false">IF(MAX(ABS(AH38),ABS(AI38),ABS(AJ38))&lt;=Calibration!$B$3,"Yes","No")</f>
        <v>Yes</v>
      </c>
    </row>
    <row r="39" customFormat="false" ht="15" hidden="false" customHeight="false" outlineLevel="0" collapsed="false">
      <c r="A39" s="4" t="s">
        <v>160</v>
      </c>
      <c r="B39" s="5" t="n">
        <f aca="false">COUNTIF('AC Estimate'!$C$5:$C$238,$A39)</f>
        <v>4</v>
      </c>
      <c r="C39" s="5" t="n">
        <f aca="false">SUMIFS('AC Estimate'!$D$5:$D$238,'AC Estimate'!$C$5:$C$238,$A39)</f>
        <v>41</v>
      </c>
      <c r="D39" s="5" t="n">
        <f aca="false">SUMIFS('AC Estimate'!$E$5:$E$238,'AC Estimate'!$C$5:$C$238,$A39)</f>
        <v>63</v>
      </c>
      <c r="E39" s="5" t="n">
        <f aca="false">SUMIFS('AC Estimate'!$F$5:$F$238,'AC Estimate'!$C$5:$C$238,$A39)</f>
        <v>1</v>
      </c>
      <c r="F39" s="5" t="n">
        <f aca="false">SUMIFS('AC Estimate'!$G$5:$G$238,'AC Estimate'!$C$5:$C$238,$A39)</f>
        <v>20</v>
      </c>
      <c r="G39" s="5" t="n">
        <f aca="false">SUMIFS('AC Estimate'!$H$5:$H$238,'AC Estimate'!$C$5:$C$238,$A39)</f>
        <v>52</v>
      </c>
      <c r="H39" s="5" t="n">
        <f aca="false">SUM(C39:G39)</f>
        <v>177</v>
      </c>
      <c r="I39" s="10" t="n">
        <f aca="false">IF($H39=0,0,C39/$H39)</f>
        <v>0.231638418079096</v>
      </c>
      <c r="J39" s="10" t="n">
        <f aca="false">IF($H39=0,0,D39/$H39)</f>
        <v>0.355932203389831</v>
      </c>
      <c r="K39" s="10" t="n">
        <f aca="false">IF($H39=0,0,E39/$H39)</f>
        <v>0.00564971751412429</v>
      </c>
      <c r="L39" s="10" t="n">
        <f aca="false">IF($H39=0,0,F39/$H39)</f>
        <v>0.112994350282486</v>
      </c>
      <c r="M39" s="10" t="n">
        <f aca="false">IF($H39=0,0,G39/$H39)</f>
        <v>0.293785310734463</v>
      </c>
      <c r="N39" s="0" t="str">
        <f aca="false">INDEX({"AIADMK+","DMK+","NOTA","NTK","TVK"},MATCH(MAX(I39:M39),I39:M39,0))</f>
        <v>DMK+</v>
      </c>
      <c r="O39" s="5" t="n">
        <f aca="false">COUNTIFS('AC Estimate'!$C$5:$C$238,$A39,'AC Estimate'!$P$5:$P$238,"TVK")</f>
        <v>0</v>
      </c>
      <c r="P39" s="5" t="n">
        <f aca="false">COUNTIFS('AC Estimate'!$C$5:$C$238,$A39,'AC Estimate'!$P$5:$P$238,"AIADMK+")</f>
        <v>1</v>
      </c>
      <c r="Q39" s="5" t="n">
        <f aca="false">COUNTIFS('AC Estimate'!$C$5:$C$238,$A39,'AC Estimate'!$P$5:$P$238,"DMK+")</f>
        <v>3</v>
      </c>
      <c r="R39" s="5" t="n">
        <f aca="false">COUNTIFS('AC Estimate'!$C$5:$C$238,$A39,'AC Estimate'!$R$5:$R$238,"TVK")</f>
        <v>0</v>
      </c>
      <c r="S39" s="5" t="n">
        <f aca="false">COUNTIFS('AC Estimate'!$C$5:$C$238,$A39,'AC Estimate'!$R$5:$R$238,"AIADMK+")</f>
        <v>2</v>
      </c>
      <c r="T39" s="5" t="n">
        <f aca="false">COUNTIFS('AC Estimate'!$C$5:$C$238,$A39,'AC Estimate'!$R$5:$R$238,"DMK+")</f>
        <v>2</v>
      </c>
      <c r="U39" s="6" t="n">
        <f aca="false">R39-O39</f>
        <v>0</v>
      </c>
      <c r="V39" s="6" t="n">
        <f aca="false">S39-P39</f>
        <v>1</v>
      </c>
      <c r="W39" s="6" t="n">
        <f aca="false">T39-Q39</f>
        <v>-1</v>
      </c>
      <c r="X39" s="5" t="n">
        <f aca="false">COUNTIFS('AC Estimate'!$C$5:$C$238,$A39,'AC Estimate'!$S$5:$S$238,"Yes")</f>
        <v>3</v>
      </c>
      <c r="Y39" s="36" t="str">
        <f aca="false">IF(COUNTIF(O39:Q39,MAX(O39:Q39))&gt;1,"Tie",INDEX({"TVK","AIADMK+","DMK+"},MATCH(MAX(O39:Q39),O39:Q39,0)))</f>
        <v>DMK+</v>
      </c>
      <c r="Z39" s="36" t="str">
        <f aca="false">IF(COUNTIF(R39:T39,MAX(R39:T39))&gt;1,"Tie",INDEX({"TVK","AIADMK+","DMK+"},MATCH(MAX(R39:T39),R39:T39,0)))</f>
        <v>Tie</v>
      </c>
      <c r="AA39" s="0" t="str">
        <f aca="false">IF(OR(Y39="Tie",Z39="Tie"),"Partly",IF(Y39=Z39,"Yes","No"))</f>
        <v>Partly</v>
      </c>
      <c r="AB39" s="7" t="n">
        <f aca="false">COUNTIFS('AC Estimate'!$C$5:$C$238,$A39,'AC Estimate'!$AK$5:$AK$238,"TVK")</f>
        <v>0</v>
      </c>
      <c r="AC39" s="7" t="n">
        <f aca="false">COUNTIFS('AC Estimate'!$C$5:$C$238,$A39,'AC Estimate'!$AK$5:$AK$238,"AIADMK+")</f>
        <v>2</v>
      </c>
      <c r="AD39" s="7" t="n">
        <f aca="false">COUNTIFS('AC Estimate'!$C$5:$C$238,$A39,'AC Estimate'!$AK$5:$AK$238,"DMK+")</f>
        <v>2</v>
      </c>
      <c r="AE39" s="7" t="n">
        <f aca="false">COUNTIFS('AC Estimate'!$C$5:$C$238,$A39,'AC Estimate'!$AL$5:$AL$238,"Yes")</f>
        <v>2</v>
      </c>
      <c r="AF39" s="7" t="n">
        <f aca="false">ABS(R39-AB39)+ABS(S39-AC39)+ABS(T39-AD39)</f>
        <v>0</v>
      </c>
      <c r="AG39" s="7" t="n">
        <f aca="false">ABS(U39)+ABS(V39)+ABS(W39)</f>
        <v>2</v>
      </c>
      <c r="AH39" s="7" t="n">
        <f aca="false">R39-AB39</f>
        <v>0</v>
      </c>
      <c r="AI39" s="7" t="n">
        <f aca="false">S39-AC39</f>
        <v>0</v>
      </c>
      <c r="AJ39" s="7" t="n">
        <f aca="false">T39-AD39</f>
        <v>0</v>
      </c>
      <c r="AK39" s="7" t="str">
        <f aca="false">IF(MAX(ABS(AH39),ABS(AI39),ABS(AJ39))&lt;=Calibration!$B$3,"Yes","No")</f>
        <v>Yes</v>
      </c>
    </row>
    <row r="40" customFormat="false" ht="15" hidden="false" customHeight="false" outlineLevel="0" collapsed="false">
      <c r="A40" s="4" t="s">
        <v>162</v>
      </c>
      <c r="B40" s="5" t="n">
        <f aca="false">COUNTIF('AC Estimate'!$C$5:$C$238,$A40)</f>
        <v>5</v>
      </c>
      <c r="C40" s="5" t="n">
        <f aca="false">SUMIFS('AC Estimate'!$D$5:$D$238,'AC Estimate'!$C$5:$C$238,$A40)</f>
        <v>54</v>
      </c>
      <c r="D40" s="5" t="n">
        <f aca="false">SUMIFS('AC Estimate'!$E$5:$E$238,'AC Estimate'!$C$5:$C$238,$A40)</f>
        <v>53</v>
      </c>
      <c r="E40" s="5" t="n">
        <f aca="false">SUMIFS('AC Estimate'!$F$5:$F$238,'AC Estimate'!$C$5:$C$238,$A40)</f>
        <v>0</v>
      </c>
      <c r="F40" s="5" t="n">
        <f aca="false">SUMIFS('AC Estimate'!$G$5:$G$238,'AC Estimate'!$C$5:$C$238,$A40)</f>
        <v>9</v>
      </c>
      <c r="G40" s="5" t="n">
        <f aca="false">SUMIFS('AC Estimate'!$H$5:$H$238,'AC Estimate'!$C$5:$C$238,$A40)</f>
        <v>73</v>
      </c>
      <c r="H40" s="5" t="n">
        <f aca="false">SUM(C40:G40)</f>
        <v>189</v>
      </c>
      <c r="I40" s="10" t="n">
        <f aca="false">IF($H40=0,0,C40/$H40)</f>
        <v>0.285714285714286</v>
      </c>
      <c r="J40" s="10" t="n">
        <f aca="false">IF($H40=0,0,D40/$H40)</f>
        <v>0.28042328042328</v>
      </c>
      <c r="K40" s="10" t="n">
        <f aca="false">IF($H40=0,0,E40/$H40)</f>
        <v>0</v>
      </c>
      <c r="L40" s="10" t="n">
        <f aca="false">IF($H40=0,0,F40/$H40)</f>
        <v>0.0476190476190476</v>
      </c>
      <c r="M40" s="10" t="n">
        <f aca="false">IF($H40=0,0,G40/$H40)</f>
        <v>0.386243386243386</v>
      </c>
      <c r="N40" s="0" t="str">
        <f aca="false">INDEX({"AIADMK+","DMK+","NOTA","NTK","TVK"},MATCH(MAX(I40:M40),I40:M40,0))</f>
        <v>TVK</v>
      </c>
      <c r="O40" s="5" t="n">
        <f aca="false">COUNTIFS('AC Estimate'!$C$5:$C$238,$A40,'AC Estimate'!$P$5:$P$238,"TVK")</f>
        <v>3</v>
      </c>
      <c r="P40" s="5" t="n">
        <f aca="false">COUNTIFS('AC Estimate'!$C$5:$C$238,$A40,'AC Estimate'!$P$5:$P$238,"AIADMK+")</f>
        <v>1</v>
      </c>
      <c r="Q40" s="5" t="n">
        <f aca="false">COUNTIFS('AC Estimate'!$C$5:$C$238,$A40,'AC Estimate'!$P$5:$P$238,"DMK+")</f>
        <v>1</v>
      </c>
      <c r="R40" s="5" t="n">
        <f aca="false">COUNTIFS('AC Estimate'!$C$5:$C$238,$A40,'AC Estimate'!$R$5:$R$238,"TVK")</f>
        <v>4</v>
      </c>
      <c r="S40" s="5" t="n">
        <f aca="false">COUNTIFS('AC Estimate'!$C$5:$C$238,$A40,'AC Estimate'!$R$5:$R$238,"AIADMK+")</f>
        <v>1</v>
      </c>
      <c r="T40" s="5" t="n">
        <f aca="false">COUNTIFS('AC Estimate'!$C$5:$C$238,$A40,'AC Estimate'!$R$5:$R$238,"DMK+")</f>
        <v>0</v>
      </c>
      <c r="U40" s="6" t="n">
        <f aca="false">R40-O40</f>
        <v>1</v>
      </c>
      <c r="V40" s="6" t="n">
        <f aca="false">S40-P40</f>
        <v>0</v>
      </c>
      <c r="W40" s="6" t="n">
        <f aca="false">T40-Q40</f>
        <v>-1</v>
      </c>
      <c r="X40" s="5" t="n">
        <f aca="false">COUNTIFS('AC Estimate'!$C$5:$C$238,$A40,'AC Estimate'!$S$5:$S$238,"Yes")</f>
        <v>2</v>
      </c>
      <c r="Y40" s="36" t="str">
        <f aca="false">IF(COUNTIF(O40:Q40,MAX(O40:Q40))&gt;1,"Tie",INDEX({"TVK","AIADMK+","DMK+"},MATCH(MAX(O40:Q40),O40:Q40,0)))</f>
        <v>TVK</v>
      </c>
      <c r="Z40" s="36" t="str">
        <f aca="false">IF(COUNTIF(R40:T40,MAX(R40:T40))&gt;1,"Tie",INDEX({"TVK","AIADMK+","DMK+"},MATCH(MAX(R40:T40),R40:T40,0)))</f>
        <v>TVK</v>
      </c>
      <c r="AA40" s="0" t="str">
        <f aca="false">IF(OR(Y40="Tie",Z40="Tie"),"Partly",IF(Y40=Z40,"Yes","No"))</f>
        <v>Yes</v>
      </c>
      <c r="AB40" s="7" t="n">
        <f aca="false">COUNTIFS('AC Estimate'!$C$5:$C$238,$A40,'AC Estimate'!$AK$5:$AK$238,"TVK")</f>
        <v>4</v>
      </c>
      <c r="AC40" s="7" t="n">
        <f aca="false">COUNTIFS('AC Estimate'!$C$5:$C$238,$A40,'AC Estimate'!$AK$5:$AK$238,"AIADMK+")</f>
        <v>1</v>
      </c>
      <c r="AD40" s="7" t="n">
        <f aca="false">COUNTIFS('AC Estimate'!$C$5:$C$238,$A40,'AC Estimate'!$AK$5:$AK$238,"DMK+")</f>
        <v>0</v>
      </c>
      <c r="AE40" s="7" t="n">
        <f aca="false">COUNTIFS('AC Estimate'!$C$5:$C$238,$A40,'AC Estimate'!$AL$5:$AL$238,"Yes")</f>
        <v>3</v>
      </c>
      <c r="AF40" s="7" t="n">
        <f aca="false">ABS(R40-AB40)+ABS(S40-AC40)+ABS(T40-AD40)</f>
        <v>0</v>
      </c>
      <c r="AG40" s="7" t="n">
        <f aca="false">ABS(U40)+ABS(V40)+ABS(W40)</f>
        <v>2</v>
      </c>
      <c r="AH40" s="7" t="n">
        <f aca="false">R40-AB40</f>
        <v>0</v>
      </c>
      <c r="AI40" s="7" t="n">
        <f aca="false">S40-AC40</f>
        <v>0</v>
      </c>
      <c r="AJ40" s="7" t="n">
        <f aca="false">T40-AD40</f>
        <v>0</v>
      </c>
      <c r="AK40" s="7" t="str">
        <f aca="false">IF(MAX(ABS(AH40),ABS(AI40),ABS(AJ40))&lt;=Calibration!$B$3,"Yes","No")</f>
        <v>Yes</v>
      </c>
    </row>
    <row r="41" customFormat="false" ht="15" hidden="false" customHeight="false" outlineLevel="0" collapsed="false">
      <c r="A41" s="4" t="s">
        <v>164</v>
      </c>
      <c r="B41" s="5" t="n">
        <f aca="false">COUNTIF('AC Estimate'!$C$5:$C$238,$A41)</f>
        <v>7</v>
      </c>
      <c r="C41" s="5" t="n">
        <f aca="false">SUMIFS('AC Estimate'!$D$5:$D$238,'AC Estimate'!$C$5:$C$238,$A41)</f>
        <v>63</v>
      </c>
      <c r="D41" s="5" t="n">
        <f aca="false">SUMIFS('AC Estimate'!$E$5:$E$238,'AC Estimate'!$C$5:$C$238,$A41)</f>
        <v>43</v>
      </c>
      <c r="E41" s="5" t="n">
        <f aca="false">SUMIFS('AC Estimate'!$F$5:$F$238,'AC Estimate'!$C$5:$C$238,$A41)</f>
        <v>1</v>
      </c>
      <c r="F41" s="5" t="n">
        <f aca="false">SUMIFS('AC Estimate'!$G$5:$G$238,'AC Estimate'!$C$5:$C$238,$A41)</f>
        <v>12</v>
      </c>
      <c r="G41" s="5" t="n">
        <f aca="false">SUMIFS('AC Estimate'!$H$5:$H$238,'AC Estimate'!$C$5:$C$238,$A41)</f>
        <v>56</v>
      </c>
      <c r="H41" s="5" t="n">
        <f aca="false">SUM(C41:G41)</f>
        <v>175</v>
      </c>
      <c r="I41" s="10" t="n">
        <f aca="false">IF($H41=0,0,C41/$H41)</f>
        <v>0.36</v>
      </c>
      <c r="J41" s="10" t="n">
        <f aca="false">IF($H41=0,0,D41/$H41)</f>
        <v>0.245714285714286</v>
      </c>
      <c r="K41" s="10" t="n">
        <f aca="false">IF($H41=0,0,E41/$H41)</f>
        <v>0.00571428571428571</v>
      </c>
      <c r="L41" s="10" t="n">
        <f aca="false">IF($H41=0,0,F41/$H41)</f>
        <v>0.0685714285714286</v>
      </c>
      <c r="M41" s="10" t="n">
        <f aca="false">IF($H41=0,0,G41/$H41)</f>
        <v>0.32</v>
      </c>
      <c r="N41" s="0" t="str">
        <f aca="false">INDEX({"AIADMK+","DMK+","NOTA","NTK","TVK"},MATCH(MAX(I41:M41),I41:M41,0))</f>
        <v>AIADMK+</v>
      </c>
      <c r="O41" s="5" t="n">
        <f aca="false">COUNTIFS('AC Estimate'!$C$5:$C$238,$A41,'AC Estimate'!$P$5:$P$238,"TVK")</f>
        <v>1</v>
      </c>
      <c r="P41" s="5" t="n">
        <f aca="false">COUNTIFS('AC Estimate'!$C$5:$C$238,$A41,'AC Estimate'!$P$5:$P$238,"AIADMK+")</f>
        <v>5</v>
      </c>
      <c r="Q41" s="5" t="n">
        <f aca="false">COUNTIFS('AC Estimate'!$C$5:$C$238,$A41,'AC Estimate'!$P$5:$P$238,"DMK+")</f>
        <v>1</v>
      </c>
      <c r="R41" s="5" t="n">
        <f aca="false">COUNTIFS('AC Estimate'!$C$5:$C$238,$A41,'AC Estimate'!$R$5:$R$238,"TVK")</f>
        <v>0</v>
      </c>
      <c r="S41" s="5" t="n">
        <f aca="false">COUNTIFS('AC Estimate'!$C$5:$C$238,$A41,'AC Estimate'!$R$5:$R$238,"AIADMK+")</f>
        <v>4</v>
      </c>
      <c r="T41" s="5" t="n">
        <f aca="false">COUNTIFS('AC Estimate'!$C$5:$C$238,$A41,'AC Estimate'!$R$5:$R$238,"DMK+")</f>
        <v>3</v>
      </c>
      <c r="U41" s="6" t="n">
        <f aca="false">R41-O41</f>
        <v>-1</v>
      </c>
      <c r="V41" s="6" t="n">
        <f aca="false">S41-P41</f>
        <v>-1</v>
      </c>
      <c r="W41" s="6" t="n">
        <f aca="false">T41-Q41</f>
        <v>2</v>
      </c>
      <c r="X41" s="5" t="n">
        <f aca="false">COUNTIFS('AC Estimate'!$C$5:$C$238,$A41,'AC Estimate'!$S$5:$S$238,"Yes")</f>
        <v>4</v>
      </c>
      <c r="Y41" s="36" t="str">
        <f aca="false">IF(COUNTIF(O41:Q41,MAX(O41:Q41))&gt;1,"Tie",INDEX({"TVK","AIADMK+","DMK+"},MATCH(MAX(O41:Q41),O41:Q41,0)))</f>
        <v>AIADMK+</v>
      </c>
      <c r="Z41" s="36" t="str">
        <f aca="false">IF(COUNTIF(R41:T41,MAX(R41:T41))&gt;1,"Tie",INDEX({"TVK","AIADMK+","DMK+"},MATCH(MAX(R41:T41),R41:T41,0)))</f>
        <v>AIADMK+</v>
      </c>
      <c r="AA41" s="0" t="str">
        <f aca="false">IF(OR(Y41="Tie",Z41="Tie"),"Partly",IF(Y41=Z41,"Yes","No"))</f>
        <v>Yes</v>
      </c>
      <c r="AB41" s="7" t="n">
        <f aca="false">COUNTIFS('AC Estimate'!$C$5:$C$238,$A41,'AC Estimate'!$AK$5:$AK$238,"TVK")</f>
        <v>0</v>
      </c>
      <c r="AC41" s="7" t="n">
        <f aca="false">COUNTIFS('AC Estimate'!$C$5:$C$238,$A41,'AC Estimate'!$AK$5:$AK$238,"AIADMK+")</f>
        <v>4</v>
      </c>
      <c r="AD41" s="7" t="n">
        <f aca="false">COUNTIFS('AC Estimate'!$C$5:$C$238,$A41,'AC Estimate'!$AK$5:$AK$238,"DMK+")</f>
        <v>3</v>
      </c>
      <c r="AE41" s="7" t="n">
        <f aca="false">COUNTIFS('AC Estimate'!$C$5:$C$238,$A41,'AC Estimate'!$AL$5:$AL$238,"Yes")</f>
        <v>5</v>
      </c>
      <c r="AF41" s="7" t="n">
        <f aca="false">ABS(R41-AB41)+ABS(S41-AC41)+ABS(T41-AD41)</f>
        <v>0</v>
      </c>
      <c r="AG41" s="7" t="n">
        <f aca="false">ABS(U41)+ABS(V41)+ABS(W41)</f>
        <v>4</v>
      </c>
      <c r="AH41" s="7" t="n">
        <f aca="false">R41-AB41</f>
        <v>0</v>
      </c>
      <c r="AI41" s="7" t="n">
        <f aca="false">S41-AC41</f>
        <v>0</v>
      </c>
      <c r="AJ41" s="7" t="n">
        <f aca="false">T41-AD41</f>
        <v>0</v>
      </c>
      <c r="AK41" s="7" t="str">
        <f aca="false">IF(MAX(ABS(AH41),ABS(AI41),ABS(AJ41))&lt;=Calibration!$B$3,"Yes","No")</f>
        <v>Yes</v>
      </c>
    </row>
    <row r="42" customFormat="false" ht="15" hidden="false" customHeight="false" outlineLevel="0" collapsed="false">
      <c r="A42" s="4" t="s">
        <v>166</v>
      </c>
      <c r="B42" s="5" t="n">
        <f aca="false">COUNTIF('AC Estimate'!$C$5:$C$238,$A42)</f>
        <v>7</v>
      </c>
      <c r="C42" s="5" t="n">
        <f aca="false">SUMIFS('AC Estimate'!$D$5:$D$238,'AC Estimate'!$C$5:$C$238,$A42)</f>
        <v>93</v>
      </c>
      <c r="D42" s="5" t="n">
        <f aca="false">SUMIFS('AC Estimate'!$E$5:$E$238,'AC Estimate'!$C$5:$C$238,$A42)</f>
        <v>69</v>
      </c>
      <c r="E42" s="5" t="n">
        <f aca="false">SUMIFS('AC Estimate'!$F$5:$F$238,'AC Estimate'!$C$5:$C$238,$A42)</f>
        <v>1</v>
      </c>
      <c r="F42" s="5" t="n">
        <f aca="false">SUMIFS('AC Estimate'!$G$5:$G$238,'AC Estimate'!$C$5:$C$238,$A42)</f>
        <v>25</v>
      </c>
      <c r="G42" s="5" t="n">
        <f aca="false">SUMIFS('AC Estimate'!$H$5:$H$238,'AC Estimate'!$C$5:$C$238,$A42)</f>
        <v>130</v>
      </c>
      <c r="H42" s="5" t="n">
        <f aca="false">SUM(C42:G42)</f>
        <v>318</v>
      </c>
      <c r="I42" s="10" t="n">
        <f aca="false">IF($H42=0,0,C42/$H42)</f>
        <v>0.292452830188679</v>
      </c>
      <c r="J42" s="10" t="n">
        <f aca="false">IF($H42=0,0,D42/$H42)</f>
        <v>0.216981132075472</v>
      </c>
      <c r="K42" s="10" t="n">
        <f aca="false">IF($H42=0,0,E42/$H42)</f>
        <v>0.00314465408805031</v>
      </c>
      <c r="L42" s="10" t="n">
        <f aca="false">IF($H42=0,0,F42/$H42)</f>
        <v>0.0786163522012579</v>
      </c>
      <c r="M42" s="10" t="n">
        <f aca="false">IF($H42=0,0,G42/$H42)</f>
        <v>0.408805031446541</v>
      </c>
      <c r="N42" s="0" t="str">
        <f aca="false">INDEX({"AIADMK+","DMK+","NOTA","NTK","TVK"},MATCH(MAX(I42:M42),I42:M42,0))</f>
        <v>TVK</v>
      </c>
      <c r="O42" s="5" t="n">
        <f aca="false">COUNTIFS('AC Estimate'!$C$5:$C$238,$A42,'AC Estimate'!$P$5:$P$238,"TVK")</f>
        <v>5</v>
      </c>
      <c r="P42" s="5" t="n">
        <f aca="false">COUNTIFS('AC Estimate'!$C$5:$C$238,$A42,'AC Estimate'!$P$5:$P$238,"AIADMK+")</f>
        <v>1</v>
      </c>
      <c r="Q42" s="5" t="n">
        <f aca="false">COUNTIFS('AC Estimate'!$C$5:$C$238,$A42,'AC Estimate'!$P$5:$P$238,"DMK+")</f>
        <v>1</v>
      </c>
      <c r="R42" s="5" t="n">
        <f aca="false">COUNTIFS('AC Estimate'!$C$5:$C$238,$A42,'AC Estimate'!$R$5:$R$238,"TVK")</f>
        <v>4</v>
      </c>
      <c r="S42" s="5" t="n">
        <f aca="false">COUNTIFS('AC Estimate'!$C$5:$C$238,$A42,'AC Estimate'!$R$5:$R$238,"AIADMK+")</f>
        <v>0</v>
      </c>
      <c r="T42" s="5" t="n">
        <f aca="false">COUNTIFS('AC Estimate'!$C$5:$C$238,$A42,'AC Estimate'!$R$5:$R$238,"DMK+")</f>
        <v>3</v>
      </c>
      <c r="U42" s="6" t="n">
        <f aca="false">R42-O42</f>
        <v>-1</v>
      </c>
      <c r="V42" s="6" t="n">
        <f aca="false">S42-P42</f>
        <v>-1</v>
      </c>
      <c r="W42" s="6" t="n">
        <f aca="false">T42-Q42</f>
        <v>2</v>
      </c>
      <c r="X42" s="5" t="n">
        <f aca="false">COUNTIFS('AC Estimate'!$C$5:$C$238,$A42,'AC Estimate'!$S$5:$S$238,"Yes")</f>
        <v>3</v>
      </c>
      <c r="Y42" s="36" t="str">
        <f aca="false">IF(COUNTIF(O42:Q42,MAX(O42:Q42))&gt;1,"Tie",INDEX({"TVK","AIADMK+","DMK+"},MATCH(MAX(O42:Q42),O42:Q42,0)))</f>
        <v>TVK</v>
      </c>
      <c r="Z42" s="36" t="str">
        <f aca="false">IF(COUNTIF(R42:T42,MAX(R42:T42))&gt;1,"Tie",INDEX({"TVK","AIADMK+","DMK+"},MATCH(MAX(R42:T42),R42:T42,0)))</f>
        <v>TVK</v>
      </c>
      <c r="AA42" s="0" t="str">
        <f aca="false">IF(OR(Y42="Tie",Z42="Tie"),"Partly",IF(Y42=Z42,"Yes","No"))</f>
        <v>Yes</v>
      </c>
      <c r="AB42" s="7" t="n">
        <f aca="false">COUNTIFS('AC Estimate'!$C$5:$C$238,$A42,'AC Estimate'!$AK$5:$AK$238,"TVK")</f>
        <v>4</v>
      </c>
      <c r="AC42" s="7" t="n">
        <f aca="false">COUNTIFS('AC Estimate'!$C$5:$C$238,$A42,'AC Estimate'!$AK$5:$AK$238,"AIADMK+")</f>
        <v>0</v>
      </c>
      <c r="AD42" s="7" t="n">
        <f aca="false">COUNTIFS('AC Estimate'!$C$5:$C$238,$A42,'AC Estimate'!$AK$5:$AK$238,"DMK+")</f>
        <v>3</v>
      </c>
      <c r="AE42" s="7" t="n">
        <f aca="false">COUNTIFS('AC Estimate'!$C$5:$C$238,$A42,'AC Estimate'!$AL$5:$AL$238,"Yes")</f>
        <v>5</v>
      </c>
      <c r="AF42" s="7" t="n">
        <f aca="false">ABS(R42-AB42)+ABS(S42-AC42)+ABS(T42-AD42)</f>
        <v>0</v>
      </c>
      <c r="AG42" s="7" t="n">
        <f aca="false">ABS(U42)+ABS(V42)+ABS(W42)</f>
        <v>4</v>
      </c>
      <c r="AH42" s="7" t="n">
        <f aca="false">R42-AB42</f>
        <v>0</v>
      </c>
      <c r="AI42" s="7" t="n">
        <f aca="false">S42-AC42</f>
        <v>0</v>
      </c>
      <c r="AJ42" s="7" t="n">
        <f aca="false">T42-AD42</f>
        <v>0</v>
      </c>
      <c r="AK42" s="7" t="str">
        <f aca="false">IF(MAX(ABS(AH42),ABS(AI42),ABS(AJ42))&lt;=Calibration!$B$3,"Yes","No")</f>
        <v>Yes</v>
      </c>
    </row>
    <row r="43" customFormat="false" ht="15" hidden="false" customHeight="false" outlineLevel="0" collapsed="false">
      <c r="A43" s="4" t="s">
        <v>452</v>
      </c>
      <c r="B43" s="4" t="n">
        <f aca="false">SUM(B5:B42)</f>
        <v>234</v>
      </c>
      <c r="C43" s="4" t="n">
        <f aca="false">SUM(C5:C42)</f>
        <v>2908</v>
      </c>
      <c r="D43" s="4" t="n">
        <f aca="false">SUM(D5:D42)</f>
        <v>2955</v>
      </c>
      <c r="E43" s="4" t="n">
        <f aca="false">SUM(E5:E42)</f>
        <v>65</v>
      </c>
      <c r="F43" s="4" t="n">
        <f aca="false">SUM(F5:F42)</f>
        <v>856</v>
      </c>
      <c r="G43" s="4" t="n">
        <f aca="false">SUM(G5:G42)</f>
        <v>4139</v>
      </c>
      <c r="H43" s="4" t="n">
        <f aca="false">SUM(H5:H42)</f>
        <v>10923</v>
      </c>
      <c r="I43" s="9" t="n">
        <f aca="false">C43/$H43</f>
        <v>0.266227226952303</v>
      </c>
      <c r="J43" s="9" t="n">
        <f aca="false">D43/$H43</f>
        <v>0.270530074155452</v>
      </c>
      <c r="K43" s="9" t="n">
        <f aca="false">E43/$H43</f>
        <v>0.00595074613201501</v>
      </c>
      <c r="L43" s="9" t="n">
        <f aca="false">F43/$H43</f>
        <v>0.0783667490616131</v>
      </c>
      <c r="M43" s="9" t="n">
        <f aca="false">G43/$H43</f>
        <v>0.378925203698618</v>
      </c>
      <c r="O43" s="4" t="n">
        <f aca="false">SUM(O5:O42)</f>
        <v>106</v>
      </c>
      <c r="P43" s="4" t="n">
        <f aca="false">SUM(P5:P42)</f>
        <v>51</v>
      </c>
      <c r="Q43" s="4" t="n">
        <f aca="false">SUM(Q5:Q42)</f>
        <v>77</v>
      </c>
      <c r="R43" s="4" t="n">
        <f aca="false">SUM(R5:R42)</f>
        <v>108</v>
      </c>
      <c r="S43" s="4" t="n">
        <f aca="false">SUM(S5:S42)</f>
        <v>53</v>
      </c>
      <c r="T43" s="4" t="n">
        <f aca="false">SUM(T5:T42)</f>
        <v>73</v>
      </c>
      <c r="U43" s="46" t="n">
        <f aca="false">SUM(U5:U42)</f>
        <v>2</v>
      </c>
      <c r="V43" s="46" t="n">
        <f aca="false">SUM(V5:V42)</f>
        <v>2</v>
      </c>
      <c r="W43" s="46" t="n">
        <f aca="false">SUM(W5:W42)</f>
        <v>-4</v>
      </c>
      <c r="X43" s="4" t="n">
        <f aca="false">SUM(X5:X42)</f>
        <v>104</v>
      </c>
      <c r="AB43" s="13" t="n">
        <f aca="false">SUM(AB5:AB42)</f>
        <v>108</v>
      </c>
      <c r="AC43" s="13" t="n">
        <f aca="false">SUM(AC5:AC42)</f>
        <v>53</v>
      </c>
      <c r="AD43" s="13" t="n">
        <f aca="false">SUM(AD5:AD42)</f>
        <v>73</v>
      </c>
      <c r="AE43" s="13" t="n">
        <f aca="false">SUM(AE5:AE42)</f>
        <v>164</v>
      </c>
      <c r="AF43" s="13" t="n">
        <f aca="false">SUM(AF5:AF42)</f>
        <v>0</v>
      </c>
      <c r="AG43" s="13" t="n">
        <f aca="false">SUM(AG5:AG42)</f>
        <v>170</v>
      </c>
      <c r="AK43" s="13" t="str">
        <f aca="false">COUNTIF(AK5:AK42,"Yes")&amp;" of 38"</f>
        <v>38 of 38</v>
      </c>
    </row>
  </sheetData>
  <conditionalFormatting sqref="N5:N42">
    <cfRule type="cellIs" priority="2" operator="equal" aboveAverage="0" equalAverage="0" bottom="0" percent="0" rank="0" text="" dxfId="10">
      <formula>"TVK"</formula>
    </cfRule>
    <cfRule type="cellIs" priority="3" operator="equal" aboveAverage="0" equalAverage="0" bottom="0" percent="0" rank="0" text="" dxfId="11">
      <formula>"AIADMK+"</formula>
    </cfRule>
    <cfRule type="cellIs" priority="4" operator="equal" aboveAverage="0" equalAverage="0" bottom="0" percent="0" rank="0" text="" dxfId="12">
      <formula>"DMK+"</formula>
    </cfRule>
  </conditionalFormatting>
  <conditionalFormatting sqref="Y5:Z42">
    <cfRule type="cellIs" priority="5" operator="equal" aboveAverage="0" equalAverage="0" bottom="0" percent="0" rank="0" text="" dxfId="10">
      <formula>"TVK"</formula>
    </cfRule>
    <cfRule type="cellIs" priority="6" operator="equal" aboveAverage="0" equalAverage="0" bottom="0" percent="0" rank="0" text="" dxfId="11">
      <formula>"AIADMK+"</formula>
    </cfRule>
    <cfRule type="cellIs" priority="7" operator="equal" aboveAverage="0" equalAverage="0" bottom="0" percent="0" rank="0" text="" dxfId="12">
      <formula>"DMK+"</formula>
    </cfRule>
  </conditionalFormatting>
  <conditionalFormatting sqref="AA5:AA42">
    <cfRule type="cellIs" priority="8" operator="equal" aboveAverage="0" equalAverage="0" bottom="0" percent="0" rank="0" text="" dxfId="11">
      <formula>"Yes"</formula>
    </cfRule>
    <cfRule type="cellIs" priority="9" operator="equal" aboveAverage="0" equalAverage="0" bottom="0" percent="0" rank="0" text="" dxfId="13">
      <formula>"No"</formula>
    </cfRule>
    <cfRule type="cellIs" priority="10" operator="equal" aboveAverage="0" equalAverage="0" bottom="0" percent="0" rank="0" text="" dxfId="14">
      <formula>"Partly"</formula>
    </cfRule>
  </conditionalFormatting>
  <conditionalFormatting sqref="U5:W42">
    <cfRule type="colorScale" priority="11">
      <colorScale>
        <cfvo type="num" val="-5"/>
        <cfvo type="num" val="0"/>
        <cfvo type="num" val="5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2026-10-26T05:48:41Z</dcterms:created>
  <dc:creator>openpyxl</dc:creator>
  <dc:description/>
  <dc:language>en-US</dc:language>
  <cp:lastModifiedBy>saketh donepudi</cp:lastModifiedBy>
  <dcterms:modified xsi:type="dcterms:W3CDTF">2026-10-26T17:41:41Z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