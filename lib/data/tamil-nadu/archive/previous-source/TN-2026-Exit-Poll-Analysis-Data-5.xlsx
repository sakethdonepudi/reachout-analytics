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reachoutanalytics/Downloads/"/>
    </mc:Choice>
  </mc:AlternateContent>
  <xr:revisionPtr revIDLastSave="0" documentId="13_ncr:1_{2B93C392-AB36-6A40-97CA-4EC312F184E2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Summary" sheetId="1" r:id="rId1"/>
    <sheet name="Statewide Votes" sheetId="2" r:id="rId2"/>
    <sheet name="AC Results" sheetId="3" r:id="rId3"/>
    <sheet name="District vs Actual 2026" sheetId="4" r:id="rId4"/>
    <sheet name="AC vs Actual 2026" sheetId="5" r:id="rId5"/>
    <sheet name="District Results" sheetId="6" r:id="rId6"/>
    <sheet name="Who Voted How" sheetId="7" r:id="rId7"/>
    <sheet name="Model Validation" sheetId="8" r:id="rId8"/>
    <sheet name="Significant Variables" sheetId="9" r:id="rId9"/>
  </sheets>
  <definedNames>
    <definedName name="_xlnm._FilterDatabase" localSheetId="2" hidden="1">'AC Results'!$A$4:$X$238</definedName>
    <definedName name="_xlnm._FilterDatabase" localSheetId="4" hidden="1">'AC vs Actual 2026'!$A$4:$O$238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9" i="3" l="1"/>
  <c r="D239" i="3"/>
  <c r="E239" i="3"/>
  <c r="F239" i="3"/>
  <c r="G239" i="3"/>
  <c r="C239" i="3"/>
  <c r="C240" i="3" s="1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H23" i="7"/>
  <c r="H22" i="7"/>
  <c r="H21" i="7"/>
  <c r="H20" i="7"/>
  <c r="H19" i="7"/>
  <c r="H18" i="7"/>
  <c r="H17" i="7"/>
  <c r="H15" i="7"/>
  <c r="H14" i="7"/>
  <c r="H13" i="7"/>
  <c r="H12" i="7"/>
  <c r="H10" i="7"/>
  <c r="H9" i="7"/>
  <c r="H8" i="7"/>
  <c r="H7" i="7"/>
  <c r="H6" i="7"/>
  <c r="H5" i="7"/>
  <c r="F43" i="6"/>
  <c r="E43" i="6"/>
  <c r="D43" i="6"/>
  <c r="C43" i="6"/>
  <c r="B43" i="6"/>
  <c r="P42" i="6"/>
  <c r="G42" i="6"/>
  <c r="P41" i="6"/>
  <c r="G41" i="6"/>
  <c r="P40" i="6"/>
  <c r="G40" i="6"/>
  <c r="P39" i="6"/>
  <c r="G39" i="6"/>
  <c r="P38" i="6"/>
  <c r="G38" i="6"/>
  <c r="P37" i="6"/>
  <c r="G37" i="6"/>
  <c r="P36" i="6"/>
  <c r="G36" i="6"/>
  <c r="P35" i="6"/>
  <c r="G35" i="6"/>
  <c r="P34" i="6"/>
  <c r="G34" i="6"/>
  <c r="P33" i="6"/>
  <c r="G33" i="6"/>
  <c r="P32" i="6"/>
  <c r="G32" i="6"/>
  <c r="P31" i="6"/>
  <c r="G31" i="6"/>
  <c r="P30" i="6"/>
  <c r="G30" i="6"/>
  <c r="P29" i="6"/>
  <c r="G29" i="6"/>
  <c r="P28" i="6"/>
  <c r="G28" i="6"/>
  <c r="P27" i="6"/>
  <c r="G27" i="6"/>
  <c r="P26" i="6"/>
  <c r="G26" i="6"/>
  <c r="P25" i="6"/>
  <c r="G25" i="6"/>
  <c r="P24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P8" i="6"/>
  <c r="G8" i="6"/>
  <c r="P7" i="6"/>
  <c r="G7" i="6"/>
  <c r="P6" i="6"/>
  <c r="G6" i="6"/>
  <c r="P5" i="6"/>
  <c r="G5" i="6"/>
  <c r="O238" i="5"/>
  <c r="F238" i="5"/>
  <c r="C238" i="5"/>
  <c r="B238" i="5"/>
  <c r="O237" i="5"/>
  <c r="F237" i="5"/>
  <c r="C237" i="5"/>
  <c r="B237" i="5"/>
  <c r="O236" i="5"/>
  <c r="F236" i="5"/>
  <c r="C236" i="5"/>
  <c r="B236" i="5"/>
  <c r="O235" i="5"/>
  <c r="F235" i="5"/>
  <c r="C235" i="5"/>
  <c r="B235" i="5"/>
  <c r="O234" i="5"/>
  <c r="B234" i="5"/>
  <c r="O233" i="5"/>
  <c r="B233" i="5"/>
  <c r="O232" i="5"/>
  <c r="B232" i="5"/>
  <c r="O231" i="5"/>
  <c r="B231" i="5"/>
  <c r="O230" i="5"/>
  <c r="B230" i="5"/>
  <c r="O229" i="5"/>
  <c r="B229" i="5"/>
  <c r="O228" i="5"/>
  <c r="B228" i="5"/>
  <c r="O227" i="5"/>
  <c r="B227" i="5"/>
  <c r="O226" i="5"/>
  <c r="B226" i="5"/>
  <c r="O225" i="5"/>
  <c r="B225" i="5"/>
  <c r="O224" i="5"/>
  <c r="B224" i="5"/>
  <c r="O223" i="5"/>
  <c r="B223" i="5"/>
  <c r="O222" i="5"/>
  <c r="B222" i="5"/>
  <c r="O221" i="5"/>
  <c r="B221" i="5"/>
  <c r="O220" i="5"/>
  <c r="B220" i="5"/>
  <c r="O219" i="5"/>
  <c r="B219" i="5"/>
  <c r="O218" i="5"/>
  <c r="B218" i="5"/>
  <c r="O217" i="5"/>
  <c r="B217" i="5"/>
  <c r="O216" i="5"/>
  <c r="B216" i="5"/>
  <c r="O215" i="5"/>
  <c r="B215" i="5"/>
  <c r="O214" i="5"/>
  <c r="B214" i="5"/>
  <c r="O213" i="5"/>
  <c r="B213" i="5"/>
  <c r="O212" i="5"/>
  <c r="B212" i="5"/>
  <c r="O211" i="5"/>
  <c r="B211" i="5"/>
  <c r="O210" i="5"/>
  <c r="B210" i="5"/>
  <c r="O209" i="5"/>
  <c r="B209" i="5"/>
  <c r="O208" i="5"/>
  <c r="B208" i="5"/>
  <c r="O207" i="5"/>
  <c r="B207" i="5"/>
  <c r="O206" i="5"/>
  <c r="B206" i="5"/>
  <c r="O205" i="5"/>
  <c r="B205" i="5"/>
  <c r="O204" i="5"/>
  <c r="B204" i="5"/>
  <c r="O203" i="5"/>
  <c r="B203" i="5"/>
  <c r="O202" i="5"/>
  <c r="B202" i="5"/>
  <c r="O201" i="5"/>
  <c r="B201" i="5"/>
  <c r="O200" i="5"/>
  <c r="B200" i="5"/>
  <c r="O199" i="5"/>
  <c r="B199" i="5"/>
  <c r="O198" i="5"/>
  <c r="B198" i="5"/>
  <c r="O197" i="5"/>
  <c r="B197" i="5"/>
  <c r="O196" i="5"/>
  <c r="B196" i="5"/>
  <c r="O195" i="5"/>
  <c r="B195" i="5"/>
  <c r="O194" i="5"/>
  <c r="B194" i="5"/>
  <c r="O193" i="5"/>
  <c r="B193" i="5"/>
  <c r="O192" i="5"/>
  <c r="B192" i="5"/>
  <c r="O191" i="5"/>
  <c r="B191" i="5"/>
  <c r="O190" i="5"/>
  <c r="B190" i="5"/>
  <c r="O189" i="5"/>
  <c r="B189" i="5"/>
  <c r="O188" i="5"/>
  <c r="B188" i="5"/>
  <c r="O187" i="5"/>
  <c r="B187" i="5"/>
  <c r="O186" i="5"/>
  <c r="B186" i="5"/>
  <c r="O185" i="5"/>
  <c r="B185" i="5"/>
  <c r="O184" i="5"/>
  <c r="B184" i="5"/>
  <c r="O183" i="5"/>
  <c r="B183" i="5"/>
  <c r="O182" i="5"/>
  <c r="B182" i="5"/>
  <c r="O181" i="5"/>
  <c r="B181" i="5"/>
  <c r="O180" i="5"/>
  <c r="B180" i="5"/>
  <c r="O179" i="5"/>
  <c r="B179" i="5"/>
  <c r="O178" i="5"/>
  <c r="B178" i="5"/>
  <c r="O177" i="5"/>
  <c r="B177" i="5"/>
  <c r="O176" i="5"/>
  <c r="B176" i="5"/>
  <c r="O175" i="5"/>
  <c r="B175" i="5"/>
  <c r="O174" i="5"/>
  <c r="B174" i="5"/>
  <c r="O173" i="5"/>
  <c r="B173" i="5"/>
  <c r="O172" i="5"/>
  <c r="B172" i="5"/>
  <c r="O171" i="5"/>
  <c r="B171" i="5"/>
  <c r="O170" i="5"/>
  <c r="B170" i="5"/>
  <c r="O169" i="5"/>
  <c r="B169" i="5"/>
  <c r="O168" i="5"/>
  <c r="B168" i="5"/>
  <c r="O167" i="5"/>
  <c r="B167" i="5"/>
  <c r="O166" i="5"/>
  <c r="B166" i="5"/>
  <c r="O165" i="5"/>
  <c r="B165" i="5"/>
  <c r="O164" i="5"/>
  <c r="B164" i="5"/>
  <c r="O163" i="5"/>
  <c r="B163" i="5"/>
  <c r="O162" i="5"/>
  <c r="B162" i="5"/>
  <c r="O161" i="5"/>
  <c r="B161" i="5"/>
  <c r="O160" i="5"/>
  <c r="B160" i="5"/>
  <c r="O159" i="5"/>
  <c r="B159" i="5"/>
  <c r="O158" i="5"/>
  <c r="B158" i="5"/>
  <c r="O157" i="5"/>
  <c r="B157" i="5"/>
  <c r="O156" i="5"/>
  <c r="B156" i="5"/>
  <c r="O155" i="5"/>
  <c r="B155" i="5"/>
  <c r="O154" i="5"/>
  <c r="B154" i="5"/>
  <c r="O153" i="5"/>
  <c r="B153" i="5"/>
  <c r="O152" i="5"/>
  <c r="B152" i="5"/>
  <c r="O151" i="5"/>
  <c r="B151" i="5"/>
  <c r="O150" i="5"/>
  <c r="B150" i="5"/>
  <c r="O149" i="5"/>
  <c r="B149" i="5"/>
  <c r="O148" i="5"/>
  <c r="B148" i="5"/>
  <c r="O147" i="5"/>
  <c r="B147" i="5"/>
  <c r="O146" i="5"/>
  <c r="B146" i="5"/>
  <c r="O145" i="5"/>
  <c r="B145" i="5"/>
  <c r="O144" i="5"/>
  <c r="B144" i="5"/>
  <c r="O143" i="5"/>
  <c r="B143" i="5"/>
  <c r="O142" i="5"/>
  <c r="B142" i="5"/>
  <c r="O141" i="5"/>
  <c r="B141" i="5"/>
  <c r="O140" i="5"/>
  <c r="B140" i="5"/>
  <c r="O139" i="5"/>
  <c r="B139" i="5"/>
  <c r="O138" i="5"/>
  <c r="B138" i="5"/>
  <c r="O137" i="5"/>
  <c r="B137" i="5"/>
  <c r="O136" i="5"/>
  <c r="B136" i="5"/>
  <c r="O135" i="5"/>
  <c r="B135" i="5"/>
  <c r="O134" i="5"/>
  <c r="B134" i="5"/>
  <c r="O133" i="5"/>
  <c r="B133" i="5"/>
  <c r="O132" i="5"/>
  <c r="B132" i="5"/>
  <c r="O131" i="5"/>
  <c r="B131" i="5"/>
  <c r="O130" i="5"/>
  <c r="B130" i="5"/>
  <c r="O129" i="5"/>
  <c r="B129" i="5"/>
  <c r="O128" i="5"/>
  <c r="B128" i="5"/>
  <c r="O127" i="5"/>
  <c r="B127" i="5"/>
  <c r="O126" i="5"/>
  <c r="B126" i="5"/>
  <c r="O125" i="5"/>
  <c r="B125" i="5"/>
  <c r="O124" i="5"/>
  <c r="B124" i="5"/>
  <c r="O123" i="5"/>
  <c r="B123" i="5"/>
  <c r="O122" i="5"/>
  <c r="B122" i="5"/>
  <c r="O121" i="5"/>
  <c r="B121" i="5"/>
  <c r="O120" i="5"/>
  <c r="B120" i="5"/>
  <c r="O119" i="5"/>
  <c r="B119" i="5"/>
  <c r="O118" i="5"/>
  <c r="B118" i="5"/>
  <c r="O117" i="5"/>
  <c r="B117" i="5"/>
  <c r="O116" i="5"/>
  <c r="B116" i="5"/>
  <c r="O115" i="5"/>
  <c r="B115" i="5"/>
  <c r="O114" i="5"/>
  <c r="B114" i="5"/>
  <c r="O113" i="5"/>
  <c r="B113" i="5"/>
  <c r="O112" i="5"/>
  <c r="B112" i="5"/>
  <c r="O111" i="5"/>
  <c r="B111" i="5"/>
  <c r="O110" i="5"/>
  <c r="B110" i="5"/>
  <c r="O109" i="5"/>
  <c r="B109" i="5"/>
  <c r="O108" i="5"/>
  <c r="B108" i="5"/>
  <c r="O107" i="5"/>
  <c r="B107" i="5"/>
  <c r="O106" i="5"/>
  <c r="B106" i="5"/>
  <c r="O105" i="5"/>
  <c r="B105" i="5"/>
  <c r="O104" i="5"/>
  <c r="B104" i="5"/>
  <c r="O103" i="5"/>
  <c r="B103" i="5"/>
  <c r="O102" i="5"/>
  <c r="B102" i="5"/>
  <c r="O101" i="5"/>
  <c r="B101" i="5"/>
  <c r="O100" i="5"/>
  <c r="B100" i="5"/>
  <c r="O99" i="5"/>
  <c r="B99" i="5"/>
  <c r="O98" i="5"/>
  <c r="B98" i="5"/>
  <c r="O97" i="5"/>
  <c r="B97" i="5"/>
  <c r="O96" i="5"/>
  <c r="B96" i="5"/>
  <c r="O95" i="5"/>
  <c r="B95" i="5"/>
  <c r="O94" i="5"/>
  <c r="B94" i="5"/>
  <c r="O93" i="5"/>
  <c r="B93" i="5"/>
  <c r="O92" i="5"/>
  <c r="B92" i="5"/>
  <c r="O91" i="5"/>
  <c r="B91" i="5"/>
  <c r="O90" i="5"/>
  <c r="B90" i="5"/>
  <c r="O89" i="5"/>
  <c r="B89" i="5"/>
  <c r="O88" i="5"/>
  <c r="B88" i="5"/>
  <c r="O87" i="5"/>
  <c r="B87" i="5"/>
  <c r="O86" i="5"/>
  <c r="B86" i="5"/>
  <c r="O85" i="5"/>
  <c r="B85" i="5"/>
  <c r="O84" i="5"/>
  <c r="B84" i="5"/>
  <c r="O83" i="5"/>
  <c r="B83" i="5"/>
  <c r="O82" i="5"/>
  <c r="B82" i="5"/>
  <c r="O81" i="5"/>
  <c r="B81" i="5"/>
  <c r="O80" i="5"/>
  <c r="B80" i="5"/>
  <c r="O79" i="5"/>
  <c r="B79" i="5"/>
  <c r="O78" i="5"/>
  <c r="B78" i="5"/>
  <c r="O77" i="5"/>
  <c r="B77" i="5"/>
  <c r="O76" i="5"/>
  <c r="B76" i="5"/>
  <c r="O75" i="5"/>
  <c r="B75" i="5"/>
  <c r="O74" i="5"/>
  <c r="B74" i="5"/>
  <c r="O73" i="5"/>
  <c r="B73" i="5"/>
  <c r="O72" i="5"/>
  <c r="B72" i="5"/>
  <c r="O71" i="5"/>
  <c r="B71" i="5"/>
  <c r="O70" i="5"/>
  <c r="B70" i="5"/>
  <c r="O69" i="5"/>
  <c r="B69" i="5"/>
  <c r="O68" i="5"/>
  <c r="B68" i="5"/>
  <c r="O67" i="5"/>
  <c r="B67" i="5"/>
  <c r="O66" i="5"/>
  <c r="B66" i="5"/>
  <c r="O65" i="5"/>
  <c r="B65" i="5"/>
  <c r="O64" i="5"/>
  <c r="B64" i="5"/>
  <c r="O63" i="5"/>
  <c r="B63" i="5"/>
  <c r="O62" i="5"/>
  <c r="B62" i="5"/>
  <c r="O61" i="5"/>
  <c r="B61" i="5"/>
  <c r="O60" i="5"/>
  <c r="B60" i="5"/>
  <c r="O59" i="5"/>
  <c r="B59" i="5"/>
  <c r="O58" i="5"/>
  <c r="B58" i="5"/>
  <c r="O57" i="5"/>
  <c r="B57" i="5"/>
  <c r="O56" i="5"/>
  <c r="B56" i="5"/>
  <c r="O55" i="5"/>
  <c r="B55" i="5"/>
  <c r="O54" i="5"/>
  <c r="B54" i="5"/>
  <c r="O53" i="5"/>
  <c r="B53" i="5"/>
  <c r="O52" i="5"/>
  <c r="B52" i="5"/>
  <c r="O51" i="5"/>
  <c r="B51" i="5"/>
  <c r="O50" i="5"/>
  <c r="B50" i="5"/>
  <c r="O49" i="5"/>
  <c r="B49" i="5"/>
  <c r="O48" i="5"/>
  <c r="B48" i="5"/>
  <c r="O47" i="5"/>
  <c r="B47" i="5"/>
  <c r="O46" i="5"/>
  <c r="B46" i="5"/>
  <c r="O45" i="5"/>
  <c r="B45" i="5"/>
  <c r="O44" i="5"/>
  <c r="B44" i="5"/>
  <c r="O43" i="5"/>
  <c r="B43" i="5"/>
  <c r="O42" i="5"/>
  <c r="B42" i="5"/>
  <c r="O41" i="5"/>
  <c r="B41" i="5"/>
  <c r="O40" i="5"/>
  <c r="B40" i="5"/>
  <c r="O39" i="5"/>
  <c r="B39" i="5"/>
  <c r="O38" i="5"/>
  <c r="B38" i="5"/>
  <c r="O37" i="5"/>
  <c r="B37" i="5"/>
  <c r="O36" i="5"/>
  <c r="B36" i="5"/>
  <c r="O35" i="5"/>
  <c r="B35" i="5"/>
  <c r="O34" i="5"/>
  <c r="B34" i="5"/>
  <c r="O33" i="5"/>
  <c r="B33" i="5"/>
  <c r="O32" i="5"/>
  <c r="B32" i="5"/>
  <c r="O31" i="5"/>
  <c r="B31" i="5"/>
  <c r="O30" i="5"/>
  <c r="B30" i="5"/>
  <c r="O29" i="5"/>
  <c r="B29" i="5"/>
  <c r="O28" i="5"/>
  <c r="B28" i="5"/>
  <c r="O27" i="5"/>
  <c r="B27" i="5"/>
  <c r="O26" i="5"/>
  <c r="B26" i="5"/>
  <c r="O25" i="5"/>
  <c r="B25" i="5"/>
  <c r="O24" i="5"/>
  <c r="B24" i="5"/>
  <c r="O23" i="5"/>
  <c r="B23" i="5"/>
  <c r="O22" i="5"/>
  <c r="B22" i="5"/>
  <c r="O21" i="5"/>
  <c r="B21" i="5"/>
  <c r="O20" i="5"/>
  <c r="B20" i="5"/>
  <c r="O19" i="5"/>
  <c r="B19" i="5"/>
  <c r="O18" i="5"/>
  <c r="B18" i="5"/>
  <c r="O17" i="5"/>
  <c r="B17" i="5"/>
  <c r="O16" i="5"/>
  <c r="B16" i="5"/>
  <c r="O15" i="5"/>
  <c r="B15" i="5"/>
  <c r="O14" i="5"/>
  <c r="B14" i="5"/>
  <c r="O13" i="5"/>
  <c r="B13" i="5"/>
  <c r="O12" i="5"/>
  <c r="B12" i="5"/>
  <c r="O11" i="5"/>
  <c r="B11" i="5"/>
  <c r="O10" i="5"/>
  <c r="B10" i="5"/>
  <c r="S9" i="5"/>
  <c r="O9" i="5"/>
  <c r="B9" i="5"/>
  <c r="O8" i="5"/>
  <c r="B8" i="5"/>
  <c r="O7" i="5"/>
  <c r="B7" i="5"/>
  <c r="O6" i="5"/>
  <c r="B6" i="5"/>
  <c r="O5" i="5"/>
  <c r="B5" i="5"/>
  <c r="Y238" i="3"/>
  <c r="C210" i="5" s="1"/>
  <c r="H238" i="3"/>
  <c r="Y237" i="3"/>
  <c r="C212" i="5" s="1"/>
  <c r="H237" i="3"/>
  <c r="Y236" i="3"/>
  <c r="C207" i="5" s="1"/>
  <c r="H236" i="3"/>
  <c r="Y235" i="3"/>
  <c r="C209" i="5" s="1"/>
  <c r="H235" i="3"/>
  <c r="Y234" i="3"/>
  <c r="C208" i="5" s="1"/>
  <c r="H234" i="3"/>
  <c r="Y233" i="3"/>
  <c r="C206" i="5" s="1"/>
  <c r="H233" i="3"/>
  <c r="Y232" i="3"/>
  <c r="C211" i="5" s="1"/>
  <c r="H232" i="3"/>
  <c r="Y231" i="3"/>
  <c r="C78" i="5" s="1"/>
  <c r="H231" i="3"/>
  <c r="Y230" i="3"/>
  <c r="C79" i="5" s="1"/>
  <c r="H230" i="3"/>
  <c r="Y229" i="3"/>
  <c r="C77" i="5" s="1"/>
  <c r="H229" i="3"/>
  <c r="Y228" i="3"/>
  <c r="C80" i="5" s="1"/>
  <c r="H228" i="3"/>
  <c r="Y227" i="3"/>
  <c r="C76" i="5" s="1"/>
  <c r="H227" i="3"/>
  <c r="Y226" i="3"/>
  <c r="C75" i="5" s="1"/>
  <c r="H226" i="3"/>
  <c r="Y225" i="3"/>
  <c r="C74" i="5" s="1"/>
  <c r="H225" i="3"/>
  <c r="Y224" i="3"/>
  <c r="H224" i="3"/>
  <c r="F47" i="5" s="1"/>
  <c r="Y223" i="3"/>
  <c r="C49" i="5" s="1"/>
  <c r="H223" i="3"/>
  <c r="F49" i="5" s="1"/>
  <c r="Y222" i="3"/>
  <c r="C44" i="5" s="1"/>
  <c r="H222" i="3"/>
  <c r="F44" i="5" s="1"/>
  <c r="Y221" i="3"/>
  <c r="C50" i="5" s="1"/>
  <c r="H221" i="3"/>
  <c r="Y220" i="3"/>
  <c r="C48" i="5" s="1"/>
  <c r="H220" i="3"/>
  <c r="Y219" i="3"/>
  <c r="C172" i="5" s="1"/>
  <c r="H219" i="3"/>
  <c r="Y218" i="3"/>
  <c r="C170" i="5" s="1"/>
  <c r="H218" i="3"/>
  <c r="Y217" i="3"/>
  <c r="C173" i="5" s="1"/>
  <c r="H217" i="3"/>
  <c r="Y216" i="3"/>
  <c r="C171" i="5" s="1"/>
  <c r="H216" i="3"/>
  <c r="Y215" i="3"/>
  <c r="C73" i="5" s="1"/>
  <c r="H215" i="3"/>
  <c r="F73" i="5" s="1"/>
  <c r="Y214" i="3"/>
  <c r="C67" i="5" s="1"/>
  <c r="H214" i="3"/>
  <c r="F67" i="5" s="1"/>
  <c r="Y213" i="3"/>
  <c r="C70" i="5" s="1"/>
  <c r="H213" i="3"/>
  <c r="F70" i="5" s="1"/>
  <c r="Y212" i="3"/>
  <c r="C68" i="5" s="1"/>
  <c r="H212" i="3"/>
  <c r="F68" i="5" s="1"/>
  <c r="Y211" i="3"/>
  <c r="C69" i="5" s="1"/>
  <c r="H211" i="3"/>
  <c r="F69" i="5" s="1"/>
  <c r="Y210" i="3"/>
  <c r="C72" i="5" s="1"/>
  <c r="H210" i="3"/>
  <c r="F72" i="5" s="1"/>
  <c r="Y209" i="3"/>
  <c r="C66" i="5" s="1"/>
  <c r="H209" i="3"/>
  <c r="F66" i="5" s="1"/>
  <c r="Y208" i="3"/>
  <c r="C71" i="5" s="1"/>
  <c r="H208" i="3"/>
  <c r="F71" i="5" s="1"/>
  <c r="Y207" i="3"/>
  <c r="C129" i="5" s="1"/>
  <c r="H207" i="3"/>
  <c r="Y206" i="3"/>
  <c r="C118" i="5" s="1"/>
  <c r="H206" i="3"/>
  <c r="Y205" i="3"/>
  <c r="C117" i="5" s="1"/>
  <c r="H205" i="3"/>
  <c r="Y204" i="3"/>
  <c r="C119" i="5" s="1"/>
  <c r="H204" i="3"/>
  <c r="Y203" i="3"/>
  <c r="C130" i="5" s="1"/>
  <c r="H203" i="3"/>
  <c r="Y202" i="3"/>
  <c r="C106" i="5" s="1"/>
  <c r="H202" i="3"/>
  <c r="Y201" i="3"/>
  <c r="C105" i="5" s="1"/>
  <c r="H201" i="3"/>
  <c r="Y200" i="3"/>
  <c r="C116" i="5" s="1"/>
  <c r="H200" i="3"/>
  <c r="Y199" i="3"/>
  <c r="C51" i="5" s="1"/>
  <c r="H199" i="3"/>
  <c r="Y198" i="3"/>
  <c r="C54" i="5" s="1"/>
  <c r="H198" i="3"/>
  <c r="Y197" i="3"/>
  <c r="C53" i="5" s="1"/>
  <c r="H197" i="3"/>
  <c r="Y196" i="3"/>
  <c r="C52" i="5" s="1"/>
  <c r="H196" i="3"/>
  <c r="Y195" i="3"/>
  <c r="C228" i="5" s="1"/>
  <c r="H195" i="3"/>
  <c r="F228" i="5" s="1"/>
  <c r="Y194" i="3"/>
  <c r="C232" i="5" s="1"/>
  <c r="H194" i="3"/>
  <c r="F232" i="5" s="1"/>
  <c r="Y193" i="3"/>
  <c r="C230" i="5" s="1"/>
  <c r="H193" i="3"/>
  <c r="F230" i="5" s="1"/>
  <c r="Y192" i="3"/>
  <c r="C231" i="5" s="1"/>
  <c r="H192" i="3"/>
  <c r="F231" i="5" s="1"/>
  <c r="Y191" i="3"/>
  <c r="C229" i="5" s="1"/>
  <c r="H191" i="3"/>
  <c r="F229" i="5" s="1"/>
  <c r="Y190" i="3"/>
  <c r="C144" i="5" s="1"/>
  <c r="H190" i="3"/>
  <c r="Y189" i="3"/>
  <c r="C145" i="5" s="1"/>
  <c r="H189" i="3"/>
  <c r="Y188" i="3"/>
  <c r="C150" i="5" s="1"/>
  <c r="H188" i="3"/>
  <c r="Y187" i="3"/>
  <c r="C146" i="5" s="1"/>
  <c r="H187" i="3"/>
  <c r="Y186" i="3"/>
  <c r="C143" i="5" s="1"/>
  <c r="H186" i="3"/>
  <c r="Y185" i="3"/>
  <c r="C149" i="5" s="1"/>
  <c r="H185" i="3"/>
  <c r="Y184" i="3"/>
  <c r="C142" i="5" s="1"/>
  <c r="H184" i="3"/>
  <c r="Y183" i="3"/>
  <c r="C148" i="5" s="1"/>
  <c r="H183" i="3"/>
  <c r="Y182" i="3"/>
  <c r="C147" i="5" s="1"/>
  <c r="H182" i="3"/>
  <c r="Y181" i="3"/>
  <c r="C217" i="5" s="1"/>
  <c r="H181" i="3"/>
  <c r="Y180" i="3"/>
  <c r="C219" i="5" s="1"/>
  <c r="H180" i="3"/>
  <c r="Y179" i="3"/>
  <c r="C218" i="5" s="1"/>
  <c r="H179" i="3"/>
  <c r="Y178" i="3"/>
  <c r="C220" i="5" s="1"/>
  <c r="H178" i="3"/>
  <c r="Y177" i="3"/>
  <c r="C221" i="5" s="1"/>
  <c r="H177" i="3"/>
  <c r="Y176" i="3"/>
  <c r="C222" i="5" s="1"/>
  <c r="H176" i="3"/>
  <c r="Y175" i="3"/>
  <c r="C7" i="5" s="1"/>
  <c r="H175" i="3"/>
  <c r="F7" i="5" s="1"/>
  <c r="Y174" i="3"/>
  <c r="C14" i="5" s="1"/>
  <c r="H174" i="3"/>
  <c r="F14" i="5" s="1"/>
  <c r="Y173" i="3"/>
  <c r="C8" i="5" s="1"/>
  <c r="H173" i="3"/>
  <c r="F8" i="5" s="1"/>
  <c r="Y172" i="3"/>
  <c r="C9" i="5" s="1"/>
  <c r="H172" i="3"/>
  <c r="F9" i="5" s="1"/>
  <c r="Y171" i="3"/>
  <c r="C6" i="5" s="1"/>
  <c r="H171" i="3"/>
  <c r="F6" i="5" s="1"/>
  <c r="Y170" i="3"/>
  <c r="C11" i="5" s="1"/>
  <c r="H170" i="3"/>
  <c r="F11" i="5" s="1"/>
  <c r="Y169" i="3"/>
  <c r="C13" i="5" s="1"/>
  <c r="H169" i="3"/>
  <c r="F13" i="5" s="1"/>
  <c r="Y168" i="3"/>
  <c r="C5" i="5" s="1"/>
  <c r="H168" i="3"/>
  <c r="F5" i="5" s="1"/>
  <c r="Y167" i="3"/>
  <c r="C10" i="5" s="1"/>
  <c r="H167" i="3"/>
  <c r="F10" i="5" s="1"/>
  <c r="Y166" i="3"/>
  <c r="C12" i="5" s="1"/>
  <c r="H166" i="3"/>
  <c r="F12" i="5" s="1"/>
  <c r="Y165" i="3"/>
  <c r="C203" i="5" s="1"/>
  <c r="H165" i="3"/>
  <c r="Y164" i="3"/>
  <c r="C205" i="5" s="1"/>
  <c r="H164" i="3"/>
  <c r="Y163" i="3"/>
  <c r="C204" i="5" s="1"/>
  <c r="H163" i="3"/>
  <c r="Y162" i="3"/>
  <c r="C202" i="5" s="1"/>
  <c r="H162" i="3"/>
  <c r="Y161" i="3"/>
  <c r="C112" i="5" s="1"/>
  <c r="H161" i="3"/>
  <c r="Y160" i="3"/>
  <c r="C113" i="5" s="1"/>
  <c r="H160" i="3"/>
  <c r="Y159" i="3"/>
  <c r="C114" i="5" s="1"/>
  <c r="H159" i="3"/>
  <c r="Y158" i="3"/>
  <c r="C174" i="5" s="1"/>
  <c r="H158" i="3"/>
  <c r="Y157" i="3"/>
  <c r="C177" i="5" s="1"/>
  <c r="H157" i="3"/>
  <c r="Y156" i="3"/>
  <c r="C178" i="5" s="1"/>
  <c r="H156" i="3"/>
  <c r="Y155" i="3"/>
  <c r="C181" i="5" s="1"/>
  <c r="H155" i="3"/>
  <c r="Y154" i="3"/>
  <c r="C180" i="5" s="1"/>
  <c r="H154" i="3"/>
  <c r="Y153" i="3"/>
  <c r="C176" i="5" s="1"/>
  <c r="H153" i="3"/>
  <c r="Y152" i="3"/>
  <c r="C179" i="5" s="1"/>
  <c r="H152" i="3"/>
  <c r="Y151" i="3"/>
  <c r="C175" i="5" s="1"/>
  <c r="H151" i="3"/>
  <c r="Y150" i="3"/>
  <c r="C224" i="5" s="1"/>
  <c r="H150" i="3"/>
  <c r="Y149" i="3"/>
  <c r="C226" i="5" s="1"/>
  <c r="H149" i="3"/>
  <c r="F226" i="5" s="1"/>
  <c r="Y148" i="3"/>
  <c r="C223" i="5" s="1"/>
  <c r="H148" i="3"/>
  <c r="Y147" i="3"/>
  <c r="C225" i="5" s="1"/>
  <c r="H147" i="3"/>
  <c r="F225" i="5" s="1"/>
  <c r="Y146" i="3"/>
  <c r="C227" i="5" s="1"/>
  <c r="H146" i="3"/>
  <c r="F227" i="5" s="1"/>
  <c r="Y145" i="3"/>
  <c r="C189" i="5" s="1"/>
  <c r="H145" i="3"/>
  <c r="Y144" i="3"/>
  <c r="C190" i="5" s="1"/>
  <c r="H144" i="3"/>
  <c r="Y143" i="3"/>
  <c r="C191" i="5" s="1"/>
  <c r="H143" i="3"/>
  <c r="Y142" i="3"/>
  <c r="C188" i="5" s="1"/>
  <c r="H142" i="3"/>
  <c r="Y141" i="3"/>
  <c r="C87" i="5" s="1"/>
  <c r="H141" i="3"/>
  <c r="Y140" i="3"/>
  <c r="C95" i="5" s="1"/>
  <c r="H140" i="3"/>
  <c r="Y139" i="3"/>
  <c r="C91" i="5" s="1"/>
  <c r="H139" i="3"/>
  <c r="Y138" i="3"/>
  <c r="C92" i="5" s="1"/>
  <c r="H138" i="3"/>
  <c r="Y137" i="3"/>
  <c r="C94" i="5" s="1"/>
  <c r="H137" i="3"/>
  <c r="Y136" i="3"/>
  <c r="C93" i="5" s="1"/>
  <c r="H136" i="3"/>
  <c r="Y135" i="3"/>
  <c r="C88" i="5" s="1"/>
  <c r="H135" i="3"/>
  <c r="Y134" i="3"/>
  <c r="C89" i="5" s="1"/>
  <c r="H134" i="3"/>
  <c r="Y133" i="3"/>
  <c r="C85" i="5" s="1"/>
  <c r="H133" i="3"/>
  <c r="F85" i="5" s="1"/>
  <c r="Y132" i="3"/>
  <c r="C90" i="5" s="1"/>
  <c r="H132" i="3"/>
  <c r="F90" i="5" s="1"/>
  <c r="Y131" i="3"/>
  <c r="C86" i="5" s="1"/>
  <c r="H131" i="3"/>
  <c r="F86" i="5" s="1"/>
  <c r="Y130" i="3"/>
  <c r="C43" i="5" s="1"/>
  <c r="H130" i="3"/>
  <c r="F43" i="5" s="1"/>
  <c r="Y129" i="3"/>
  <c r="C45" i="5" s="1"/>
  <c r="H129" i="3"/>
  <c r="F45" i="5" s="1"/>
  <c r="Y128" i="3"/>
  <c r="C46" i="5" s="1"/>
  <c r="H128" i="3"/>
  <c r="Y127" i="3"/>
  <c r="C42" i="5" s="1"/>
  <c r="H127" i="3"/>
  <c r="Y126" i="3"/>
  <c r="C214" i="5" s="1"/>
  <c r="H126" i="3"/>
  <c r="Y125" i="3"/>
  <c r="C215" i="5" s="1"/>
  <c r="H125" i="3"/>
  <c r="Y124" i="3"/>
  <c r="C213" i="5" s="1"/>
  <c r="H124" i="3"/>
  <c r="Y123" i="3"/>
  <c r="C216" i="5" s="1"/>
  <c r="H123" i="3"/>
  <c r="Y122" i="3"/>
  <c r="C183" i="5" s="1"/>
  <c r="H122" i="3"/>
  <c r="Y121" i="3"/>
  <c r="C185" i="5" s="1"/>
  <c r="H121" i="3"/>
  <c r="Y120" i="3"/>
  <c r="C184" i="5" s="1"/>
  <c r="H120" i="3"/>
  <c r="Y119" i="3"/>
  <c r="C182" i="5" s="1"/>
  <c r="H119" i="3"/>
  <c r="Y118" i="3"/>
  <c r="C187" i="5" s="1"/>
  <c r="H118" i="3"/>
  <c r="Y117" i="3"/>
  <c r="C186" i="5" s="1"/>
  <c r="H117" i="3"/>
  <c r="Y116" i="3"/>
  <c r="C151" i="5" s="1"/>
  <c r="H116" i="3"/>
  <c r="Y115" i="3"/>
  <c r="C152" i="5" s="1"/>
  <c r="H115" i="3"/>
  <c r="Y114" i="3"/>
  <c r="C100" i="5" s="1"/>
  <c r="H114" i="3"/>
  <c r="Y113" i="3"/>
  <c r="C97" i="5" s="1"/>
  <c r="H113" i="3"/>
  <c r="Y112" i="3"/>
  <c r="C96" i="5" s="1"/>
  <c r="H112" i="3"/>
  <c r="Y111" i="3"/>
  <c r="C99" i="5" s="1"/>
  <c r="H111" i="3"/>
  <c r="Y110" i="3"/>
  <c r="C98" i="5" s="1"/>
  <c r="H110" i="3"/>
  <c r="Y109" i="3"/>
  <c r="C101" i="5" s="1"/>
  <c r="H109" i="3"/>
  <c r="Y108" i="3"/>
  <c r="C169" i="5" s="1"/>
  <c r="H108" i="3"/>
  <c r="Y107" i="3"/>
  <c r="C167" i="5" s="1"/>
  <c r="H107" i="3"/>
  <c r="Y106" i="3"/>
  <c r="C168" i="5" s="1"/>
  <c r="H106" i="3"/>
  <c r="Y105" i="3"/>
  <c r="C164" i="5" s="1"/>
  <c r="H105" i="3"/>
  <c r="Y104" i="3"/>
  <c r="C166" i="5" s="1"/>
  <c r="H104" i="3"/>
  <c r="Y103" i="3"/>
  <c r="C165" i="5" s="1"/>
  <c r="H103" i="3"/>
  <c r="Y102" i="3"/>
  <c r="C201" i="5" s="1"/>
  <c r="H102" i="3"/>
  <c r="Y101" i="3"/>
  <c r="C199" i="5" s="1"/>
  <c r="H101" i="3"/>
  <c r="Y100" i="3"/>
  <c r="C200" i="5" s="1"/>
  <c r="H100" i="3"/>
  <c r="Y99" i="3"/>
  <c r="C194" i="5" s="1"/>
  <c r="H99" i="3"/>
  <c r="Y98" i="3"/>
  <c r="C192" i="5" s="1"/>
  <c r="H98" i="3"/>
  <c r="Y97" i="3"/>
  <c r="C198" i="5" s="1"/>
  <c r="H97" i="3"/>
  <c r="Y96" i="3"/>
  <c r="C196" i="5" s="1"/>
  <c r="H96" i="3"/>
  <c r="Y95" i="3"/>
  <c r="C195" i="5" s="1"/>
  <c r="H95" i="3"/>
  <c r="Y94" i="3"/>
  <c r="C193" i="5" s="1"/>
  <c r="H94" i="3"/>
  <c r="Y93" i="3"/>
  <c r="C197" i="5" s="1"/>
  <c r="H93" i="3"/>
  <c r="Y92" i="3"/>
  <c r="C58" i="5" s="1"/>
  <c r="H92" i="3"/>
  <c r="Y91" i="3"/>
  <c r="C55" i="5" s="1"/>
  <c r="H91" i="3"/>
  <c r="Y90" i="3"/>
  <c r="C60" i="5" s="1"/>
  <c r="H90" i="3"/>
  <c r="Y89" i="3"/>
  <c r="C57" i="5" s="1"/>
  <c r="H89" i="3"/>
  <c r="Y88" i="3"/>
  <c r="H88" i="3"/>
  <c r="F59" i="5" s="1"/>
  <c r="Y87" i="3"/>
  <c r="C56" i="5" s="1"/>
  <c r="H87" i="3"/>
  <c r="F56" i="5" s="1"/>
  <c r="Y86" i="3"/>
  <c r="C141" i="5" s="1"/>
  <c r="H86" i="3"/>
  <c r="Y85" i="3"/>
  <c r="C140" i="5" s="1"/>
  <c r="H85" i="3"/>
  <c r="Y84" i="3"/>
  <c r="C139" i="5" s="1"/>
  <c r="H84" i="3"/>
  <c r="Y83" i="3"/>
  <c r="C138" i="5" s="1"/>
  <c r="H83" i="3"/>
  <c r="Y82" i="3"/>
  <c r="H82" i="3"/>
  <c r="Y81" i="3"/>
  <c r="H81" i="3"/>
  <c r="Y80" i="3"/>
  <c r="C234" i="5" s="1"/>
  <c r="H80" i="3"/>
  <c r="F234" i="5" s="1"/>
  <c r="Y79" i="3"/>
  <c r="H79" i="3"/>
  <c r="Y78" i="3"/>
  <c r="C233" i="5" s="1"/>
  <c r="H78" i="3"/>
  <c r="F233" i="5" s="1"/>
  <c r="Y77" i="3"/>
  <c r="H77" i="3"/>
  <c r="Y76" i="3"/>
  <c r="C40" i="5" s="1"/>
  <c r="H76" i="3"/>
  <c r="F40" i="5" s="1"/>
  <c r="Y75" i="3"/>
  <c r="C33" i="5" s="1"/>
  <c r="H75" i="3"/>
  <c r="F33" i="5" s="1"/>
  <c r="Y74" i="3"/>
  <c r="C41" i="5" s="1"/>
  <c r="H74" i="3"/>
  <c r="Y73" i="3"/>
  <c r="C32" i="5" s="1"/>
  <c r="H73" i="3"/>
  <c r="F32" i="5" s="1"/>
  <c r="Y72" i="3"/>
  <c r="C81" i="5" s="1"/>
  <c r="H72" i="3"/>
  <c r="F81" i="5" s="1"/>
  <c r="Y71" i="3"/>
  <c r="C83" i="5" s="1"/>
  <c r="H71" i="3"/>
  <c r="F83" i="5" s="1"/>
  <c r="Y70" i="3"/>
  <c r="C82" i="5" s="1"/>
  <c r="H70" i="3"/>
  <c r="F82" i="5" s="1"/>
  <c r="Y69" i="3"/>
  <c r="C84" i="5" s="1"/>
  <c r="H69" i="3"/>
  <c r="F84" i="5" s="1"/>
  <c r="Y68" i="3"/>
  <c r="C107" i="5" s="1"/>
  <c r="H68" i="3"/>
  <c r="Y67" i="3"/>
  <c r="C104" i="5" s="1"/>
  <c r="H67" i="3"/>
  <c r="Y66" i="3"/>
  <c r="C110" i="5" s="1"/>
  <c r="H66" i="3"/>
  <c r="Y65" i="3"/>
  <c r="C103" i="5" s="1"/>
  <c r="H65" i="3"/>
  <c r="Y64" i="3"/>
  <c r="C102" i="5" s="1"/>
  <c r="H64" i="3"/>
  <c r="Y63" i="3"/>
  <c r="C111" i="5" s="1"/>
  <c r="H63" i="3"/>
  <c r="Y62" i="3"/>
  <c r="C108" i="5" s="1"/>
  <c r="H62" i="3"/>
  <c r="Y61" i="3"/>
  <c r="C109" i="5" s="1"/>
  <c r="H61" i="3"/>
  <c r="Y60" i="3"/>
  <c r="C137" i="5" s="1"/>
  <c r="H60" i="3"/>
  <c r="Y59" i="3"/>
  <c r="C131" i="5" s="1"/>
  <c r="H59" i="3"/>
  <c r="Y58" i="3"/>
  <c r="C132" i="5" s="1"/>
  <c r="H58" i="3"/>
  <c r="Y57" i="3"/>
  <c r="C134" i="5" s="1"/>
  <c r="H57" i="3"/>
  <c r="Y56" i="3"/>
  <c r="C135" i="5" s="1"/>
  <c r="H56" i="3"/>
  <c r="Y55" i="3"/>
  <c r="C136" i="5" s="1"/>
  <c r="H55" i="3"/>
  <c r="Y54" i="3"/>
  <c r="C133" i="5" s="1"/>
  <c r="H54" i="3"/>
  <c r="Y53" i="3"/>
  <c r="C62" i="5" s="1"/>
  <c r="H53" i="3"/>
  <c r="F62" i="5" s="1"/>
  <c r="Y52" i="3"/>
  <c r="C64" i="5" s="1"/>
  <c r="H52" i="3"/>
  <c r="F64" i="5" s="1"/>
  <c r="Y51" i="3"/>
  <c r="C61" i="5" s="1"/>
  <c r="H51" i="3"/>
  <c r="Y50" i="3"/>
  <c r="C65" i="5" s="1"/>
  <c r="H50" i="3"/>
  <c r="Y49" i="3"/>
  <c r="C63" i="5" s="1"/>
  <c r="H49" i="3"/>
  <c r="Y48" i="3"/>
  <c r="C156" i="5" s="1"/>
  <c r="H48" i="3"/>
  <c r="Y47" i="3"/>
  <c r="C155" i="5" s="1"/>
  <c r="H47" i="3"/>
  <c r="Y46" i="3"/>
  <c r="C158" i="5" s="1"/>
  <c r="H46" i="3"/>
  <c r="Y45" i="3"/>
  <c r="C157" i="5" s="1"/>
  <c r="H45" i="3"/>
  <c r="Y44" i="3"/>
  <c r="C160" i="5" s="1"/>
  <c r="H44" i="3"/>
  <c r="Y43" i="3"/>
  <c r="H43" i="3"/>
  <c r="F163" i="5" s="1"/>
  <c r="Y42" i="3"/>
  <c r="C159" i="5" s="1"/>
  <c r="H42" i="3"/>
  <c r="F159" i="5" s="1"/>
  <c r="Y41" i="3"/>
  <c r="C162" i="5" s="1"/>
  <c r="H41" i="3"/>
  <c r="F162" i="5" s="1"/>
  <c r="Y40" i="3"/>
  <c r="C161" i="5" s="1"/>
  <c r="H40" i="3"/>
  <c r="F161" i="5" s="1"/>
  <c r="Y39" i="3"/>
  <c r="C128" i="5" s="1"/>
  <c r="H39" i="3"/>
  <c r="F128" i="5" s="1"/>
  <c r="Y38" i="3"/>
  <c r="C123" i="5" s="1"/>
  <c r="H38" i="3"/>
  <c r="F123" i="5" s="1"/>
  <c r="Y37" i="3"/>
  <c r="C120" i="5" s="1"/>
  <c r="H37" i="3"/>
  <c r="F120" i="5" s="1"/>
  <c r="Y36" i="3"/>
  <c r="C125" i="5" s="1"/>
  <c r="H36" i="3"/>
  <c r="F125" i="5" s="1"/>
  <c r="Y35" i="3"/>
  <c r="C127" i="5" s="1"/>
  <c r="H35" i="3"/>
  <c r="F127" i="5" s="1"/>
  <c r="Y34" i="3"/>
  <c r="C115" i="5" s="1"/>
  <c r="H34" i="3"/>
  <c r="F115" i="5" s="1"/>
  <c r="Y33" i="3"/>
  <c r="C126" i="5" s="1"/>
  <c r="H33" i="3"/>
  <c r="F126" i="5" s="1"/>
  <c r="Y32" i="3"/>
  <c r="C121" i="5" s="1"/>
  <c r="H32" i="3"/>
  <c r="F121" i="5" s="1"/>
  <c r="Y31" i="3"/>
  <c r="C124" i="5" s="1"/>
  <c r="H31" i="3"/>
  <c r="F124" i="5" s="1"/>
  <c r="Y30" i="3"/>
  <c r="C122" i="5" s="1"/>
  <c r="H30" i="3"/>
  <c r="F122" i="5" s="1"/>
  <c r="Y29" i="3"/>
  <c r="C26" i="5" s="1"/>
  <c r="H29" i="3"/>
  <c r="F26" i="5" s="1"/>
  <c r="Y28" i="3"/>
  <c r="C18" i="5" s="1"/>
  <c r="H28" i="3"/>
  <c r="F18" i="5" s="1"/>
  <c r="Y27" i="3"/>
  <c r="C30" i="5" s="1"/>
  <c r="H27" i="3"/>
  <c r="F30" i="5" s="1"/>
  <c r="Y26" i="3"/>
  <c r="C24" i="5" s="1"/>
  <c r="H26" i="3"/>
  <c r="F24" i="5" s="1"/>
  <c r="Y25" i="3"/>
  <c r="C28" i="5" s="1"/>
  <c r="H25" i="3"/>
  <c r="F28" i="5" s="1"/>
  <c r="Y24" i="3"/>
  <c r="C19" i="5" s="1"/>
  <c r="H24" i="3"/>
  <c r="F19" i="5" s="1"/>
  <c r="Y23" i="3"/>
  <c r="C27" i="5" s="1"/>
  <c r="H23" i="3"/>
  <c r="F27" i="5" s="1"/>
  <c r="Y22" i="3"/>
  <c r="C21" i="5" s="1"/>
  <c r="H22" i="3"/>
  <c r="F21" i="5" s="1"/>
  <c r="Y21" i="3"/>
  <c r="C16" i="5" s="1"/>
  <c r="H21" i="3"/>
  <c r="F16" i="5" s="1"/>
  <c r="Y20" i="3"/>
  <c r="C29" i="5" s="1"/>
  <c r="H20" i="3"/>
  <c r="F29" i="5" s="1"/>
  <c r="Y19" i="3"/>
  <c r="C17" i="5" s="1"/>
  <c r="H19" i="3"/>
  <c r="F17" i="5" s="1"/>
  <c r="Y18" i="3"/>
  <c r="C22" i="5" s="1"/>
  <c r="H18" i="3"/>
  <c r="F22" i="5" s="1"/>
  <c r="Y17" i="3"/>
  <c r="C20" i="5" s="1"/>
  <c r="H17" i="3"/>
  <c r="F20" i="5" s="1"/>
  <c r="Y16" i="3"/>
  <c r="C15" i="5" s="1"/>
  <c r="H16" i="3"/>
  <c r="F15" i="5" s="1"/>
  <c r="Y15" i="3"/>
  <c r="C23" i="5" s="1"/>
  <c r="H15" i="3"/>
  <c r="F23" i="5" s="1"/>
  <c r="Y14" i="3"/>
  <c r="C25" i="5" s="1"/>
  <c r="H14" i="3"/>
  <c r="F25" i="5" s="1"/>
  <c r="Y13" i="3"/>
  <c r="C37" i="5" s="1"/>
  <c r="H13" i="3"/>
  <c r="Y12" i="3"/>
  <c r="C35" i="5" s="1"/>
  <c r="H12" i="3"/>
  <c r="Y11" i="3"/>
  <c r="C31" i="5" s="1"/>
  <c r="H11" i="3"/>
  <c r="Y10" i="3"/>
  <c r="C34" i="5" s="1"/>
  <c r="H10" i="3"/>
  <c r="Y9" i="3"/>
  <c r="C39" i="5" s="1"/>
  <c r="H9" i="3"/>
  <c r="Y8" i="3"/>
  <c r="C38" i="5" s="1"/>
  <c r="H8" i="3"/>
  <c r="Y7" i="3"/>
  <c r="C36" i="5" s="1"/>
  <c r="H7" i="3"/>
  <c r="Y6" i="3"/>
  <c r="C154" i="5" s="1"/>
  <c r="H6" i="3"/>
  <c r="Y5" i="3"/>
  <c r="H5" i="3"/>
  <c r="G7" i="2"/>
  <c r="G6" i="2"/>
  <c r="G5" i="2"/>
  <c r="B8" i="1"/>
  <c r="B7" i="1"/>
  <c r="B6" i="1"/>
  <c r="B5" i="1"/>
  <c r="M179" i="3" l="1"/>
  <c r="L179" i="3"/>
  <c r="I134" i="3"/>
  <c r="J134" i="3"/>
  <c r="M134" i="3"/>
  <c r="F89" i="5"/>
  <c r="L134" i="3"/>
  <c r="K134" i="3"/>
  <c r="L23" i="7"/>
  <c r="K23" i="7"/>
  <c r="J23" i="7"/>
  <c r="I23" i="7"/>
  <c r="M23" i="7"/>
  <c r="M22" i="7"/>
  <c r="L22" i="7"/>
  <c r="K22" i="7"/>
  <c r="J22" i="7"/>
  <c r="I22" i="7"/>
  <c r="M21" i="7"/>
  <c r="L21" i="7"/>
  <c r="K21" i="7"/>
  <c r="J21" i="7"/>
  <c r="I21" i="7"/>
  <c r="M20" i="7"/>
  <c r="L20" i="7"/>
  <c r="K20" i="7"/>
  <c r="J20" i="7"/>
  <c r="I20" i="7"/>
  <c r="K19" i="7"/>
  <c r="L19" i="7"/>
  <c r="M19" i="7"/>
  <c r="J19" i="7"/>
  <c r="I19" i="7"/>
  <c r="M18" i="7"/>
  <c r="L18" i="7"/>
  <c r="K18" i="7"/>
  <c r="J18" i="7"/>
  <c r="I18" i="7"/>
  <c r="J17" i="7"/>
  <c r="L17" i="7"/>
  <c r="K17" i="7"/>
  <c r="M17" i="7"/>
  <c r="I17" i="7"/>
  <c r="M15" i="7"/>
  <c r="L15" i="7"/>
  <c r="K15" i="7"/>
  <c r="J15" i="7"/>
  <c r="I15" i="7"/>
  <c r="M14" i="7"/>
  <c r="L14" i="7"/>
  <c r="K14" i="7"/>
  <c r="J14" i="7"/>
  <c r="I14" i="7"/>
  <c r="I13" i="7"/>
  <c r="L13" i="7"/>
  <c r="K13" i="7"/>
  <c r="J13" i="7"/>
  <c r="M13" i="7"/>
  <c r="M12" i="7"/>
  <c r="L12" i="7"/>
  <c r="K12" i="7"/>
  <c r="J12" i="7"/>
  <c r="I12" i="7"/>
  <c r="J10" i="7"/>
  <c r="L10" i="7"/>
  <c r="K10" i="7"/>
  <c r="M10" i="7"/>
  <c r="I10" i="7"/>
  <c r="M9" i="7"/>
  <c r="L9" i="7"/>
  <c r="K9" i="7"/>
  <c r="J9" i="7"/>
  <c r="I9" i="7"/>
  <c r="M8" i="7"/>
  <c r="L8" i="7"/>
  <c r="K8" i="7"/>
  <c r="J8" i="7"/>
  <c r="I8" i="7"/>
  <c r="K7" i="7"/>
  <c r="L7" i="7"/>
  <c r="M7" i="7"/>
  <c r="J7" i="7"/>
  <c r="I7" i="7"/>
  <c r="M6" i="7"/>
  <c r="L6" i="7"/>
  <c r="K6" i="7"/>
  <c r="J6" i="7"/>
  <c r="I6" i="7"/>
  <c r="I5" i="7"/>
  <c r="L5" i="7"/>
  <c r="K5" i="7"/>
  <c r="J5" i="7"/>
  <c r="M5" i="7"/>
  <c r="P43" i="6"/>
  <c r="G43" i="6"/>
  <c r="S35" i="5"/>
  <c r="S34" i="5"/>
  <c r="S10" i="5"/>
  <c r="I238" i="3"/>
  <c r="J238" i="3"/>
  <c r="K238" i="3"/>
  <c r="L238" i="3"/>
  <c r="M238" i="3"/>
  <c r="F210" i="5"/>
  <c r="L237" i="3"/>
  <c r="I237" i="3"/>
  <c r="J237" i="3"/>
  <c r="F212" i="5"/>
  <c r="K237" i="3"/>
  <c r="M237" i="3"/>
  <c r="I236" i="3"/>
  <c r="J236" i="3"/>
  <c r="K236" i="3"/>
  <c r="M236" i="3"/>
  <c r="F207" i="5"/>
  <c r="L236" i="3"/>
  <c r="I235" i="3"/>
  <c r="F209" i="5"/>
  <c r="J235" i="3"/>
  <c r="L235" i="3"/>
  <c r="M235" i="3"/>
  <c r="K235" i="3"/>
  <c r="L234" i="3"/>
  <c r="F208" i="5"/>
  <c r="J234" i="3"/>
  <c r="K234" i="3"/>
  <c r="I234" i="3"/>
  <c r="M234" i="3"/>
  <c r="K233" i="3"/>
  <c r="J233" i="3"/>
  <c r="F206" i="5"/>
  <c r="I233" i="3"/>
  <c r="L233" i="3"/>
  <c r="M233" i="3"/>
  <c r="J232" i="3"/>
  <c r="F211" i="5"/>
  <c r="M232" i="3"/>
  <c r="L232" i="3"/>
  <c r="I232" i="3"/>
  <c r="K232" i="3"/>
  <c r="I231" i="3"/>
  <c r="J231" i="3"/>
  <c r="M231" i="3"/>
  <c r="F78" i="5"/>
  <c r="K231" i="3"/>
  <c r="L231" i="3"/>
  <c r="F79" i="5"/>
  <c r="I230" i="3"/>
  <c r="K230" i="3"/>
  <c r="M230" i="3"/>
  <c r="L230" i="3"/>
  <c r="J230" i="3"/>
  <c r="K229" i="3"/>
  <c r="L229" i="3"/>
  <c r="J229" i="3"/>
  <c r="M229" i="3"/>
  <c r="F77" i="5"/>
  <c r="I229" i="3"/>
  <c r="L228" i="3"/>
  <c r="F80" i="5"/>
  <c r="I228" i="3"/>
  <c r="K228" i="3"/>
  <c r="J228" i="3"/>
  <c r="M228" i="3"/>
  <c r="M227" i="3"/>
  <c r="K227" i="3"/>
  <c r="J227" i="3"/>
  <c r="L227" i="3"/>
  <c r="F76" i="5"/>
  <c r="I227" i="3"/>
  <c r="L226" i="3"/>
  <c r="I226" i="3"/>
  <c r="J226" i="3"/>
  <c r="M226" i="3"/>
  <c r="F75" i="5"/>
  <c r="K226" i="3"/>
  <c r="J225" i="3"/>
  <c r="M225" i="3"/>
  <c r="F74" i="5"/>
  <c r="L225" i="3"/>
  <c r="K225" i="3"/>
  <c r="I225" i="3"/>
  <c r="B16" i="4"/>
  <c r="B8" i="4"/>
  <c r="B9" i="4"/>
  <c r="B7" i="4"/>
  <c r="B10" i="4"/>
  <c r="B15" i="4"/>
  <c r="B19" i="4"/>
  <c r="B13" i="4"/>
  <c r="C47" i="5"/>
  <c r="B17" i="4"/>
  <c r="B12" i="4"/>
  <c r="B36" i="4"/>
  <c r="B14" i="4"/>
  <c r="B6" i="4"/>
  <c r="B5" i="4"/>
  <c r="B11" i="4"/>
  <c r="B18" i="4"/>
  <c r="K224" i="3"/>
  <c r="L224" i="3"/>
  <c r="M224" i="3"/>
  <c r="J224" i="3"/>
  <c r="I224" i="3"/>
  <c r="M223" i="3"/>
  <c r="L223" i="3"/>
  <c r="K223" i="3"/>
  <c r="J223" i="3"/>
  <c r="I223" i="3"/>
  <c r="M222" i="3"/>
  <c r="K222" i="3"/>
  <c r="J222" i="3"/>
  <c r="I222" i="3"/>
  <c r="L222" i="3"/>
  <c r="I221" i="3"/>
  <c r="F50" i="5"/>
  <c r="M221" i="3"/>
  <c r="L221" i="3"/>
  <c r="K221" i="3"/>
  <c r="J221" i="3"/>
  <c r="F48" i="5"/>
  <c r="I220" i="3"/>
  <c r="J220" i="3"/>
  <c r="K220" i="3"/>
  <c r="L220" i="3"/>
  <c r="M220" i="3"/>
  <c r="I219" i="3"/>
  <c r="J219" i="3"/>
  <c r="K219" i="3"/>
  <c r="L219" i="3"/>
  <c r="M219" i="3"/>
  <c r="F172" i="5"/>
  <c r="I218" i="3"/>
  <c r="J218" i="3"/>
  <c r="K218" i="3"/>
  <c r="L218" i="3"/>
  <c r="F170" i="5"/>
  <c r="M218" i="3"/>
  <c r="F173" i="5"/>
  <c r="M217" i="3"/>
  <c r="L217" i="3"/>
  <c r="K217" i="3"/>
  <c r="J217" i="3"/>
  <c r="I217" i="3"/>
  <c r="J216" i="3"/>
  <c r="K216" i="3"/>
  <c r="L216" i="3"/>
  <c r="F171" i="5"/>
  <c r="M216" i="3"/>
  <c r="I216" i="3"/>
  <c r="I215" i="3"/>
  <c r="J215" i="3"/>
  <c r="M215" i="3"/>
  <c r="K215" i="3"/>
  <c r="L215" i="3"/>
  <c r="K214" i="3"/>
  <c r="J214" i="3"/>
  <c r="I214" i="3"/>
  <c r="L214" i="3"/>
  <c r="M214" i="3"/>
  <c r="L213" i="3"/>
  <c r="I213" i="3"/>
  <c r="J213" i="3"/>
  <c r="K213" i="3"/>
  <c r="M213" i="3"/>
  <c r="L212" i="3"/>
  <c r="J212" i="3"/>
  <c r="M212" i="3"/>
  <c r="I212" i="3"/>
  <c r="K212" i="3"/>
  <c r="M211" i="3"/>
  <c r="L211" i="3"/>
  <c r="K211" i="3"/>
  <c r="J211" i="3"/>
  <c r="I211" i="3"/>
  <c r="L210" i="3"/>
  <c r="M210" i="3"/>
  <c r="K210" i="3"/>
  <c r="J210" i="3"/>
  <c r="I210" i="3"/>
  <c r="M209" i="3"/>
  <c r="L209" i="3"/>
  <c r="K209" i="3"/>
  <c r="J209" i="3"/>
  <c r="I209" i="3"/>
  <c r="K208" i="3"/>
  <c r="M208" i="3"/>
  <c r="L208" i="3"/>
  <c r="I208" i="3"/>
  <c r="J208" i="3"/>
  <c r="J207" i="3"/>
  <c r="M207" i="3"/>
  <c r="K207" i="3"/>
  <c r="F129" i="5"/>
  <c r="I207" i="3"/>
  <c r="L207" i="3"/>
  <c r="F118" i="5"/>
  <c r="I206" i="3"/>
  <c r="J206" i="3"/>
  <c r="K206" i="3"/>
  <c r="L206" i="3"/>
  <c r="M206" i="3"/>
  <c r="M205" i="3"/>
  <c r="L205" i="3"/>
  <c r="K205" i="3"/>
  <c r="J205" i="3"/>
  <c r="I205" i="3"/>
  <c r="F117" i="5"/>
  <c r="J204" i="3"/>
  <c r="I204" i="3"/>
  <c r="M204" i="3"/>
  <c r="F119" i="5"/>
  <c r="L204" i="3"/>
  <c r="K204" i="3"/>
  <c r="J203" i="3"/>
  <c r="K203" i="3"/>
  <c r="L203" i="3"/>
  <c r="I203" i="3"/>
  <c r="M203" i="3"/>
  <c r="F130" i="5"/>
  <c r="F106" i="5"/>
  <c r="I202" i="3"/>
  <c r="J202" i="3"/>
  <c r="K202" i="3"/>
  <c r="L202" i="3"/>
  <c r="M202" i="3"/>
  <c r="F105" i="5"/>
  <c r="I201" i="3"/>
  <c r="J201" i="3"/>
  <c r="K201" i="3"/>
  <c r="L201" i="3"/>
  <c r="M201" i="3"/>
  <c r="L200" i="3"/>
  <c r="F116" i="5"/>
  <c r="K200" i="3"/>
  <c r="J200" i="3"/>
  <c r="I200" i="3"/>
  <c r="M200" i="3"/>
  <c r="M199" i="3"/>
  <c r="L199" i="3"/>
  <c r="K199" i="3"/>
  <c r="J199" i="3"/>
  <c r="I199" i="3"/>
  <c r="F51" i="5"/>
  <c r="M198" i="3"/>
  <c r="L198" i="3"/>
  <c r="K198" i="3"/>
  <c r="J198" i="3"/>
  <c r="I198" i="3"/>
  <c r="F54" i="5"/>
  <c r="K197" i="3"/>
  <c r="M197" i="3"/>
  <c r="L197" i="3"/>
  <c r="F53" i="5"/>
  <c r="I197" i="3"/>
  <c r="J197" i="3"/>
  <c r="L196" i="3"/>
  <c r="K196" i="3"/>
  <c r="J196" i="3"/>
  <c r="I196" i="3"/>
  <c r="F52" i="5"/>
  <c r="M196" i="3"/>
  <c r="K195" i="3"/>
  <c r="J195" i="3"/>
  <c r="I195" i="3"/>
  <c r="L195" i="3"/>
  <c r="M195" i="3"/>
  <c r="M194" i="3"/>
  <c r="L194" i="3"/>
  <c r="K194" i="3"/>
  <c r="J194" i="3"/>
  <c r="I194" i="3"/>
  <c r="M193" i="3"/>
  <c r="L193" i="3"/>
  <c r="K193" i="3"/>
  <c r="J193" i="3"/>
  <c r="I193" i="3"/>
  <c r="M192" i="3"/>
  <c r="L192" i="3"/>
  <c r="K192" i="3"/>
  <c r="J192" i="3"/>
  <c r="I192" i="3"/>
  <c r="J191" i="3"/>
  <c r="I191" i="3"/>
  <c r="K191" i="3"/>
  <c r="L191" i="3"/>
  <c r="M191" i="3"/>
  <c r="L190" i="3"/>
  <c r="M190" i="3"/>
  <c r="F144" i="5"/>
  <c r="I190" i="3"/>
  <c r="J190" i="3"/>
  <c r="K190" i="3"/>
  <c r="I189" i="3"/>
  <c r="J189" i="3"/>
  <c r="F145" i="5"/>
  <c r="K189" i="3"/>
  <c r="L189" i="3"/>
  <c r="M189" i="3"/>
  <c r="F150" i="5"/>
  <c r="M188" i="3"/>
  <c r="L188" i="3"/>
  <c r="K188" i="3"/>
  <c r="J188" i="3"/>
  <c r="I188" i="3"/>
  <c r="F146" i="5"/>
  <c r="M187" i="3"/>
  <c r="L187" i="3"/>
  <c r="K187" i="3"/>
  <c r="J187" i="3"/>
  <c r="I187" i="3"/>
  <c r="M186" i="3"/>
  <c r="L186" i="3"/>
  <c r="I186" i="3"/>
  <c r="K186" i="3"/>
  <c r="J186" i="3"/>
  <c r="F143" i="5"/>
  <c r="L185" i="3"/>
  <c r="M185" i="3"/>
  <c r="F149" i="5"/>
  <c r="K185" i="3"/>
  <c r="J185" i="3"/>
  <c r="I185" i="3"/>
  <c r="I184" i="3"/>
  <c r="F142" i="5"/>
  <c r="M184" i="3"/>
  <c r="K184" i="3"/>
  <c r="L184" i="3"/>
  <c r="J184" i="3"/>
  <c r="I183" i="3"/>
  <c r="F148" i="5"/>
  <c r="M183" i="3"/>
  <c r="L183" i="3"/>
  <c r="K183" i="3"/>
  <c r="J183" i="3"/>
  <c r="F147" i="5"/>
  <c r="M182" i="3"/>
  <c r="I182" i="3"/>
  <c r="J182" i="3"/>
  <c r="K182" i="3"/>
  <c r="L182" i="3"/>
  <c r="L181" i="3"/>
  <c r="K181" i="3"/>
  <c r="J181" i="3"/>
  <c r="I181" i="3"/>
  <c r="F217" i="5"/>
  <c r="M181" i="3"/>
  <c r="F219" i="5"/>
  <c r="I180" i="3"/>
  <c r="J180" i="3"/>
  <c r="K180" i="3"/>
  <c r="L180" i="3"/>
  <c r="M180" i="3"/>
  <c r="K179" i="3"/>
  <c r="J179" i="3"/>
  <c r="I179" i="3"/>
  <c r="F218" i="5"/>
  <c r="M178" i="3"/>
  <c r="L178" i="3"/>
  <c r="F220" i="5"/>
  <c r="I178" i="3"/>
  <c r="J178" i="3"/>
  <c r="K178" i="3"/>
  <c r="I177" i="3"/>
  <c r="J177" i="3"/>
  <c r="K177" i="3"/>
  <c r="L177" i="3"/>
  <c r="M177" i="3"/>
  <c r="F221" i="5"/>
  <c r="K176" i="3"/>
  <c r="L176" i="3"/>
  <c r="I176" i="3"/>
  <c r="J176" i="3"/>
  <c r="M176" i="3"/>
  <c r="F222" i="5"/>
  <c r="M175" i="3"/>
  <c r="K175" i="3"/>
  <c r="J175" i="3"/>
  <c r="I175" i="3"/>
  <c r="L175" i="3"/>
  <c r="L174" i="3"/>
  <c r="K174" i="3"/>
  <c r="M174" i="3"/>
  <c r="J174" i="3"/>
  <c r="I174" i="3"/>
  <c r="I173" i="3"/>
  <c r="J173" i="3"/>
  <c r="K173" i="3"/>
  <c r="L173" i="3"/>
  <c r="M173" i="3"/>
  <c r="L172" i="3"/>
  <c r="I172" i="3"/>
  <c r="J172" i="3"/>
  <c r="K172" i="3"/>
  <c r="M172" i="3"/>
  <c r="L171" i="3"/>
  <c r="M171" i="3"/>
  <c r="I171" i="3"/>
  <c r="J171" i="3"/>
  <c r="K171" i="3"/>
  <c r="I170" i="3"/>
  <c r="K170" i="3"/>
  <c r="L170" i="3"/>
  <c r="M170" i="3"/>
  <c r="J170" i="3"/>
  <c r="I169" i="3"/>
  <c r="J169" i="3"/>
  <c r="K169" i="3"/>
  <c r="L169" i="3"/>
  <c r="M169" i="3"/>
  <c r="I168" i="3"/>
  <c r="J168" i="3"/>
  <c r="K168" i="3"/>
  <c r="L168" i="3"/>
  <c r="M168" i="3"/>
  <c r="I167" i="3"/>
  <c r="J167" i="3"/>
  <c r="K167" i="3"/>
  <c r="M167" i="3"/>
  <c r="L167" i="3"/>
  <c r="J166" i="3"/>
  <c r="M166" i="3"/>
  <c r="L166" i="3"/>
  <c r="K166" i="3"/>
  <c r="I166" i="3"/>
  <c r="F203" i="5"/>
  <c r="M165" i="3"/>
  <c r="K165" i="3"/>
  <c r="J165" i="3"/>
  <c r="I165" i="3"/>
  <c r="L165" i="3"/>
  <c r="I164" i="3"/>
  <c r="F205" i="5"/>
  <c r="M164" i="3"/>
  <c r="L164" i="3"/>
  <c r="K164" i="3"/>
  <c r="J164" i="3"/>
  <c r="K163" i="3"/>
  <c r="M163" i="3"/>
  <c r="L163" i="3"/>
  <c r="J163" i="3"/>
  <c r="I163" i="3"/>
  <c r="F204" i="5"/>
  <c r="M162" i="3"/>
  <c r="L162" i="3"/>
  <c r="F202" i="5"/>
  <c r="I162" i="3"/>
  <c r="J162" i="3"/>
  <c r="K162" i="3"/>
  <c r="J161" i="3"/>
  <c r="M161" i="3"/>
  <c r="I161" i="3"/>
  <c r="L161" i="3"/>
  <c r="F112" i="5"/>
  <c r="K161" i="3"/>
  <c r="M160" i="3"/>
  <c r="L160" i="3"/>
  <c r="K160" i="3"/>
  <c r="J160" i="3"/>
  <c r="I160" i="3"/>
  <c r="F113" i="5"/>
  <c r="M159" i="3"/>
  <c r="L159" i="3"/>
  <c r="K159" i="3"/>
  <c r="F114" i="5"/>
  <c r="I159" i="3"/>
  <c r="J159" i="3"/>
  <c r="F174" i="5"/>
  <c r="M158" i="3"/>
  <c r="L158" i="3"/>
  <c r="K158" i="3"/>
  <c r="J158" i="3"/>
  <c r="I158" i="3"/>
  <c r="F177" i="5"/>
  <c r="M157" i="3"/>
  <c r="L157" i="3"/>
  <c r="K157" i="3"/>
  <c r="J157" i="3"/>
  <c r="I157" i="3"/>
  <c r="F178" i="5"/>
  <c r="M156" i="3"/>
  <c r="L156" i="3"/>
  <c r="K156" i="3"/>
  <c r="J156" i="3"/>
  <c r="I156" i="3"/>
  <c r="L155" i="3"/>
  <c r="F181" i="5"/>
  <c r="I155" i="3"/>
  <c r="J155" i="3"/>
  <c r="K155" i="3"/>
  <c r="M155" i="3"/>
  <c r="K154" i="3"/>
  <c r="L154" i="3"/>
  <c r="M154" i="3"/>
  <c r="I154" i="3"/>
  <c r="J154" i="3"/>
  <c r="F180" i="5"/>
  <c r="M153" i="3"/>
  <c r="L153" i="3"/>
  <c r="K153" i="3"/>
  <c r="J153" i="3"/>
  <c r="I153" i="3"/>
  <c r="F176" i="5"/>
  <c r="J152" i="3"/>
  <c r="I152" i="3"/>
  <c r="K152" i="3"/>
  <c r="L152" i="3"/>
  <c r="M152" i="3"/>
  <c r="F179" i="5"/>
  <c r="K151" i="3"/>
  <c r="J151" i="3"/>
  <c r="I151" i="3"/>
  <c r="L151" i="3"/>
  <c r="M151" i="3"/>
  <c r="F175" i="5"/>
  <c r="I150" i="3"/>
  <c r="J150" i="3"/>
  <c r="K150" i="3"/>
  <c r="L150" i="3"/>
  <c r="M150" i="3"/>
  <c r="F224" i="5"/>
  <c r="K149" i="3"/>
  <c r="J149" i="3"/>
  <c r="L149" i="3"/>
  <c r="M149" i="3"/>
  <c r="I149" i="3"/>
  <c r="F223" i="5"/>
  <c r="M148" i="3"/>
  <c r="L148" i="3"/>
  <c r="K148" i="3"/>
  <c r="J148" i="3"/>
  <c r="I148" i="3"/>
  <c r="M147" i="3"/>
  <c r="L147" i="3"/>
  <c r="I147" i="3"/>
  <c r="K147" i="3"/>
  <c r="J147" i="3"/>
  <c r="M146" i="3"/>
  <c r="L146" i="3"/>
  <c r="K146" i="3"/>
  <c r="I146" i="3"/>
  <c r="J146" i="3"/>
  <c r="I145" i="3"/>
  <c r="J145" i="3"/>
  <c r="F189" i="5"/>
  <c r="M145" i="3"/>
  <c r="L145" i="3"/>
  <c r="K145" i="3"/>
  <c r="M144" i="3"/>
  <c r="F190" i="5"/>
  <c r="L144" i="3"/>
  <c r="K144" i="3"/>
  <c r="J144" i="3"/>
  <c r="I144" i="3"/>
  <c r="F191" i="5"/>
  <c r="M143" i="3"/>
  <c r="L143" i="3"/>
  <c r="K143" i="3"/>
  <c r="J143" i="3"/>
  <c r="I143" i="3"/>
  <c r="L142" i="3"/>
  <c r="K142" i="3"/>
  <c r="J142" i="3"/>
  <c r="I142" i="3"/>
  <c r="M142" i="3"/>
  <c r="F188" i="5"/>
  <c r="M141" i="3"/>
  <c r="L141" i="3"/>
  <c r="K141" i="3"/>
  <c r="J141" i="3"/>
  <c r="I141" i="3"/>
  <c r="F87" i="5"/>
  <c r="K140" i="3"/>
  <c r="F95" i="5"/>
  <c r="I140" i="3"/>
  <c r="M140" i="3"/>
  <c r="L140" i="3"/>
  <c r="J140" i="3"/>
  <c r="M139" i="3"/>
  <c r="K139" i="3"/>
  <c r="J139" i="3"/>
  <c r="I139" i="3"/>
  <c r="L139" i="3"/>
  <c r="F91" i="5"/>
  <c r="M138" i="3"/>
  <c r="L138" i="3"/>
  <c r="K138" i="3"/>
  <c r="J138" i="3"/>
  <c r="I138" i="3"/>
  <c r="F92" i="5"/>
  <c r="I137" i="3"/>
  <c r="J137" i="3"/>
  <c r="K137" i="3"/>
  <c r="F94" i="5"/>
  <c r="M137" i="3"/>
  <c r="L137" i="3"/>
  <c r="M136" i="3"/>
  <c r="L136" i="3"/>
  <c r="K136" i="3"/>
  <c r="J136" i="3"/>
  <c r="I136" i="3"/>
  <c r="F93" i="5"/>
  <c r="F88" i="5"/>
  <c r="M135" i="3"/>
  <c r="K135" i="3"/>
  <c r="J135" i="3"/>
  <c r="I135" i="3"/>
  <c r="L135" i="3"/>
  <c r="W134" i="3"/>
  <c r="J89" i="5" s="1"/>
  <c r="N89" i="5" s="1"/>
  <c r="L133" i="3"/>
  <c r="M133" i="3"/>
  <c r="K133" i="3"/>
  <c r="J133" i="3"/>
  <c r="I133" i="3"/>
  <c r="M132" i="3"/>
  <c r="L132" i="3"/>
  <c r="K132" i="3"/>
  <c r="J132" i="3"/>
  <c r="I132" i="3"/>
  <c r="I131" i="3"/>
  <c r="J131" i="3"/>
  <c r="K131" i="3"/>
  <c r="L131" i="3"/>
  <c r="M131" i="3"/>
  <c r="L130" i="3"/>
  <c r="M130" i="3"/>
  <c r="K130" i="3"/>
  <c r="J130" i="3"/>
  <c r="I130" i="3"/>
  <c r="K129" i="3"/>
  <c r="I129" i="3"/>
  <c r="J129" i="3"/>
  <c r="M129" i="3"/>
  <c r="L129" i="3"/>
  <c r="F46" i="5"/>
  <c r="M128" i="3"/>
  <c r="L128" i="3"/>
  <c r="K128" i="3"/>
  <c r="J128" i="3"/>
  <c r="I128" i="3"/>
  <c r="J127" i="3"/>
  <c r="F42" i="5"/>
  <c r="M127" i="3"/>
  <c r="I127" i="3"/>
  <c r="L127" i="3"/>
  <c r="K127" i="3"/>
  <c r="L126" i="3"/>
  <c r="F214" i="5"/>
  <c r="K126" i="3"/>
  <c r="J126" i="3"/>
  <c r="I126" i="3"/>
  <c r="M126" i="3"/>
  <c r="J125" i="3"/>
  <c r="M125" i="3"/>
  <c r="L125" i="3"/>
  <c r="F215" i="5"/>
  <c r="K125" i="3"/>
  <c r="I125" i="3"/>
  <c r="I124" i="3"/>
  <c r="J124" i="3"/>
  <c r="K124" i="3"/>
  <c r="F213" i="5"/>
  <c r="L124" i="3"/>
  <c r="M124" i="3"/>
  <c r="I123" i="3"/>
  <c r="F216" i="5"/>
  <c r="J123" i="3"/>
  <c r="K123" i="3"/>
  <c r="L123" i="3"/>
  <c r="M123" i="3"/>
  <c r="I122" i="3"/>
  <c r="M122" i="3"/>
  <c r="L122" i="3"/>
  <c r="K122" i="3"/>
  <c r="J122" i="3"/>
  <c r="F183" i="5"/>
  <c r="I121" i="3"/>
  <c r="J121" i="3"/>
  <c r="K121" i="3"/>
  <c r="F185" i="5"/>
  <c r="L121" i="3"/>
  <c r="M121" i="3"/>
  <c r="J120" i="3"/>
  <c r="I120" i="3"/>
  <c r="K120" i="3"/>
  <c r="L120" i="3"/>
  <c r="M120" i="3"/>
  <c r="F184" i="5"/>
  <c r="M119" i="3"/>
  <c r="L119" i="3"/>
  <c r="K119" i="3"/>
  <c r="J119" i="3"/>
  <c r="I119" i="3"/>
  <c r="F182" i="5"/>
  <c r="J118" i="3"/>
  <c r="I118" i="3"/>
  <c r="K118" i="3"/>
  <c r="F187" i="5"/>
  <c r="M118" i="3"/>
  <c r="L118" i="3"/>
  <c r="L117" i="3"/>
  <c r="I117" i="3"/>
  <c r="J117" i="3"/>
  <c r="K117" i="3"/>
  <c r="F186" i="5"/>
  <c r="M117" i="3"/>
  <c r="I116" i="3"/>
  <c r="K116" i="3"/>
  <c r="L116" i="3"/>
  <c r="F151" i="5"/>
  <c r="M116" i="3"/>
  <c r="J116" i="3"/>
  <c r="M115" i="3"/>
  <c r="F152" i="5"/>
  <c r="K115" i="3"/>
  <c r="L115" i="3"/>
  <c r="J115" i="3"/>
  <c r="I115" i="3"/>
  <c r="L114" i="3"/>
  <c r="F100" i="5"/>
  <c r="I114" i="3"/>
  <c r="J114" i="3"/>
  <c r="K114" i="3"/>
  <c r="M114" i="3"/>
  <c r="M113" i="3"/>
  <c r="F97" i="5"/>
  <c r="J113" i="3"/>
  <c r="L113" i="3"/>
  <c r="I113" i="3"/>
  <c r="K113" i="3"/>
  <c r="M112" i="3"/>
  <c r="L112" i="3"/>
  <c r="K112" i="3"/>
  <c r="J112" i="3"/>
  <c r="I112" i="3"/>
  <c r="F96" i="5"/>
  <c r="K111" i="3"/>
  <c r="L111" i="3"/>
  <c r="I111" i="3"/>
  <c r="J111" i="3"/>
  <c r="M111" i="3"/>
  <c r="F99" i="5"/>
  <c r="L110" i="3"/>
  <c r="K110" i="3"/>
  <c r="J110" i="3"/>
  <c r="I110" i="3"/>
  <c r="M110" i="3"/>
  <c r="F98" i="5"/>
  <c r="M109" i="3"/>
  <c r="L109" i="3"/>
  <c r="J109" i="3"/>
  <c r="I109" i="3"/>
  <c r="F101" i="5"/>
  <c r="K109" i="3"/>
  <c r="M108" i="3"/>
  <c r="L108" i="3"/>
  <c r="K108" i="3"/>
  <c r="J108" i="3"/>
  <c r="I108" i="3"/>
  <c r="F169" i="5"/>
  <c r="J107" i="3"/>
  <c r="F167" i="5"/>
  <c r="K107" i="3"/>
  <c r="I107" i="3"/>
  <c r="M107" i="3"/>
  <c r="L107" i="3"/>
  <c r="F168" i="5"/>
  <c r="M106" i="3"/>
  <c r="L106" i="3"/>
  <c r="K106" i="3"/>
  <c r="J106" i="3"/>
  <c r="I106" i="3"/>
  <c r="I105" i="3"/>
  <c r="F164" i="5"/>
  <c r="M105" i="3"/>
  <c r="L105" i="3"/>
  <c r="K105" i="3"/>
  <c r="J105" i="3"/>
  <c r="M104" i="3"/>
  <c r="K104" i="3"/>
  <c r="J104" i="3"/>
  <c r="I104" i="3"/>
  <c r="F166" i="5"/>
  <c r="L104" i="3"/>
  <c r="M103" i="3"/>
  <c r="L103" i="3"/>
  <c r="K103" i="3"/>
  <c r="J103" i="3"/>
  <c r="F165" i="5"/>
  <c r="I103" i="3"/>
  <c r="M102" i="3"/>
  <c r="F201" i="5"/>
  <c r="K102" i="3"/>
  <c r="I102" i="3"/>
  <c r="J102" i="3"/>
  <c r="L102" i="3"/>
  <c r="K101" i="3"/>
  <c r="I101" i="3"/>
  <c r="J101" i="3"/>
  <c r="L101" i="3"/>
  <c r="F199" i="5"/>
  <c r="M101" i="3"/>
  <c r="M100" i="3"/>
  <c r="L100" i="3"/>
  <c r="K100" i="3"/>
  <c r="J100" i="3"/>
  <c r="I100" i="3"/>
  <c r="F200" i="5"/>
  <c r="M99" i="3"/>
  <c r="L99" i="3"/>
  <c r="K99" i="3"/>
  <c r="J99" i="3"/>
  <c r="F194" i="5"/>
  <c r="I99" i="3"/>
  <c r="L98" i="3"/>
  <c r="K98" i="3"/>
  <c r="J98" i="3"/>
  <c r="I98" i="3"/>
  <c r="F192" i="5"/>
  <c r="M98" i="3"/>
  <c r="M97" i="3"/>
  <c r="L97" i="3"/>
  <c r="K97" i="3"/>
  <c r="J97" i="3"/>
  <c r="I97" i="3"/>
  <c r="F198" i="5"/>
  <c r="M96" i="3"/>
  <c r="L96" i="3"/>
  <c r="K96" i="3"/>
  <c r="J96" i="3"/>
  <c r="I96" i="3"/>
  <c r="F196" i="5"/>
  <c r="F195" i="5"/>
  <c r="M95" i="3"/>
  <c r="I95" i="3"/>
  <c r="J95" i="3"/>
  <c r="K95" i="3"/>
  <c r="L95" i="3"/>
  <c r="I94" i="3"/>
  <c r="J94" i="3"/>
  <c r="K94" i="3"/>
  <c r="L94" i="3"/>
  <c r="M94" i="3"/>
  <c r="F193" i="5"/>
  <c r="F197" i="5"/>
  <c r="J93" i="3"/>
  <c r="I93" i="3"/>
  <c r="M93" i="3"/>
  <c r="L93" i="3"/>
  <c r="K93" i="3"/>
  <c r="I92" i="3"/>
  <c r="J92" i="3"/>
  <c r="K92" i="3"/>
  <c r="L92" i="3"/>
  <c r="M92" i="3"/>
  <c r="F58" i="5"/>
  <c r="M91" i="3"/>
  <c r="L91" i="3"/>
  <c r="K91" i="3"/>
  <c r="J91" i="3"/>
  <c r="I91" i="3"/>
  <c r="F55" i="5"/>
  <c r="F60" i="5"/>
  <c r="M90" i="3"/>
  <c r="L90" i="3"/>
  <c r="K90" i="3"/>
  <c r="J90" i="3"/>
  <c r="I90" i="3"/>
  <c r="F57" i="5"/>
  <c r="I89" i="3"/>
  <c r="K89" i="3"/>
  <c r="M89" i="3"/>
  <c r="L89" i="3"/>
  <c r="J89" i="3"/>
  <c r="B21" i="4"/>
  <c r="B38" i="4"/>
  <c r="B39" i="4"/>
  <c r="B41" i="4"/>
  <c r="B22" i="4"/>
  <c r="B20" i="4"/>
  <c r="C59" i="5"/>
  <c r="B37" i="4"/>
  <c r="B40" i="4"/>
  <c r="B42" i="4"/>
  <c r="M88" i="3"/>
  <c r="L88" i="3"/>
  <c r="K88" i="3"/>
  <c r="J88" i="3"/>
  <c r="I88" i="3"/>
  <c r="J87" i="3"/>
  <c r="I87" i="3"/>
  <c r="K87" i="3"/>
  <c r="M87" i="3"/>
  <c r="L87" i="3"/>
  <c r="K86" i="3"/>
  <c r="J86" i="3"/>
  <c r="F141" i="5"/>
  <c r="M86" i="3"/>
  <c r="L86" i="3"/>
  <c r="I86" i="3"/>
  <c r="F140" i="5"/>
  <c r="J85" i="3"/>
  <c r="I85" i="3"/>
  <c r="K85" i="3"/>
  <c r="L85" i="3"/>
  <c r="M85" i="3"/>
  <c r="M84" i="3"/>
  <c r="L84" i="3"/>
  <c r="K84" i="3"/>
  <c r="J84" i="3"/>
  <c r="I84" i="3"/>
  <c r="F139" i="5"/>
  <c r="I83" i="3"/>
  <c r="F138" i="5"/>
  <c r="J83" i="3"/>
  <c r="K83" i="3"/>
  <c r="L83" i="3"/>
  <c r="M83" i="3"/>
  <c r="J82" i="3"/>
  <c r="K82" i="3"/>
  <c r="L82" i="3"/>
  <c r="M82" i="3"/>
  <c r="I82" i="3"/>
  <c r="I81" i="3"/>
  <c r="K81" i="3"/>
  <c r="J81" i="3"/>
  <c r="L81" i="3"/>
  <c r="M81" i="3"/>
  <c r="I80" i="3"/>
  <c r="J80" i="3"/>
  <c r="K80" i="3"/>
  <c r="L80" i="3"/>
  <c r="M80" i="3"/>
  <c r="J79" i="3"/>
  <c r="I79" i="3"/>
  <c r="M79" i="3"/>
  <c r="L79" i="3"/>
  <c r="K79" i="3"/>
  <c r="L78" i="3"/>
  <c r="M78" i="3"/>
  <c r="I78" i="3"/>
  <c r="J78" i="3"/>
  <c r="K78" i="3"/>
  <c r="I77" i="3"/>
  <c r="J77" i="3"/>
  <c r="K77" i="3"/>
  <c r="L77" i="3"/>
  <c r="M77" i="3"/>
  <c r="L76" i="3"/>
  <c r="M76" i="3"/>
  <c r="I76" i="3"/>
  <c r="K76" i="3"/>
  <c r="J76" i="3"/>
  <c r="I75" i="3"/>
  <c r="J75" i="3"/>
  <c r="K75" i="3"/>
  <c r="L75" i="3"/>
  <c r="M75" i="3"/>
  <c r="I74" i="3"/>
  <c r="J74" i="3"/>
  <c r="K74" i="3"/>
  <c r="L74" i="3"/>
  <c r="M74" i="3"/>
  <c r="F41" i="5"/>
  <c r="L73" i="3"/>
  <c r="K73" i="3"/>
  <c r="M73" i="3"/>
  <c r="I73" i="3"/>
  <c r="J73" i="3"/>
  <c r="J72" i="3"/>
  <c r="I72" i="3"/>
  <c r="K72" i="3"/>
  <c r="L72" i="3"/>
  <c r="M72" i="3"/>
  <c r="I71" i="3"/>
  <c r="K71" i="3"/>
  <c r="L71" i="3"/>
  <c r="M71" i="3"/>
  <c r="J71" i="3"/>
  <c r="I70" i="3"/>
  <c r="J70" i="3"/>
  <c r="K70" i="3"/>
  <c r="L70" i="3"/>
  <c r="M70" i="3"/>
  <c r="K69" i="3"/>
  <c r="J69" i="3"/>
  <c r="I69" i="3"/>
  <c r="L69" i="3"/>
  <c r="M69" i="3"/>
  <c r="M68" i="3"/>
  <c r="L68" i="3"/>
  <c r="K68" i="3"/>
  <c r="J68" i="3"/>
  <c r="F107" i="5"/>
  <c r="I68" i="3"/>
  <c r="I67" i="3"/>
  <c r="F104" i="5"/>
  <c r="M67" i="3"/>
  <c r="L67" i="3"/>
  <c r="K67" i="3"/>
  <c r="J67" i="3"/>
  <c r="F110" i="5"/>
  <c r="J66" i="3"/>
  <c r="K66" i="3"/>
  <c r="L66" i="3"/>
  <c r="M66" i="3"/>
  <c r="I66" i="3"/>
  <c r="M65" i="3"/>
  <c r="L65" i="3"/>
  <c r="F103" i="5"/>
  <c r="I65" i="3"/>
  <c r="J65" i="3"/>
  <c r="K65" i="3"/>
  <c r="I64" i="3"/>
  <c r="F102" i="5"/>
  <c r="J64" i="3"/>
  <c r="K64" i="3"/>
  <c r="L64" i="3"/>
  <c r="M64" i="3"/>
  <c r="I63" i="3"/>
  <c r="J63" i="3"/>
  <c r="K63" i="3"/>
  <c r="L63" i="3"/>
  <c r="M63" i="3"/>
  <c r="F111" i="5"/>
  <c r="I62" i="3"/>
  <c r="J62" i="3"/>
  <c r="K62" i="3"/>
  <c r="L62" i="3"/>
  <c r="M62" i="3"/>
  <c r="F108" i="5"/>
  <c r="L61" i="3"/>
  <c r="K61" i="3"/>
  <c r="F109" i="5"/>
  <c r="I61" i="3"/>
  <c r="M61" i="3"/>
  <c r="J61" i="3"/>
  <c r="M60" i="3"/>
  <c r="L60" i="3"/>
  <c r="K60" i="3"/>
  <c r="J60" i="3"/>
  <c r="I60" i="3"/>
  <c r="F137" i="5"/>
  <c r="M59" i="3"/>
  <c r="L59" i="3"/>
  <c r="K59" i="3"/>
  <c r="J59" i="3"/>
  <c r="I59" i="3"/>
  <c r="F131" i="5"/>
  <c r="K58" i="3"/>
  <c r="F132" i="5"/>
  <c r="L58" i="3"/>
  <c r="I58" i="3"/>
  <c r="J58" i="3"/>
  <c r="M58" i="3"/>
  <c r="M57" i="3"/>
  <c r="F134" i="5"/>
  <c r="I57" i="3"/>
  <c r="J57" i="3"/>
  <c r="K57" i="3"/>
  <c r="L57" i="3"/>
  <c r="J56" i="3"/>
  <c r="K56" i="3"/>
  <c r="L56" i="3"/>
  <c r="I56" i="3"/>
  <c r="F135" i="5"/>
  <c r="M56" i="3"/>
  <c r="K55" i="3"/>
  <c r="M55" i="3"/>
  <c r="J55" i="3"/>
  <c r="F136" i="5"/>
  <c r="L55" i="3"/>
  <c r="I55" i="3"/>
  <c r="K54" i="3"/>
  <c r="J54" i="3"/>
  <c r="L54" i="3"/>
  <c r="M54" i="3"/>
  <c r="F133" i="5"/>
  <c r="I54" i="3"/>
  <c r="M53" i="3"/>
  <c r="L53" i="3"/>
  <c r="K53" i="3"/>
  <c r="J53" i="3"/>
  <c r="I53" i="3"/>
  <c r="M52" i="3"/>
  <c r="L52" i="3"/>
  <c r="K52" i="3"/>
  <c r="J52" i="3"/>
  <c r="I52" i="3"/>
  <c r="F61" i="5"/>
  <c r="M51" i="3"/>
  <c r="I51" i="3"/>
  <c r="J51" i="3"/>
  <c r="K51" i="3"/>
  <c r="L51" i="3"/>
  <c r="F65" i="5"/>
  <c r="I50" i="3"/>
  <c r="J50" i="3"/>
  <c r="K50" i="3"/>
  <c r="L50" i="3"/>
  <c r="M50" i="3"/>
  <c r="F63" i="5"/>
  <c r="J49" i="3"/>
  <c r="K49" i="3"/>
  <c r="L49" i="3"/>
  <c r="M49" i="3"/>
  <c r="I49" i="3"/>
  <c r="J48" i="3"/>
  <c r="I48" i="3"/>
  <c r="F156" i="5"/>
  <c r="M48" i="3"/>
  <c r="L48" i="3"/>
  <c r="K48" i="3"/>
  <c r="I47" i="3"/>
  <c r="M47" i="3"/>
  <c r="L47" i="3"/>
  <c r="K47" i="3"/>
  <c r="J47" i="3"/>
  <c r="F155" i="5"/>
  <c r="F158" i="5"/>
  <c r="I46" i="3"/>
  <c r="J46" i="3"/>
  <c r="K46" i="3"/>
  <c r="L46" i="3"/>
  <c r="M46" i="3"/>
  <c r="J45" i="3"/>
  <c r="M45" i="3"/>
  <c r="K45" i="3"/>
  <c r="F157" i="5"/>
  <c r="L45" i="3"/>
  <c r="I45" i="3"/>
  <c r="F160" i="5"/>
  <c r="J44" i="3"/>
  <c r="K44" i="3"/>
  <c r="L44" i="3"/>
  <c r="M44" i="3"/>
  <c r="I44" i="3"/>
  <c r="B24" i="4"/>
  <c r="B25" i="4"/>
  <c r="C163" i="5"/>
  <c r="B23" i="4"/>
  <c r="M43" i="3"/>
  <c r="L43" i="3"/>
  <c r="K43" i="3"/>
  <c r="J43" i="3"/>
  <c r="I43" i="3"/>
  <c r="J42" i="3"/>
  <c r="M42" i="3"/>
  <c r="L42" i="3"/>
  <c r="K42" i="3"/>
  <c r="I42" i="3"/>
  <c r="J41" i="3"/>
  <c r="I41" i="3"/>
  <c r="M41" i="3"/>
  <c r="L41" i="3"/>
  <c r="K41" i="3"/>
  <c r="I40" i="3"/>
  <c r="L40" i="3"/>
  <c r="K40" i="3"/>
  <c r="J40" i="3"/>
  <c r="M40" i="3"/>
  <c r="M39" i="3"/>
  <c r="L39" i="3"/>
  <c r="K39" i="3"/>
  <c r="J39" i="3"/>
  <c r="I39" i="3"/>
  <c r="M38" i="3"/>
  <c r="L38" i="3"/>
  <c r="K38" i="3"/>
  <c r="J38" i="3"/>
  <c r="I38" i="3"/>
  <c r="I37" i="3"/>
  <c r="J37" i="3"/>
  <c r="K37" i="3"/>
  <c r="L37" i="3"/>
  <c r="M37" i="3"/>
  <c r="J36" i="3"/>
  <c r="K36" i="3"/>
  <c r="L36" i="3"/>
  <c r="M36" i="3"/>
  <c r="I36" i="3"/>
  <c r="M35" i="3"/>
  <c r="L35" i="3"/>
  <c r="K35" i="3"/>
  <c r="J35" i="3"/>
  <c r="I35" i="3"/>
  <c r="M34" i="3"/>
  <c r="K34" i="3"/>
  <c r="J34" i="3"/>
  <c r="I34" i="3"/>
  <c r="L34" i="3"/>
  <c r="I33" i="3"/>
  <c r="M33" i="3"/>
  <c r="L33" i="3"/>
  <c r="K33" i="3"/>
  <c r="J33" i="3"/>
  <c r="M32" i="3"/>
  <c r="I32" i="3"/>
  <c r="J32" i="3"/>
  <c r="K32" i="3"/>
  <c r="L32" i="3"/>
  <c r="M31" i="3"/>
  <c r="I31" i="3"/>
  <c r="J31" i="3"/>
  <c r="K31" i="3"/>
  <c r="L31" i="3"/>
  <c r="L30" i="3"/>
  <c r="K30" i="3"/>
  <c r="J30" i="3"/>
  <c r="M30" i="3"/>
  <c r="I30" i="3"/>
  <c r="M29" i="3"/>
  <c r="L29" i="3"/>
  <c r="I29" i="3"/>
  <c r="J29" i="3"/>
  <c r="K29" i="3"/>
  <c r="I28" i="3"/>
  <c r="J28" i="3"/>
  <c r="K28" i="3"/>
  <c r="L28" i="3"/>
  <c r="M28" i="3"/>
  <c r="M27" i="3"/>
  <c r="L27" i="3"/>
  <c r="J27" i="3"/>
  <c r="I27" i="3"/>
  <c r="K27" i="3"/>
  <c r="M26" i="3"/>
  <c r="L26" i="3"/>
  <c r="K26" i="3"/>
  <c r="J26" i="3"/>
  <c r="I26" i="3"/>
  <c r="K25" i="3"/>
  <c r="M25" i="3"/>
  <c r="L25" i="3"/>
  <c r="J25" i="3"/>
  <c r="I25" i="3"/>
  <c r="K24" i="3"/>
  <c r="M24" i="3"/>
  <c r="L24" i="3"/>
  <c r="J24" i="3"/>
  <c r="I24" i="3"/>
  <c r="M23" i="3"/>
  <c r="I23" i="3"/>
  <c r="J23" i="3"/>
  <c r="K23" i="3"/>
  <c r="L23" i="3"/>
  <c r="I22" i="3"/>
  <c r="J22" i="3"/>
  <c r="K22" i="3"/>
  <c r="L22" i="3"/>
  <c r="M22" i="3"/>
  <c r="M21" i="3"/>
  <c r="L21" i="3"/>
  <c r="K21" i="3"/>
  <c r="J21" i="3"/>
  <c r="I21" i="3"/>
  <c r="M20" i="3"/>
  <c r="L20" i="3"/>
  <c r="K20" i="3"/>
  <c r="J20" i="3"/>
  <c r="I20" i="3"/>
  <c r="M19" i="3"/>
  <c r="L19" i="3"/>
  <c r="I19" i="3"/>
  <c r="J19" i="3"/>
  <c r="K19" i="3"/>
  <c r="K18" i="3"/>
  <c r="L18" i="3"/>
  <c r="M18" i="3"/>
  <c r="I18" i="3"/>
  <c r="J18" i="3"/>
  <c r="I17" i="3"/>
  <c r="J17" i="3"/>
  <c r="K17" i="3"/>
  <c r="L17" i="3"/>
  <c r="M17" i="3"/>
  <c r="M16" i="3"/>
  <c r="L16" i="3"/>
  <c r="K16" i="3"/>
  <c r="J16" i="3"/>
  <c r="I16" i="3"/>
  <c r="M15" i="3"/>
  <c r="L15" i="3"/>
  <c r="J15" i="3"/>
  <c r="I15" i="3"/>
  <c r="K15" i="3"/>
  <c r="M14" i="3"/>
  <c r="I14" i="3"/>
  <c r="J14" i="3"/>
  <c r="K14" i="3"/>
  <c r="L14" i="3"/>
  <c r="K13" i="3"/>
  <c r="F37" i="5"/>
  <c r="I13" i="3"/>
  <c r="J13" i="3"/>
  <c r="L13" i="3"/>
  <c r="M13" i="3"/>
  <c r="F35" i="5"/>
  <c r="I12" i="3"/>
  <c r="J12" i="3"/>
  <c r="K12" i="3"/>
  <c r="L12" i="3"/>
  <c r="M12" i="3"/>
  <c r="F31" i="5"/>
  <c r="M11" i="3"/>
  <c r="I11" i="3"/>
  <c r="J11" i="3"/>
  <c r="K11" i="3"/>
  <c r="L11" i="3"/>
  <c r="K10" i="3"/>
  <c r="J10" i="3"/>
  <c r="I10" i="3"/>
  <c r="L10" i="3"/>
  <c r="M10" i="3"/>
  <c r="F34" i="5"/>
  <c r="M9" i="3"/>
  <c r="L9" i="3"/>
  <c r="K9" i="3"/>
  <c r="J9" i="3"/>
  <c r="F39" i="5"/>
  <c r="I9" i="3"/>
  <c r="I8" i="3"/>
  <c r="J8" i="3"/>
  <c r="M8" i="3"/>
  <c r="F38" i="5"/>
  <c r="K8" i="3"/>
  <c r="L8" i="3"/>
  <c r="F36" i="5"/>
  <c r="M7" i="3"/>
  <c r="L7" i="3"/>
  <c r="I7" i="3"/>
  <c r="J7" i="3"/>
  <c r="K7" i="3"/>
  <c r="I6" i="3"/>
  <c r="F154" i="5"/>
  <c r="J6" i="3"/>
  <c r="K6" i="3"/>
  <c r="L6" i="3"/>
  <c r="M6" i="3"/>
  <c r="B29" i="4"/>
  <c r="B26" i="4"/>
  <c r="B35" i="4"/>
  <c r="C153" i="5"/>
  <c r="B28" i="4"/>
  <c r="B30" i="4"/>
  <c r="B33" i="4"/>
  <c r="B32" i="4"/>
  <c r="B31" i="4"/>
  <c r="B27" i="4"/>
  <c r="B34" i="4"/>
  <c r="M5" i="3"/>
  <c r="L5" i="3"/>
  <c r="K5" i="3"/>
  <c r="J5" i="3"/>
  <c r="I5" i="3"/>
  <c r="F153" i="5"/>
  <c r="L7" i="2"/>
  <c r="F15" i="1" s="1"/>
  <c r="J7" i="2"/>
  <c r="D15" i="1" s="1"/>
  <c r="I7" i="2"/>
  <c r="C15" i="1" s="1"/>
  <c r="H7" i="2"/>
  <c r="B15" i="1" s="1"/>
  <c r="K7" i="2"/>
  <c r="E15" i="1" s="1"/>
  <c r="I6" i="2"/>
  <c r="C14" i="1" s="1"/>
  <c r="L6" i="2"/>
  <c r="F14" i="1" s="1"/>
  <c r="K6" i="2"/>
  <c r="E14" i="1" s="1"/>
  <c r="H6" i="2"/>
  <c r="B14" i="1" s="1"/>
  <c r="J6" i="2"/>
  <c r="D14" i="1" s="1"/>
  <c r="L5" i="2"/>
  <c r="K5" i="2"/>
  <c r="J5" i="2"/>
  <c r="I5" i="2"/>
  <c r="H5" i="2"/>
  <c r="W238" i="3" l="1"/>
  <c r="J210" i="5" s="1"/>
  <c r="N210" i="5" s="1"/>
  <c r="W237" i="3"/>
  <c r="J212" i="5" s="1"/>
  <c r="N212" i="5" s="1"/>
  <c r="W236" i="3"/>
  <c r="J207" i="5" s="1"/>
  <c r="N207" i="5" s="1"/>
  <c r="W235" i="3"/>
  <c r="J209" i="5" s="1"/>
  <c r="N209" i="5" s="1"/>
  <c r="W234" i="3"/>
  <c r="J208" i="5" s="1"/>
  <c r="N208" i="5" s="1"/>
  <c r="W233" i="3"/>
  <c r="J206" i="5" s="1"/>
  <c r="N206" i="5" s="1"/>
  <c r="W232" i="3"/>
  <c r="J211" i="5" s="1"/>
  <c r="N211" i="5" s="1"/>
  <c r="W231" i="3"/>
  <c r="J78" i="5" s="1"/>
  <c r="N78" i="5" s="1"/>
  <c r="W230" i="3"/>
  <c r="J79" i="5" s="1"/>
  <c r="N79" i="5" s="1"/>
  <c r="W229" i="3"/>
  <c r="J77" i="5" s="1"/>
  <c r="N77" i="5" s="1"/>
  <c r="W228" i="3"/>
  <c r="J80" i="5" s="1"/>
  <c r="N80" i="5" s="1"/>
  <c r="W227" i="3"/>
  <c r="J76" i="5" s="1"/>
  <c r="N76" i="5" s="1"/>
  <c r="W226" i="3"/>
  <c r="J75" i="5" s="1"/>
  <c r="N75" i="5" s="1"/>
  <c r="W225" i="3"/>
  <c r="J74" i="5" s="1"/>
  <c r="N74" i="5" s="1"/>
  <c r="B43" i="4"/>
  <c r="W224" i="3"/>
  <c r="J47" i="5" s="1"/>
  <c r="N47" i="5" s="1"/>
  <c r="W223" i="3"/>
  <c r="J49" i="5" s="1"/>
  <c r="N49" i="5" s="1"/>
  <c r="W222" i="3"/>
  <c r="J44" i="5" s="1"/>
  <c r="N44" i="5" s="1"/>
  <c r="W221" i="3"/>
  <c r="J50" i="5" s="1"/>
  <c r="N50" i="5" s="1"/>
  <c r="W220" i="3"/>
  <c r="J48" i="5" s="1"/>
  <c r="N48" i="5" s="1"/>
  <c r="W219" i="3"/>
  <c r="J172" i="5" s="1"/>
  <c r="N172" i="5" s="1"/>
  <c r="W218" i="3"/>
  <c r="J170" i="5" s="1"/>
  <c r="N170" i="5" s="1"/>
  <c r="W217" i="3"/>
  <c r="J173" i="5" s="1"/>
  <c r="N173" i="5" s="1"/>
  <c r="W216" i="3"/>
  <c r="J171" i="5" s="1"/>
  <c r="N171" i="5" s="1"/>
  <c r="W215" i="3"/>
  <c r="J73" i="5" s="1"/>
  <c r="N73" i="5" s="1"/>
  <c r="N214" i="3"/>
  <c r="W214" i="3"/>
  <c r="J67" i="5" s="1"/>
  <c r="N67" i="5" s="1"/>
  <c r="N213" i="3"/>
  <c r="W213" i="3"/>
  <c r="J70" i="5" s="1"/>
  <c r="N70" i="5" s="1"/>
  <c r="N212" i="3"/>
  <c r="W212" i="3"/>
  <c r="J68" i="5" s="1"/>
  <c r="N68" i="5" s="1"/>
  <c r="N211" i="3"/>
  <c r="W211" i="3"/>
  <c r="J69" i="5" s="1"/>
  <c r="N69" i="5" s="1"/>
  <c r="N210" i="3"/>
  <c r="W210" i="3"/>
  <c r="J72" i="5" s="1"/>
  <c r="N72" i="5" s="1"/>
  <c r="W209" i="3"/>
  <c r="J66" i="5" s="1"/>
  <c r="N66" i="5" s="1"/>
  <c r="W208" i="3"/>
  <c r="J71" i="5" s="1"/>
  <c r="N71" i="5" s="1"/>
  <c r="W207" i="3"/>
  <c r="J129" i="5" s="1"/>
  <c r="N129" i="5" s="1"/>
  <c r="W206" i="3"/>
  <c r="J118" i="5" s="1"/>
  <c r="N118" i="5" s="1"/>
  <c r="W205" i="3"/>
  <c r="J117" i="5" s="1"/>
  <c r="N117" i="5" s="1"/>
  <c r="W204" i="3"/>
  <c r="J119" i="5" s="1"/>
  <c r="N119" i="5" s="1"/>
  <c r="W203" i="3"/>
  <c r="J130" i="5" s="1"/>
  <c r="N130" i="5" s="1"/>
  <c r="W202" i="3"/>
  <c r="J106" i="5" s="1"/>
  <c r="N106" i="5" s="1"/>
  <c r="W201" i="3"/>
  <c r="J105" i="5" s="1"/>
  <c r="N105" i="5" s="1"/>
  <c r="W200" i="3"/>
  <c r="J116" i="5" s="1"/>
  <c r="N116" i="5" s="1"/>
  <c r="W199" i="3"/>
  <c r="J51" i="5" s="1"/>
  <c r="N51" i="5" s="1"/>
  <c r="W198" i="3"/>
  <c r="J54" i="5" s="1"/>
  <c r="N54" i="5" s="1"/>
  <c r="W197" i="3"/>
  <c r="J53" i="5" s="1"/>
  <c r="N53" i="5" s="1"/>
  <c r="W196" i="3"/>
  <c r="J52" i="5" s="1"/>
  <c r="N52" i="5" s="1"/>
  <c r="N195" i="3"/>
  <c r="W195" i="3"/>
  <c r="J228" i="5" s="1"/>
  <c r="N228" i="5" s="1"/>
  <c r="N194" i="3"/>
  <c r="W194" i="3"/>
  <c r="J232" i="5" s="1"/>
  <c r="N232" i="5" s="1"/>
  <c r="N193" i="3"/>
  <c r="W193" i="3"/>
  <c r="J230" i="5" s="1"/>
  <c r="N230" i="5" s="1"/>
  <c r="N192" i="3"/>
  <c r="W192" i="3"/>
  <c r="J231" i="5" s="1"/>
  <c r="N231" i="5" s="1"/>
  <c r="N191" i="3"/>
  <c r="W191" i="3"/>
  <c r="J229" i="5" s="1"/>
  <c r="N229" i="5" s="1"/>
  <c r="N190" i="3"/>
  <c r="W190" i="3"/>
  <c r="J144" i="5" s="1"/>
  <c r="N144" i="5" s="1"/>
  <c r="N189" i="3"/>
  <c r="W189" i="3"/>
  <c r="J145" i="5" s="1"/>
  <c r="N145" i="5" s="1"/>
  <c r="N188" i="3"/>
  <c r="W188" i="3"/>
  <c r="J150" i="5" s="1"/>
  <c r="N150" i="5" s="1"/>
  <c r="N187" i="3"/>
  <c r="W187" i="3"/>
  <c r="J146" i="5" s="1"/>
  <c r="N146" i="5" s="1"/>
  <c r="N186" i="3"/>
  <c r="W186" i="3"/>
  <c r="J143" i="5" s="1"/>
  <c r="N143" i="5" s="1"/>
  <c r="N185" i="3"/>
  <c r="W185" i="3"/>
  <c r="J149" i="5" s="1"/>
  <c r="N149" i="5" s="1"/>
  <c r="N184" i="3"/>
  <c r="W184" i="3"/>
  <c r="J142" i="5" s="1"/>
  <c r="N142" i="5" s="1"/>
  <c r="N183" i="3"/>
  <c r="W183" i="3"/>
  <c r="J148" i="5" s="1"/>
  <c r="N148" i="5" s="1"/>
  <c r="N182" i="3"/>
  <c r="W182" i="3"/>
  <c r="J147" i="5" s="1"/>
  <c r="N147" i="5" s="1"/>
  <c r="N181" i="3"/>
  <c r="W181" i="3"/>
  <c r="J217" i="5" s="1"/>
  <c r="N217" i="5" s="1"/>
  <c r="N180" i="3"/>
  <c r="W180" i="3"/>
  <c r="J219" i="5" s="1"/>
  <c r="N219" i="5" s="1"/>
  <c r="N179" i="3"/>
  <c r="W179" i="3"/>
  <c r="J218" i="5" s="1"/>
  <c r="N218" i="5" s="1"/>
  <c r="W178" i="3"/>
  <c r="J220" i="5" s="1"/>
  <c r="N220" i="5" s="1"/>
  <c r="W177" i="3"/>
  <c r="J221" i="5" s="1"/>
  <c r="N221" i="5" s="1"/>
  <c r="W176" i="3"/>
  <c r="J222" i="5" s="1"/>
  <c r="N222" i="5" s="1"/>
  <c r="W175" i="3"/>
  <c r="J7" i="5" s="1"/>
  <c r="N7" i="5" s="1"/>
  <c r="W174" i="3"/>
  <c r="J14" i="5" s="1"/>
  <c r="N14" i="5" s="1"/>
  <c r="W173" i="3"/>
  <c r="J8" i="5" s="1"/>
  <c r="N8" i="5" s="1"/>
  <c r="W172" i="3"/>
  <c r="J9" i="5" s="1"/>
  <c r="N9" i="5" s="1"/>
  <c r="W171" i="3"/>
  <c r="J6" i="5" s="1"/>
  <c r="N6" i="5" s="1"/>
  <c r="W170" i="3"/>
  <c r="J11" i="5" s="1"/>
  <c r="N11" i="5" s="1"/>
  <c r="W169" i="3"/>
  <c r="J13" i="5" s="1"/>
  <c r="N13" i="5" s="1"/>
  <c r="W168" i="3"/>
  <c r="J5" i="5" s="1"/>
  <c r="N5" i="5" s="1"/>
  <c r="W167" i="3"/>
  <c r="J10" i="5" s="1"/>
  <c r="N10" i="5" s="1"/>
  <c r="W166" i="3"/>
  <c r="J12" i="5" s="1"/>
  <c r="N12" i="5" s="1"/>
  <c r="W165" i="3"/>
  <c r="J203" i="5" s="1"/>
  <c r="N203" i="5" s="1"/>
  <c r="W164" i="3"/>
  <c r="J205" i="5" s="1"/>
  <c r="N205" i="5" s="1"/>
  <c r="W163" i="3"/>
  <c r="J204" i="5" s="1"/>
  <c r="N204" i="5" s="1"/>
  <c r="W162" i="3"/>
  <c r="J202" i="5" s="1"/>
  <c r="N202" i="5" s="1"/>
  <c r="W161" i="3"/>
  <c r="J112" i="5" s="1"/>
  <c r="N112" i="5" s="1"/>
  <c r="W160" i="3"/>
  <c r="J113" i="5" s="1"/>
  <c r="N113" i="5" s="1"/>
  <c r="W159" i="3"/>
  <c r="J114" i="5" s="1"/>
  <c r="N114" i="5" s="1"/>
  <c r="W158" i="3"/>
  <c r="J174" i="5" s="1"/>
  <c r="N174" i="5" s="1"/>
  <c r="W157" i="3"/>
  <c r="J177" i="5" s="1"/>
  <c r="N177" i="5" s="1"/>
  <c r="W156" i="3"/>
  <c r="J178" i="5" s="1"/>
  <c r="N178" i="5" s="1"/>
  <c r="W155" i="3"/>
  <c r="J181" i="5" s="1"/>
  <c r="N181" i="5" s="1"/>
  <c r="W154" i="3"/>
  <c r="J180" i="5" s="1"/>
  <c r="N180" i="5" s="1"/>
  <c r="W153" i="3"/>
  <c r="J176" i="5" s="1"/>
  <c r="N176" i="5" s="1"/>
  <c r="W152" i="3"/>
  <c r="J179" i="5" s="1"/>
  <c r="N179" i="5" s="1"/>
  <c r="W151" i="3"/>
  <c r="J175" i="5" s="1"/>
  <c r="N175" i="5" s="1"/>
  <c r="W150" i="3"/>
  <c r="J224" i="5" s="1"/>
  <c r="N224" i="5" s="1"/>
  <c r="W149" i="3"/>
  <c r="J226" i="5" s="1"/>
  <c r="N226" i="5" s="1"/>
  <c r="W148" i="3"/>
  <c r="J223" i="5" s="1"/>
  <c r="N223" i="5" s="1"/>
  <c r="W147" i="3"/>
  <c r="J225" i="5" s="1"/>
  <c r="N225" i="5" s="1"/>
  <c r="W146" i="3"/>
  <c r="J227" i="5" s="1"/>
  <c r="N227" i="5" s="1"/>
  <c r="W145" i="3"/>
  <c r="J189" i="5" s="1"/>
  <c r="N189" i="5" s="1"/>
  <c r="W144" i="3"/>
  <c r="J190" i="5" s="1"/>
  <c r="N190" i="5" s="1"/>
  <c r="W143" i="3"/>
  <c r="J191" i="5" s="1"/>
  <c r="N191" i="5" s="1"/>
  <c r="W142" i="3"/>
  <c r="J188" i="5" s="1"/>
  <c r="N188" i="5" s="1"/>
  <c r="W141" i="3"/>
  <c r="J87" i="5" s="1"/>
  <c r="N87" i="5" s="1"/>
  <c r="W140" i="3"/>
  <c r="J95" i="5" s="1"/>
  <c r="N95" i="5" s="1"/>
  <c r="W139" i="3"/>
  <c r="J91" i="5" s="1"/>
  <c r="N91" i="5" s="1"/>
  <c r="W138" i="3"/>
  <c r="J92" i="5" s="1"/>
  <c r="N92" i="5" s="1"/>
  <c r="W137" i="3"/>
  <c r="J94" i="5" s="1"/>
  <c r="N94" i="5" s="1"/>
  <c r="W136" i="3"/>
  <c r="J93" i="5" s="1"/>
  <c r="N93" i="5" s="1"/>
  <c r="W135" i="3"/>
  <c r="J88" i="5" s="1"/>
  <c r="N88" i="5" s="1"/>
  <c r="W133" i="3"/>
  <c r="J85" i="5" s="1"/>
  <c r="N85" i="5" s="1"/>
  <c r="W132" i="3"/>
  <c r="J90" i="5" s="1"/>
  <c r="N90" i="5" s="1"/>
  <c r="W131" i="3"/>
  <c r="J86" i="5" s="1"/>
  <c r="N86" i="5" s="1"/>
  <c r="W130" i="3"/>
  <c r="J43" i="5" s="1"/>
  <c r="N43" i="5" s="1"/>
  <c r="W129" i="3"/>
  <c r="J45" i="5" s="1"/>
  <c r="N45" i="5" s="1"/>
  <c r="W128" i="3"/>
  <c r="J46" i="5" s="1"/>
  <c r="N46" i="5" s="1"/>
  <c r="W127" i="3"/>
  <c r="J42" i="5" s="1"/>
  <c r="N42" i="5" s="1"/>
  <c r="W126" i="3"/>
  <c r="J214" i="5" s="1"/>
  <c r="N214" i="5" s="1"/>
  <c r="W125" i="3"/>
  <c r="J215" i="5" s="1"/>
  <c r="N215" i="5" s="1"/>
  <c r="W124" i="3"/>
  <c r="J213" i="5" s="1"/>
  <c r="N213" i="5" s="1"/>
  <c r="W123" i="3"/>
  <c r="J216" i="5" s="1"/>
  <c r="N216" i="5" s="1"/>
  <c r="W122" i="3"/>
  <c r="J183" i="5" s="1"/>
  <c r="N183" i="5" s="1"/>
  <c r="W121" i="3"/>
  <c r="J185" i="5" s="1"/>
  <c r="N185" i="5" s="1"/>
  <c r="W120" i="3"/>
  <c r="J184" i="5" s="1"/>
  <c r="N184" i="5" s="1"/>
  <c r="W119" i="3"/>
  <c r="J182" i="5" s="1"/>
  <c r="N182" i="5" s="1"/>
  <c r="W118" i="3"/>
  <c r="J187" i="5" s="1"/>
  <c r="N187" i="5" s="1"/>
  <c r="W117" i="3"/>
  <c r="J186" i="5" s="1"/>
  <c r="N186" i="5" s="1"/>
  <c r="W116" i="3"/>
  <c r="J151" i="5" s="1"/>
  <c r="N151" i="5" s="1"/>
  <c r="W115" i="3"/>
  <c r="J152" i="5" s="1"/>
  <c r="N152" i="5" s="1"/>
  <c r="W114" i="3"/>
  <c r="J100" i="5" s="1"/>
  <c r="N100" i="5" s="1"/>
  <c r="W113" i="3"/>
  <c r="J97" i="5" s="1"/>
  <c r="N97" i="5" s="1"/>
  <c r="W112" i="3"/>
  <c r="J96" i="5" s="1"/>
  <c r="N96" i="5" s="1"/>
  <c r="W111" i="3"/>
  <c r="J99" i="5" s="1"/>
  <c r="N99" i="5" s="1"/>
  <c r="W110" i="3"/>
  <c r="J98" i="5" s="1"/>
  <c r="N98" i="5" s="1"/>
  <c r="W109" i="3"/>
  <c r="J101" i="5" s="1"/>
  <c r="N101" i="5" s="1"/>
  <c r="W108" i="3"/>
  <c r="J169" i="5" s="1"/>
  <c r="N169" i="5" s="1"/>
  <c r="W107" i="3"/>
  <c r="J167" i="5" s="1"/>
  <c r="N167" i="5" s="1"/>
  <c r="W106" i="3"/>
  <c r="J168" i="5" s="1"/>
  <c r="N168" i="5" s="1"/>
  <c r="W105" i="3"/>
  <c r="J164" i="5" s="1"/>
  <c r="N164" i="5" s="1"/>
  <c r="W104" i="3"/>
  <c r="J166" i="5" s="1"/>
  <c r="N166" i="5" s="1"/>
  <c r="W103" i="3"/>
  <c r="J165" i="5" s="1"/>
  <c r="N165" i="5" s="1"/>
  <c r="W102" i="3"/>
  <c r="J201" i="5" s="1"/>
  <c r="N201" i="5" s="1"/>
  <c r="W101" i="3"/>
  <c r="J199" i="5" s="1"/>
  <c r="N199" i="5" s="1"/>
  <c r="W100" i="3"/>
  <c r="J200" i="5" s="1"/>
  <c r="N200" i="5" s="1"/>
  <c r="W99" i="3"/>
  <c r="J194" i="5" s="1"/>
  <c r="N194" i="5" s="1"/>
  <c r="W98" i="3"/>
  <c r="J192" i="5" s="1"/>
  <c r="N192" i="5" s="1"/>
  <c r="W97" i="3"/>
  <c r="J198" i="5" s="1"/>
  <c r="N198" i="5" s="1"/>
  <c r="W96" i="3"/>
  <c r="J196" i="5" s="1"/>
  <c r="N196" i="5" s="1"/>
  <c r="W95" i="3"/>
  <c r="J195" i="5" s="1"/>
  <c r="N195" i="5" s="1"/>
  <c r="W94" i="3"/>
  <c r="J193" i="5" s="1"/>
  <c r="N193" i="5" s="1"/>
  <c r="W93" i="3"/>
  <c r="J197" i="5" s="1"/>
  <c r="N197" i="5" s="1"/>
  <c r="W92" i="3"/>
  <c r="J58" i="5" s="1"/>
  <c r="N58" i="5" s="1"/>
  <c r="W91" i="3"/>
  <c r="J55" i="5" s="1"/>
  <c r="N55" i="5" s="1"/>
  <c r="W90" i="3"/>
  <c r="J60" i="5" s="1"/>
  <c r="N60" i="5" s="1"/>
  <c r="W89" i="3"/>
  <c r="J57" i="5" s="1"/>
  <c r="N57" i="5" s="1"/>
  <c r="W88" i="3"/>
  <c r="J59" i="5" s="1"/>
  <c r="N59" i="5" s="1"/>
  <c r="W87" i="3"/>
  <c r="J56" i="5" s="1"/>
  <c r="N56" i="5" s="1"/>
  <c r="W86" i="3"/>
  <c r="J141" i="5" s="1"/>
  <c r="N141" i="5" s="1"/>
  <c r="W85" i="3"/>
  <c r="J140" i="5" s="1"/>
  <c r="N140" i="5" s="1"/>
  <c r="W84" i="3"/>
  <c r="J139" i="5" s="1"/>
  <c r="N139" i="5" s="1"/>
  <c r="W83" i="3"/>
  <c r="J138" i="5" s="1"/>
  <c r="N138" i="5" s="1"/>
  <c r="W82" i="3"/>
  <c r="J237" i="5" s="1"/>
  <c r="N237" i="5" s="1"/>
  <c r="W81" i="3"/>
  <c r="J236" i="5" s="1"/>
  <c r="N236" i="5" s="1"/>
  <c r="W80" i="3"/>
  <c r="J234" i="5" s="1"/>
  <c r="N234" i="5" s="1"/>
  <c r="W79" i="3"/>
  <c r="J238" i="5" s="1"/>
  <c r="N238" i="5" s="1"/>
  <c r="W78" i="3"/>
  <c r="J233" i="5" s="1"/>
  <c r="N233" i="5" s="1"/>
  <c r="W77" i="3"/>
  <c r="J235" i="5" s="1"/>
  <c r="N235" i="5" s="1"/>
  <c r="W76" i="3"/>
  <c r="J40" i="5" s="1"/>
  <c r="N40" i="5" s="1"/>
  <c r="W75" i="3"/>
  <c r="J33" i="5" s="1"/>
  <c r="N33" i="5" s="1"/>
  <c r="W74" i="3"/>
  <c r="J41" i="5" s="1"/>
  <c r="N41" i="5" s="1"/>
  <c r="W73" i="3"/>
  <c r="J32" i="5" s="1"/>
  <c r="N32" i="5" s="1"/>
  <c r="W72" i="3"/>
  <c r="J81" i="5" s="1"/>
  <c r="N81" i="5" s="1"/>
  <c r="W71" i="3"/>
  <c r="J83" i="5" s="1"/>
  <c r="N83" i="5" s="1"/>
  <c r="W70" i="3"/>
  <c r="J82" i="5" s="1"/>
  <c r="N82" i="5" s="1"/>
  <c r="W69" i="3"/>
  <c r="J84" i="5" s="1"/>
  <c r="N84" i="5" s="1"/>
  <c r="W68" i="3"/>
  <c r="J107" i="5" s="1"/>
  <c r="N107" i="5" s="1"/>
  <c r="W67" i="3"/>
  <c r="J104" i="5" s="1"/>
  <c r="N104" i="5" s="1"/>
  <c r="W66" i="3"/>
  <c r="J110" i="5" s="1"/>
  <c r="N110" i="5" s="1"/>
  <c r="W65" i="3"/>
  <c r="J103" i="5" s="1"/>
  <c r="N103" i="5" s="1"/>
  <c r="W64" i="3"/>
  <c r="J102" i="5" s="1"/>
  <c r="N102" i="5" s="1"/>
  <c r="W63" i="3"/>
  <c r="J111" i="5" s="1"/>
  <c r="N111" i="5" s="1"/>
  <c r="W62" i="3"/>
  <c r="J108" i="5" s="1"/>
  <c r="N108" i="5" s="1"/>
  <c r="W61" i="3"/>
  <c r="J109" i="5" s="1"/>
  <c r="N109" i="5" s="1"/>
  <c r="W60" i="3"/>
  <c r="J137" i="5" s="1"/>
  <c r="N137" i="5" s="1"/>
  <c r="W59" i="3"/>
  <c r="J131" i="5" s="1"/>
  <c r="N131" i="5" s="1"/>
  <c r="W58" i="3"/>
  <c r="J132" i="5" s="1"/>
  <c r="N132" i="5" s="1"/>
  <c r="W57" i="3"/>
  <c r="J134" i="5" s="1"/>
  <c r="N134" i="5" s="1"/>
  <c r="N56" i="3"/>
  <c r="W56" i="3"/>
  <c r="J135" i="5" s="1"/>
  <c r="N135" i="5" s="1"/>
  <c r="W55" i="3"/>
  <c r="J136" i="5" s="1"/>
  <c r="N136" i="5" s="1"/>
  <c r="W54" i="3"/>
  <c r="J133" i="5" s="1"/>
  <c r="N133" i="5" s="1"/>
  <c r="W53" i="3"/>
  <c r="J62" i="5" s="1"/>
  <c r="N62" i="5" s="1"/>
  <c r="W52" i="3"/>
  <c r="J64" i="5" s="1"/>
  <c r="N64" i="5" s="1"/>
  <c r="W51" i="3"/>
  <c r="J61" i="5" s="1"/>
  <c r="N61" i="5" s="1"/>
  <c r="W50" i="3"/>
  <c r="J65" i="5" s="1"/>
  <c r="N65" i="5" s="1"/>
  <c r="W49" i="3"/>
  <c r="J63" i="5" s="1"/>
  <c r="N63" i="5" s="1"/>
  <c r="W48" i="3"/>
  <c r="J156" i="5" s="1"/>
  <c r="N156" i="5" s="1"/>
  <c r="W47" i="3"/>
  <c r="J155" i="5" s="1"/>
  <c r="N155" i="5" s="1"/>
  <c r="W46" i="3"/>
  <c r="J158" i="5" s="1"/>
  <c r="N158" i="5" s="1"/>
  <c r="W45" i="3"/>
  <c r="J157" i="5" s="1"/>
  <c r="N157" i="5" s="1"/>
  <c r="W44" i="3"/>
  <c r="J160" i="5" s="1"/>
  <c r="N160" i="5" s="1"/>
  <c r="W43" i="3"/>
  <c r="J163" i="5" s="1"/>
  <c r="N163" i="5" s="1"/>
  <c r="W42" i="3"/>
  <c r="J159" i="5" s="1"/>
  <c r="N159" i="5" s="1"/>
  <c r="W41" i="3"/>
  <c r="J162" i="5" s="1"/>
  <c r="N162" i="5" s="1"/>
  <c r="W40" i="3"/>
  <c r="J161" i="5" s="1"/>
  <c r="N161" i="5" s="1"/>
  <c r="W39" i="3"/>
  <c r="J128" i="5" s="1"/>
  <c r="N128" i="5" s="1"/>
  <c r="W38" i="3"/>
  <c r="J123" i="5" s="1"/>
  <c r="N123" i="5" s="1"/>
  <c r="W37" i="3"/>
  <c r="J120" i="5" s="1"/>
  <c r="N120" i="5" s="1"/>
  <c r="W36" i="3"/>
  <c r="J125" i="5" s="1"/>
  <c r="N125" i="5" s="1"/>
  <c r="W35" i="3"/>
  <c r="J127" i="5" s="1"/>
  <c r="N127" i="5" s="1"/>
  <c r="W34" i="3"/>
  <c r="J115" i="5" s="1"/>
  <c r="N115" i="5" s="1"/>
  <c r="W33" i="3"/>
  <c r="J126" i="5" s="1"/>
  <c r="N126" i="5" s="1"/>
  <c r="W32" i="3"/>
  <c r="J121" i="5" s="1"/>
  <c r="N121" i="5" s="1"/>
  <c r="N31" i="3"/>
  <c r="W31" i="3"/>
  <c r="J124" i="5" s="1"/>
  <c r="N124" i="5" s="1"/>
  <c r="N30" i="3"/>
  <c r="W30" i="3"/>
  <c r="J122" i="5" s="1"/>
  <c r="N122" i="5" s="1"/>
  <c r="N29" i="3"/>
  <c r="W29" i="3"/>
  <c r="J26" i="5" s="1"/>
  <c r="N26" i="5" s="1"/>
  <c r="N28" i="3"/>
  <c r="W28" i="3"/>
  <c r="J18" i="5" s="1"/>
  <c r="N18" i="5" s="1"/>
  <c r="N27" i="3"/>
  <c r="W27" i="3"/>
  <c r="J30" i="5" s="1"/>
  <c r="N30" i="5" s="1"/>
  <c r="N26" i="3"/>
  <c r="W26" i="3"/>
  <c r="J24" i="5" s="1"/>
  <c r="N24" i="5" s="1"/>
  <c r="W25" i="3"/>
  <c r="J28" i="5" s="1"/>
  <c r="N28" i="5" s="1"/>
  <c r="W24" i="3"/>
  <c r="J19" i="5" s="1"/>
  <c r="N19" i="5" s="1"/>
  <c r="W23" i="3"/>
  <c r="J27" i="5" s="1"/>
  <c r="N27" i="5" s="1"/>
  <c r="W22" i="3"/>
  <c r="J21" i="5" s="1"/>
  <c r="N21" i="5" s="1"/>
  <c r="W21" i="3"/>
  <c r="J16" i="5" s="1"/>
  <c r="N16" i="5" s="1"/>
  <c r="W20" i="3"/>
  <c r="J29" i="5" s="1"/>
  <c r="N29" i="5" s="1"/>
  <c r="W19" i="3"/>
  <c r="J17" i="5" s="1"/>
  <c r="N17" i="5" s="1"/>
  <c r="W18" i="3"/>
  <c r="J22" i="5" s="1"/>
  <c r="N22" i="5" s="1"/>
  <c r="W17" i="3"/>
  <c r="J20" i="5" s="1"/>
  <c r="N20" i="5" s="1"/>
  <c r="W16" i="3"/>
  <c r="J15" i="5" s="1"/>
  <c r="N15" i="5" s="1"/>
  <c r="W15" i="3"/>
  <c r="J23" i="5" s="1"/>
  <c r="N23" i="5" s="1"/>
  <c r="W14" i="3"/>
  <c r="J25" i="5" s="1"/>
  <c r="N25" i="5" s="1"/>
  <c r="W13" i="3"/>
  <c r="J37" i="5" s="1"/>
  <c r="N37" i="5" s="1"/>
  <c r="W12" i="3"/>
  <c r="J35" i="5" s="1"/>
  <c r="N35" i="5" s="1"/>
  <c r="W11" i="3"/>
  <c r="J31" i="5" s="1"/>
  <c r="N31" i="5" s="1"/>
  <c r="W10" i="3"/>
  <c r="J34" i="5" s="1"/>
  <c r="N34" i="5" s="1"/>
  <c r="W9" i="3"/>
  <c r="J39" i="5" s="1"/>
  <c r="N39" i="5" s="1"/>
  <c r="W8" i="3"/>
  <c r="J38" i="5" s="1"/>
  <c r="N38" i="5" s="1"/>
  <c r="W7" i="3"/>
  <c r="J36" i="5" s="1"/>
  <c r="N36" i="5" s="1"/>
  <c r="W6" i="3"/>
  <c r="J154" i="5" s="1"/>
  <c r="N154" i="5" s="1"/>
  <c r="W5" i="3"/>
  <c r="J153" i="5" s="1"/>
  <c r="N153" i="5" s="1"/>
  <c r="L9" i="2"/>
  <c r="F60" i="4"/>
  <c r="F62" i="4" s="1"/>
  <c r="F13" i="1"/>
  <c r="K9" i="2"/>
  <c r="E60" i="4"/>
  <c r="E62" i="4" s="1"/>
  <c r="E13" i="1"/>
  <c r="J9" i="2"/>
  <c r="D60" i="4"/>
  <c r="D62" i="4" s="1"/>
  <c r="D13" i="1"/>
  <c r="I9" i="2"/>
  <c r="C60" i="4"/>
  <c r="C62" i="4" s="1"/>
  <c r="C13" i="1"/>
  <c r="H9" i="2"/>
  <c r="B60" i="4"/>
  <c r="B62" i="4" s="1"/>
  <c r="B13" i="1"/>
  <c r="G25" i="4"/>
  <c r="I24" i="4"/>
  <c r="I32" i="4"/>
  <c r="H32" i="4"/>
  <c r="G32" i="4"/>
  <c r="I31" i="4"/>
  <c r="H25" i="4"/>
  <c r="G22" i="4"/>
  <c r="H22" i="4"/>
  <c r="I22" i="4"/>
  <c r="I25" i="4"/>
  <c r="H33" i="4"/>
  <c r="I33" i="4"/>
  <c r="I35" i="4"/>
  <c r="H35" i="4"/>
  <c r="H31" i="4"/>
  <c r="G31" i="4"/>
  <c r="G26" i="4"/>
  <c r="H26" i="4"/>
  <c r="I30" i="4"/>
  <c r="H30" i="4"/>
  <c r="G30" i="4"/>
  <c r="I29" i="4"/>
  <c r="H29" i="4"/>
  <c r="I26" i="4"/>
  <c r="G29" i="4"/>
  <c r="I28" i="4"/>
  <c r="G34" i="4"/>
  <c r="H28" i="4"/>
  <c r="G28" i="4"/>
  <c r="G23" i="4"/>
  <c r="H23" i="4"/>
  <c r="I23" i="4"/>
  <c r="I27" i="4"/>
  <c r="H27" i="4"/>
  <c r="G27" i="4"/>
  <c r="G35" i="4"/>
  <c r="I34" i="4"/>
  <c r="G24" i="4"/>
  <c r="H24" i="4"/>
  <c r="H34" i="4"/>
  <c r="G33" i="4"/>
  <c r="I5" i="4"/>
  <c r="H6" i="4"/>
  <c r="I7" i="4"/>
  <c r="H8" i="4"/>
  <c r="H10" i="4"/>
  <c r="G11" i="4"/>
  <c r="I12" i="4"/>
  <c r="I14" i="4"/>
  <c r="H15" i="4"/>
  <c r="G16" i="4"/>
  <c r="I18" i="4"/>
  <c r="H36" i="4"/>
  <c r="G41" i="4"/>
  <c r="G37" i="4"/>
  <c r="I37" i="4"/>
  <c r="I38" i="4"/>
  <c r="H39" i="4"/>
  <c r="I40" i="4"/>
  <c r="H41" i="4"/>
  <c r="I42" i="4"/>
  <c r="G5" i="4"/>
  <c r="H7" i="4"/>
  <c r="I8" i="4"/>
  <c r="I9" i="4"/>
  <c r="H12" i="4"/>
  <c r="I13" i="4"/>
  <c r="H14" i="4"/>
  <c r="G15" i="4"/>
  <c r="G17" i="4"/>
  <c r="I17" i="4"/>
  <c r="G18" i="4"/>
  <c r="H18" i="4"/>
  <c r="G36" i="4"/>
  <c r="H37" i="4"/>
  <c r="G38" i="4"/>
  <c r="I39" i="4"/>
  <c r="G40" i="4"/>
  <c r="I41" i="4"/>
  <c r="G42" i="4"/>
  <c r="H5" i="4"/>
  <c r="G6" i="4"/>
  <c r="G9" i="4"/>
  <c r="G10" i="4"/>
  <c r="I11" i="4"/>
  <c r="G13" i="4"/>
  <c r="H16" i="4"/>
  <c r="H17" i="4"/>
  <c r="G19" i="4"/>
  <c r="H19" i="4"/>
  <c r="I19" i="4"/>
  <c r="G20" i="4"/>
  <c r="H20" i="4"/>
  <c r="I20" i="4"/>
  <c r="G21" i="4"/>
  <c r="H21" i="4"/>
  <c r="I21" i="4"/>
  <c r="I6" i="4"/>
  <c r="G7" i="4"/>
  <c r="G8" i="4"/>
  <c r="H9" i="4"/>
  <c r="I10" i="4"/>
  <c r="H11" i="4"/>
  <c r="G12" i="4"/>
  <c r="H13" i="4"/>
  <c r="G14" i="4"/>
  <c r="I15" i="4"/>
  <c r="I16" i="4"/>
  <c r="I36" i="4"/>
  <c r="H38" i="4"/>
  <c r="G39" i="4"/>
  <c r="H40" i="4"/>
  <c r="H42" i="4"/>
  <c r="R6" i="3" l="1"/>
  <c r="R8" i="3"/>
  <c r="R9" i="3"/>
  <c r="R10" i="3"/>
  <c r="R11" i="3"/>
  <c r="R222" i="3"/>
  <c r="R223" i="3"/>
  <c r="R224" i="3"/>
  <c r="R7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5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3" i="3"/>
  <c r="R77" i="3"/>
  <c r="R82" i="3"/>
  <c r="R84" i="3"/>
  <c r="R86" i="3"/>
  <c r="R87" i="3"/>
  <c r="R88" i="3"/>
  <c r="R91" i="3"/>
  <c r="R92" i="3"/>
  <c r="R94" i="3"/>
  <c r="R95" i="3"/>
  <c r="R221" i="3"/>
  <c r="R74" i="3"/>
  <c r="R76" i="3"/>
  <c r="R83" i="3"/>
  <c r="R89" i="3"/>
  <c r="R90" i="3"/>
  <c r="R93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72" i="3"/>
  <c r="R75" i="3"/>
  <c r="R79" i="3"/>
  <c r="R80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80" i="3"/>
  <c r="R181" i="3"/>
  <c r="R182" i="3"/>
  <c r="R183" i="3"/>
  <c r="R184" i="3"/>
  <c r="R185" i="3"/>
  <c r="R186" i="3"/>
  <c r="R187" i="3"/>
  <c r="R188" i="3"/>
  <c r="R189" i="3"/>
  <c r="R71" i="3"/>
  <c r="R78" i="3"/>
  <c r="R81" i="3"/>
  <c r="R85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R134" i="3"/>
  <c r="R179" i="3"/>
  <c r="Q7" i="3"/>
  <c r="Q221" i="3"/>
  <c r="Q222" i="3"/>
  <c r="Q224" i="3"/>
  <c r="Q6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4" i="3"/>
  <c r="Q81" i="3"/>
  <c r="Q85" i="3"/>
  <c r="Q87" i="3"/>
  <c r="Q88" i="3"/>
  <c r="Q89" i="3"/>
  <c r="Q93" i="3"/>
  <c r="Q95" i="3"/>
  <c r="Q72" i="3"/>
  <c r="Q75" i="3"/>
  <c r="Q76" i="3"/>
  <c r="Q78" i="3"/>
  <c r="Q79" i="3"/>
  <c r="Q82" i="3"/>
  <c r="Q84" i="3"/>
  <c r="Q86" i="3"/>
  <c r="Q90" i="3"/>
  <c r="Q91" i="3"/>
  <c r="Q92" i="3"/>
  <c r="Q94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73" i="3"/>
  <c r="Q7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80" i="3"/>
  <c r="Q181" i="3"/>
  <c r="Q182" i="3"/>
  <c r="Q183" i="3"/>
  <c r="Q184" i="3"/>
  <c r="Q185" i="3"/>
  <c r="Q186" i="3"/>
  <c r="Q187" i="3"/>
  <c r="Q188" i="3"/>
  <c r="Q5" i="3"/>
  <c r="Q80" i="3"/>
  <c r="Q83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3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Q134" i="3"/>
  <c r="Q179" i="3"/>
  <c r="P6" i="3"/>
  <c r="P8" i="3"/>
  <c r="P9" i="3"/>
  <c r="P10" i="3"/>
  <c r="P221" i="3"/>
  <c r="P222" i="3"/>
  <c r="P223" i="3"/>
  <c r="P224" i="3"/>
  <c r="P7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5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2" i="3"/>
  <c r="P79" i="3"/>
  <c r="P80" i="3"/>
  <c r="P83" i="3"/>
  <c r="P87" i="3"/>
  <c r="P88" i="3"/>
  <c r="P89" i="3"/>
  <c r="P90" i="3"/>
  <c r="P91" i="3"/>
  <c r="P94" i="3"/>
  <c r="P95" i="3"/>
  <c r="P71" i="3"/>
  <c r="P77" i="3"/>
  <c r="P78" i="3"/>
  <c r="P85" i="3"/>
  <c r="P86" i="3"/>
  <c r="P92" i="3"/>
  <c r="P93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74" i="3"/>
  <c r="P76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73" i="3"/>
  <c r="P75" i="3"/>
  <c r="P81" i="3"/>
  <c r="P82" i="3"/>
  <c r="P84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P134" i="3"/>
  <c r="O7" i="3"/>
  <c r="O8" i="3"/>
  <c r="O9" i="3"/>
  <c r="O222" i="3"/>
  <c r="O223" i="3"/>
  <c r="O6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2" i="3"/>
  <c r="O76" i="3"/>
  <c r="O78" i="3"/>
  <c r="O82" i="3"/>
  <c r="O86" i="3"/>
  <c r="O87" i="3"/>
  <c r="O88" i="3"/>
  <c r="O94" i="3"/>
  <c r="O95" i="3"/>
  <c r="O220" i="3"/>
  <c r="O221" i="3"/>
  <c r="O70" i="3"/>
  <c r="O73" i="3"/>
  <c r="O75" i="3"/>
  <c r="O79" i="3"/>
  <c r="O80" i="3"/>
  <c r="O81" i="3"/>
  <c r="O83" i="3"/>
  <c r="O84" i="3"/>
  <c r="O85" i="3"/>
  <c r="O89" i="3"/>
  <c r="O90" i="3"/>
  <c r="O91" i="3"/>
  <c r="O92" i="3"/>
  <c r="O93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71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5" i="3"/>
  <c r="O74" i="3"/>
  <c r="O77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O134" i="3"/>
  <c r="N134" i="3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O25" i="4"/>
  <c r="O32" i="4"/>
  <c r="O22" i="4"/>
  <c r="O31" i="4"/>
  <c r="O26" i="4"/>
  <c r="O30" i="4"/>
  <c r="O29" i="4"/>
  <c r="O34" i="4"/>
  <c r="O28" i="4"/>
  <c r="O23" i="4"/>
  <c r="O27" i="4"/>
  <c r="O35" i="4"/>
  <c r="O24" i="4"/>
  <c r="O33" i="4"/>
  <c r="I43" i="4"/>
  <c r="O11" i="4"/>
  <c r="O16" i="4"/>
  <c r="O41" i="4"/>
  <c r="O37" i="4"/>
  <c r="O5" i="4"/>
  <c r="G43" i="4"/>
  <c r="O15" i="4"/>
  <c r="O17" i="4"/>
  <c r="O18" i="4"/>
  <c r="O36" i="4"/>
  <c r="O38" i="4"/>
  <c r="O40" i="4"/>
  <c r="O42" i="4"/>
  <c r="H43" i="4"/>
  <c r="O6" i="4"/>
  <c r="O9" i="4"/>
  <c r="O10" i="4"/>
  <c r="O13" i="4"/>
  <c r="O19" i="4"/>
  <c r="O20" i="4"/>
  <c r="O21" i="4"/>
  <c r="O7" i="4"/>
  <c r="O8" i="4"/>
  <c r="O12" i="4"/>
  <c r="O14" i="4"/>
  <c r="O39" i="4"/>
  <c r="S7" i="5"/>
  <c r="S8" i="5" s="1"/>
  <c r="N133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5" i="3"/>
  <c r="N143" i="3"/>
  <c r="N142" i="3"/>
  <c r="N140" i="3"/>
  <c r="N138" i="3"/>
  <c r="N137" i="3"/>
  <c r="N135" i="3"/>
  <c r="N131" i="3"/>
  <c r="N129" i="3"/>
  <c r="N128" i="3"/>
  <c r="N126" i="3"/>
  <c r="N125" i="3"/>
  <c r="N123" i="3"/>
  <c r="N122" i="3"/>
  <c r="N120" i="3"/>
  <c r="N118" i="3"/>
  <c r="N85" i="3"/>
  <c r="N83" i="3"/>
  <c r="N81" i="3"/>
  <c r="N79" i="3"/>
  <c r="N74" i="3"/>
  <c r="N72" i="3"/>
  <c r="N70" i="3"/>
  <c r="N68" i="3"/>
  <c r="N65" i="3"/>
  <c r="N62" i="3"/>
  <c r="N58" i="3"/>
  <c r="N148" i="3"/>
  <c r="N147" i="3"/>
  <c r="N146" i="3"/>
  <c r="N144" i="3"/>
  <c r="N141" i="3"/>
  <c r="N139" i="3"/>
  <c r="N136" i="3"/>
  <c r="N238" i="3"/>
  <c r="N132" i="3"/>
  <c r="N130" i="3"/>
  <c r="N127" i="3"/>
  <c r="N124" i="3"/>
  <c r="N121" i="3"/>
  <c r="N119" i="3"/>
  <c r="N84" i="3"/>
  <c r="N80" i="3"/>
  <c r="N77" i="3"/>
  <c r="N76" i="3"/>
  <c r="N73" i="3"/>
  <c r="N69" i="3"/>
  <c r="N66" i="3"/>
  <c r="N63" i="3"/>
  <c r="N59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2" i="3"/>
  <c r="N78" i="3"/>
  <c r="N75" i="3"/>
  <c r="N71" i="3"/>
  <c r="N67" i="3"/>
  <c r="N64" i="3"/>
  <c r="N61" i="3"/>
  <c r="N60" i="3"/>
  <c r="N57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X134" i="3" l="1"/>
  <c r="U134" i="3"/>
  <c r="T134" i="3"/>
  <c r="N5" i="6"/>
  <c r="O5" i="6"/>
  <c r="M5" i="6"/>
  <c r="O6" i="6"/>
  <c r="N6" i="6"/>
  <c r="M6" i="6"/>
  <c r="O7" i="6"/>
  <c r="M7" i="6"/>
  <c r="N7" i="6"/>
  <c r="N8" i="6"/>
  <c r="O8" i="6"/>
  <c r="M8" i="6"/>
  <c r="O9" i="6"/>
  <c r="N9" i="6"/>
  <c r="M9" i="6"/>
  <c r="O10" i="6"/>
  <c r="M10" i="6"/>
  <c r="N10" i="6"/>
  <c r="O11" i="6"/>
  <c r="N11" i="6"/>
  <c r="M11" i="6"/>
  <c r="N12" i="6"/>
  <c r="O12" i="6"/>
  <c r="M12" i="6"/>
  <c r="N13" i="6"/>
  <c r="O13" i="6"/>
  <c r="M13" i="6"/>
  <c r="O14" i="6"/>
  <c r="N14" i="6"/>
  <c r="M14" i="6"/>
  <c r="O15" i="6"/>
  <c r="M15" i="6"/>
  <c r="N15" i="6"/>
  <c r="O16" i="6"/>
  <c r="M16" i="6"/>
  <c r="N16" i="6"/>
  <c r="O17" i="6"/>
  <c r="N17" i="6"/>
  <c r="M17" i="6"/>
  <c r="O18" i="6"/>
  <c r="N18" i="6"/>
  <c r="M18" i="6"/>
  <c r="O19" i="6"/>
  <c r="M19" i="6"/>
  <c r="N19" i="6"/>
  <c r="O20" i="6"/>
  <c r="N20" i="6"/>
  <c r="M20" i="6"/>
  <c r="O21" i="6"/>
  <c r="N21" i="6"/>
  <c r="M21" i="6"/>
  <c r="O22" i="6"/>
  <c r="M22" i="6"/>
  <c r="N22" i="6"/>
  <c r="O23" i="6"/>
  <c r="N23" i="6"/>
  <c r="M23" i="6"/>
  <c r="O24" i="6"/>
  <c r="N24" i="6"/>
  <c r="M24" i="6"/>
  <c r="O25" i="6"/>
  <c r="N25" i="6"/>
  <c r="M25" i="6"/>
  <c r="O26" i="6"/>
  <c r="N26" i="6"/>
  <c r="M26" i="6"/>
  <c r="O27" i="6"/>
  <c r="N27" i="6"/>
  <c r="M27" i="6"/>
  <c r="O28" i="6"/>
  <c r="N28" i="6"/>
  <c r="M28" i="6"/>
  <c r="O29" i="6"/>
  <c r="N29" i="6"/>
  <c r="M29" i="6"/>
  <c r="O30" i="6"/>
  <c r="N30" i="6"/>
  <c r="M30" i="6"/>
  <c r="O31" i="6"/>
  <c r="N31" i="6"/>
  <c r="M31" i="6"/>
  <c r="O32" i="6"/>
  <c r="M32" i="6"/>
  <c r="N32" i="6"/>
  <c r="O33" i="6"/>
  <c r="N33" i="6"/>
  <c r="M33" i="6"/>
  <c r="O34" i="6"/>
  <c r="N34" i="6"/>
  <c r="M34" i="6"/>
  <c r="O35" i="6"/>
  <c r="N35" i="6"/>
  <c r="M35" i="6"/>
  <c r="O36" i="6"/>
  <c r="N36" i="6"/>
  <c r="M36" i="6"/>
  <c r="O37" i="6"/>
  <c r="N37" i="6"/>
  <c r="M37" i="6"/>
  <c r="N38" i="6"/>
  <c r="O38" i="6"/>
  <c r="M38" i="6"/>
  <c r="O39" i="6"/>
  <c r="N39" i="6"/>
  <c r="M39" i="6"/>
  <c r="O40" i="6"/>
  <c r="N40" i="6"/>
  <c r="M40" i="6"/>
  <c r="O41" i="6"/>
  <c r="N41" i="6"/>
  <c r="M41" i="6"/>
  <c r="O42" i="6"/>
  <c r="N42" i="6"/>
  <c r="M42" i="6"/>
  <c r="X133" i="3"/>
  <c r="U133" i="3"/>
  <c r="T133" i="3"/>
  <c r="X237" i="3"/>
  <c r="U237" i="3"/>
  <c r="T237" i="3"/>
  <c r="X236" i="3"/>
  <c r="U236" i="3"/>
  <c r="T236" i="3"/>
  <c r="X235" i="3"/>
  <c r="T235" i="3"/>
  <c r="U235" i="3"/>
  <c r="T234" i="3"/>
  <c r="X234" i="3"/>
  <c r="U234" i="3"/>
  <c r="X233" i="3"/>
  <c r="T233" i="3"/>
  <c r="U233" i="3"/>
  <c r="X232" i="3"/>
  <c r="T232" i="3"/>
  <c r="U232" i="3"/>
  <c r="U231" i="3"/>
  <c r="X231" i="3"/>
  <c r="T231" i="3"/>
  <c r="U230" i="3"/>
  <c r="X230" i="3"/>
  <c r="T230" i="3"/>
  <c r="X229" i="3"/>
  <c r="T229" i="3"/>
  <c r="U229" i="3"/>
  <c r="U228" i="3"/>
  <c r="X228" i="3"/>
  <c r="T228" i="3"/>
  <c r="U227" i="3"/>
  <c r="T227" i="3"/>
  <c r="X227" i="3"/>
  <c r="U226" i="3"/>
  <c r="X226" i="3"/>
  <c r="T226" i="3"/>
  <c r="T225" i="3"/>
  <c r="X225" i="3"/>
  <c r="U225" i="3"/>
  <c r="T224" i="3"/>
  <c r="U224" i="3"/>
  <c r="X224" i="3"/>
  <c r="X223" i="3"/>
  <c r="U223" i="3"/>
  <c r="T223" i="3"/>
  <c r="X222" i="3"/>
  <c r="U222" i="3"/>
  <c r="T222" i="3"/>
  <c r="X221" i="3"/>
  <c r="U221" i="3"/>
  <c r="T221" i="3"/>
  <c r="X220" i="3"/>
  <c r="U220" i="3"/>
  <c r="T220" i="3"/>
  <c r="X219" i="3"/>
  <c r="U219" i="3"/>
  <c r="T219" i="3"/>
  <c r="X218" i="3"/>
  <c r="U218" i="3"/>
  <c r="T218" i="3"/>
  <c r="X217" i="3"/>
  <c r="U217" i="3"/>
  <c r="T217" i="3"/>
  <c r="X216" i="3"/>
  <c r="U216" i="3"/>
  <c r="T216" i="3"/>
  <c r="X215" i="3"/>
  <c r="U215" i="3"/>
  <c r="T215" i="3"/>
  <c r="X209" i="3"/>
  <c r="U209" i="3"/>
  <c r="T209" i="3"/>
  <c r="X208" i="3"/>
  <c r="U208" i="3"/>
  <c r="T208" i="3"/>
  <c r="X207" i="3"/>
  <c r="U207" i="3"/>
  <c r="T207" i="3"/>
  <c r="X206" i="3"/>
  <c r="U206" i="3"/>
  <c r="T206" i="3"/>
  <c r="X205" i="3"/>
  <c r="U205" i="3"/>
  <c r="T205" i="3"/>
  <c r="X204" i="3"/>
  <c r="U204" i="3"/>
  <c r="T204" i="3"/>
  <c r="X203" i="3"/>
  <c r="U203" i="3"/>
  <c r="T203" i="3"/>
  <c r="X202" i="3"/>
  <c r="U202" i="3"/>
  <c r="T202" i="3"/>
  <c r="X201" i="3"/>
  <c r="U201" i="3"/>
  <c r="T201" i="3"/>
  <c r="X200" i="3"/>
  <c r="U200" i="3"/>
  <c r="T200" i="3"/>
  <c r="X199" i="3"/>
  <c r="U199" i="3"/>
  <c r="T199" i="3"/>
  <c r="X198" i="3"/>
  <c r="U198" i="3"/>
  <c r="T198" i="3"/>
  <c r="X197" i="3"/>
  <c r="U197" i="3"/>
  <c r="T197" i="3"/>
  <c r="X196" i="3"/>
  <c r="U196" i="3"/>
  <c r="T196" i="3"/>
  <c r="X178" i="3"/>
  <c r="U178" i="3"/>
  <c r="T178" i="3"/>
  <c r="X177" i="3"/>
  <c r="U177" i="3"/>
  <c r="T177" i="3"/>
  <c r="X176" i="3"/>
  <c r="U176" i="3"/>
  <c r="T176" i="3"/>
  <c r="X175" i="3"/>
  <c r="U175" i="3"/>
  <c r="T175" i="3"/>
  <c r="X174" i="3"/>
  <c r="U174" i="3"/>
  <c r="T174" i="3"/>
  <c r="X173" i="3"/>
  <c r="U173" i="3"/>
  <c r="T173" i="3"/>
  <c r="X172" i="3"/>
  <c r="U172" i="3"/>
  <c r="T172" i="3"/>
  <c r="X171" i="3"/>
  <c r="U171" i="3"/>
  <c r="T171" i="3"/>
  <c r="X170" i="3"/>
  <c r="U170" i="3"/>
  <c r="T170" i="3"/>
  <c r="X169" i="3"/>
  <c r="U169" i="3"/>
  <c r="T169" i="3"/>
  <c r="X168" i="3"/>
  <c r="U168" i="3"/>
  <c r="T168" i="3"/>
  <c r="X167" i="3"/>
  <c r="U167" i="3"/>
  <c r="T167" i="3"/>
  <c r="X166" i="3"/>
  <c r="U166" i="3"/>
  <c r="T166" i="3"/>
  <c r="X165" i="3"/>
  <c r="U165" i="3"/>
  <c r="T165" i="3"/>
  <c r="X164" i="3"/>
  <c r="U164" i="3"/>
  <c r="T164" i="3"/>
  <c r="X163" i="3"/>
  <c r="U163" i="3"/>
  <c r="T163" i="3"/>
  <c r="X162" i="3"/>
  <c r="U162" i="3"/>
  <c r="T162" i="3"/>
  <c r="X161" i="3"/>
  <c r="U161" i="3"/>
  <c r="T161" i="3"/>
  <c r="X160" i="3"/>
  <c r="U160" i="3"/>
  <c r="T160" i="3"/>
  <c r="X159" i="3"/>
  <c r="U159" i="3"/>
  <c r="T159" i="3"/>
  <c r="X158" i="3"/>
  <c r="U158" i="3"/>
  <c r="T158" i="3"/>
  <c r="X157" i="3"/>
  <c r="U157" i="3"/>
  <c r="T157" i="3"/>
  <c r="X156" i="3"/>
  <c r="U156" i="3"/>
  <c r="T156" i="3"/>
  <c r="X155" i="3"/>
  <c r="U155" i="3"/>
  <c r="T155" i="3"/>
  <c r="X154" i="3"/>
  <c r="U154" i="3"/>
  <c r="T154" i="3"/>
  <c r="X153" i="3"/>
  <c r="U153" i="3"/>
  <c r="T153" i="3"/>
  <c r="X152" i="3"/>
  <c r="U152" i="3"/>
  <c r="T152" i="3"/>
  <c r="X151" i="3"/>
  <c r="U151" i="3"/>
  <c r="T151" i="3"/>
  <c r="X150" i="3"/>
  <c r="U150" i="3"/>
  <c r="T150" i="3"/>
  <c r="X149" i="3"/>
  <c r="U149" i="3"/>
  <c r="T149" i="3"/>
  <c r="X145" i="3"/>
  <c r="U145" i="3"/>
  <c r="T145" i="3"/>
  <c r="X143" i="3"/>
  <c r="U143" i="3"/>
  <c r="T143" i="3"/>
  <c r="X142" i="3"/>
  <c r="U142" i="3"/>
  <c r="T142" i="3"/>
  <c r="X140" i="3"/>
  <c r="U140" i="3"/>
  <c r="T140" i="3"/>
  <c r="X138" i="3"/>
  <c r="U138" i="3"/>
  <c r="T138" i="3"/>
  <c r="X137" i="3"/>
  <c r="U137" i="3"/>
  <c r="T137" i="3"/>
  <c r="X135" i="3"/>
  <c r="U135" i="3"/>
  <c r="T135" i="3"/>
  <c r="X131" i="3"/>
  <c r="U131" i="3"/>
  <c r="T131" i="3"/>
  <c r="X129" i="3"/>
  <c r="U129" i="3"/>
  <c r="T129" i="3"/>
  <c r="X128" i="3"/>
  <c r="U128" i="3"/>
  <c r="T128" i="3"/>
  <c r="X126" i="3"/>
  <c r="U126" i="3"/>
  <c r="T126" i="3"/>
  <c r="X125" i="3"/>
  <c r="U125" i="3"/>
  <c r="T125" i="3"/>
  <c r="X123" i="3"/>
  <c r="U123" i="3"/>
  <c r="T123" i="3"/>
  <c r="X122" i="3"/>
  <c r="U122" i="3"/>
  <c r="T122" i="3"/>
  <c r="X120" i="3"/>
  <c r="U120" i="3"/>
  <c r="T120" i="3"/>
  <c r="X118" i="3"/>
  <c r="U118" i="3"/>
  <c r="T118" i="3"/>
  <c r="X85" i="3"/>
  <c r="U85" i="3"/>
  <c r="T85" i="3"/>
  <c r="X83" i="3"/>
  <c r="U83" i="3"/>
  <c r="T83" i="3"/>
  <c r="X81" i="3"/>
  <c r="U81" i="3"/>
  <c r="T81" i="3"/>
  <c r="X79" i="3"/>
  <c r="U79" i="3"/>
  <c r="T79" i="3"/>
  <c r="X74" i="3"/>
  <c r="U74" i="3"/>
  <c r="T74" i="3"/>
  <c r="X72" i="3"/>
  <c r="U72" i="3"/>
  <c r="T72" i="3"/>
  <c r="X70" i="3"/>
  <c r="U70" i="3"/>
  <c r="T70" i="3"/>
  <c r="X68" i="3"/>
  <c r="U68" i="3"/>
  <c r="T68" i="3"/>
  <c r="X65" i="3"/>
  <c r="U65" i="3"/>
  <c r="T65" i="3"/>
  <c r="X62" i="3"/>
  <c r="U62" i="3"/>
  <c r="T62" i="3"/>
  <c r="X58" i="3"/>
  <c r="U58" i="3"/>
  <c r="T58" i="3"/>
  <c r="X148" i="3"/>
  <c r="U148" i="3"/>
  <c r="T148" i="3"/>
  <c r="X147" i="3"/>
  <c r="U147" i="3"/>
  <c r="T147" i="3"/>
  <c r="X146" i="3"/>
  <c r="U146" i="3"/>
  <c r="T146" i="3"/>
  <c r="X144" i="3"/>
  <c r="U144" i="3"/>
  <c r="T144" i="3"/>
  <c r="X141" i="3"/>
  <c r="U141" i="3"/>
  <c r="T141" i="3"/>
  <c r="X139" i="3"/>
  <c r="U139" i="3"/>
  <c r="T139" i="3"/>
  <c r="X136" i="3"/>
  <c r="U136" i="3"/>
  <c r="T136" i="3"/>
  <c r="T238" i="3"/>
  <c r="X238" i="3"/>
  <c r="U238" i="3"/>
  <c r="X132" i="3"/>
  <c r="U132" i="3"/>
  <c r="T132" i="3"/>
  <c r="X130" i="3"/>
  <c r="U130" i="3"/>
  <c r="T130" i="3"/>
  <c r="X127" i="3"/>
  <c r="U127" i="3"/>
  <c r="T127" i="3"/>
  <c r="X124" i="3"/>
  <c r="U124" i="3"/>
  <c r="T124" i="3"/>
  <c r="X121" i="3"/>
  <c r="U121" i="3"/>
  <c r="T121" i="3"/>
  <c r="X119" i="3"/>
  <c r="U119" i="3"/>
  <c r="T119" i="3"/>
  <c r="X84" i="3"/>
  <c r="U84" i="3"/>
  <c r="T84" i="3"/>
  <c r="X80" i="3"/>
  <c r="U80" i="3"/>
  <c r="T80" i="3"/>
  <c r="X77" i="3"/>
  <c r="U77" i="3"/>
  <c r="T77" i="3"/>
  <c r="X76" i="3"/>
  <c r="U76" i="3"/>
  <c r="T76" i="3"/>
  <c r="X73" i="3"/>
  <c r="U73" i="3"/>
  <c r="T73" i="3"/>
  <c r="X69" i="3"/>
  <c r="U69" i="3"/>
  <c r="T69" i="3"/>
  <c r="X66" i="3"/>
  <c r="U66" i="3"/>
  <c r="T66" i="3"/>
  <c r="X63" i="3"/>
  <c r="U63" i="3"/>
  <c r="T63" i="3"/>
  <c r="X59" i="3"/>
  <c r="U59" i="3"/>
  <c r="T59" i="3"/>
  <c r="X117" i="3"/>
  <c r="U117" i="3"/>
  <c r="T117" i="3"/>
  <c r="X116" i="3"/>
  <c r="U116" i="3"/>
  <c r="T116" i="3"/>
  <c r="X115" i="3"/>
  <c r="U115" i="3"/>
  <c r="T115" i="3"/>
  <c r="X114" i="3"/>
  <c r="U114" i="3"/>
  <c r="T114" i="3"/>
  <c r="X113" i="3"/>
  <c r="U113" i="3"/>
  <c r="T113" i="3"/>
  <c r="X112" i="3"/>
  <c r="U112" i="3"/>
  <c r="T112" i="3"/>
  <c r="X111" i="3"/>
  <c r="U111" i="3"/>
  <c r="T111" i="3"/>
  <c r="X110" i="3"/>
  <c r="U110" i="3"/>
  <c r="T110" i="3"/>
  <c r="X109" i="3"/>
  <c r="U109" i="3"/>
  <c r="T109" i="3"/>
  <c r="X108" i="3"/>
  <c r="U108" i="3"/>
  <c r="T108" i="3"/>
  <c r="X107" i="3"/>
  <c r="U107" i="3"/>
  <c r="T107" i="3"/>
  <c r="X106" i="3"/>
  <c r="U106" i="3"/>
  <c r="T106" i="3"/>
  <c r="X105" i="3"/>
  <c r="U105" i="3"/>
  <c r="T105" i="3"/>
  <c r="X104" i="3"/>
  <c r="U104" i="3"/>
  <c r="T104" i="3"/>
  <c r="X103" i="3"/>
  <c r="U103" i="3"/>
  <c r="T103" i="3"/>
  <c r="X102" i="3"/>
  <c r="U102" i="3"/>
  <c r="T102" i="3"/>
  <c r="X101" i="3"/>
  <c r="U101" i="3"/>
  <c r="T101" i="3"/>
  <c r="X100" i="3"/>
  <c r="U100" i="3"/>
  <c r="T100" i="3"/>
  <c r="X99" i="3"/>
  <c r="U99" i="3"/>
  <c r="T99" i="3"/>
  <c r="X98" i="3"/>
  <c r="U98" i="3"/>
  <c r="T98" i="3"/>
  <c r="X97" i="3"/>
  <c r="U97" i="3"/>
  <c r="T97" i="3"/>
  <c r="X96" i="3"/>
  <c r="U96" i="3"/>
  <c r="T96" i="3"/>
  <c r="X95" i="3"/>
  <c r="U95" i="3"/>
  <c r="T95" i="3"/>
  <c r="X94" i="3"/>
  <c r="U94" i="3"/>
  <c r="T94" i="3"/>
  <c r="X93" i="3"/>
  <c r="U93" i="3"/>
  <c r="T93" i="3"/>
  <c r="X92" i="3"/>
  <c r="U92" i="3"/>
  <c r="T92" i="3"/>
  <c r="X91" i="3"/>
  <c r="U91" i="3"/>
  <c r="T91" i="3"/>
  <c r="X90" i="3"/>
  <c r="U90" i="3"/>
  <c r="T90" i="3"/>
  <c r="X89" i="3"/>
  <c r="U89" i="3"/>
  <c r="T89" i="3"/>
  <c r="X88" i="3"/>
  <c r="U88" i="3"/>
  <c r="T88" i="3"/>
  <c r="X87" i="3"/>
  <c r="U87" i="3"/>
  <c r="T87" i="3"/>
  <c r="X86" i="3"/>
  <c r="U86" i="3"/>
  <c r="T86" i="3"/>
  <c r="X82" i="3"/>
  <c r="U82" i="3"/>
  <c r="T82" i="3"/>
  <c r="X78" i="3"/>
  <c r="U78" i="3"/>
  <c r="T78" i="3"/>
  <c r="X75" i="3"/>
  <c r="U75" i="3"/>
  <c r="T75" i="3"/>
  <c r="X71" i="3"/>
  <c r="U71" i="3"/>
  <c r="T71" i="3"/>
  <c r="X67" i="3"/>
  <c r="U67" i="3"/>
  <c r="T67" i="3"/>
  <c r="X64" i="3"/>
  <c r="U64" i="3"/>
  <c r="T64" i="3"/>
  <c r="X61" i="3"/>
  <c r="U61" i="3"/>
  <c r="T61" i="3"/>
  <c r="X60" i="3"/>
  <c r="U60" i="3"/>
  <c r="T60" i="3"/>
  <c r="X57" i="3"/>
  <c r="U57" i="3"/>
  <c r="T57" i="3"/>
  <c r="X55" i="3"/>
  <c r="U55" i="3"/>
  <c r="T55" i="3"/>
  <c r="X54" i="3"/>
  <c r="U54" i="3"/>
  <c r="T54" i="3"/>
  <c r="X53" i="3"/>
  <c r="U53" i="3"/>
  <c r="T53" i="3"/>
  <c r="X52" i="3"/>
  <c r="U52" i="3"/>
  <c r="T52" i="3"/>
  <c r="X51" i="3"/>
  <c r="U51" i="3"/>
  <c r="T51" i="3"/>
  <c r="X50" i="3"/>
  <c r="U50" i="3"/>
  <c r="T50" i="3"/>
  <c r="X49" i="3"/>
  <c r="U49" i="3"/>
  <c r="T49" i="3"/>
  <c r="X48" i="3"/>
  <c r="U48" i="3"/>
  <c r="T48" i="3"/>
  <c r="X47" i="3"/>
  <c r="U47" i="3"/>
  <c r="T47" i="3"/>
  <c r="X46" i="3"/>
  <c r="U46" i="3"/>
  <c r="T46" i="3"/>
  <c r="X45" i="3"/>
  <c r="U45" i="3"/>
  <c r="T45" i="3"/>
  <c r="X44" i="3"/>
  <c r="U44" i="3"/>
  <c r="T44" i="3"/>
  <c r="X43" i="3"/>
  <c r="U43" i="3"/>
  <c r="T43" i="3"/>
  <c r="X42" i="3"/>
  <c r="U42" i="3"/>
  <c r="T42" i="3"/>
  <c r="X41" i="3"/>
  <c r="U41" i="3"/>
  <c r="T41" i="3"/>
  <c r="X40" i="3"/>
  <c r="U40" i="3"/>
  <c r="T40" i="3"/>
  <c r="X39" i="3"/>
  <c r="U39" i="3"/>
  <c r="T39" i="3"/>
  <c r="X38" i="3"/>
  <c r="U38" i="3"/>
  <c r="T38" i="3"/>
  <c r="X37" i="3"/>
  <c r="U37" i="3"/>
  <c r="T37" i="3"/>
  <c r="X36" i="3"/>
  <c r="U36" i="3"/>
  <c r="T36" i="3"/>
  <c r="X35" i="3"/>
  <c r="U35" i="3"/>
  <c r="T35" i="3"/>
  <c r="X34" i="3"/>
  <c r="U34" i="3"/>
  <c r="T34" i="3"/>
  <c r="X33" i="3"/>
  <c r="U33" i="3"/>
  <c r="T33" i="3"/>
  <c r="X32" i="3"/>
  <c r="U32" i="3"/>
  <c r="T32" i="3"/>
  <c r="X25" i="3"/>
  <c r="U25" i="3"/>
  <c r="T25" i="3"/>
  <c r="X24" i="3"/>
  <c r="U24" i="3"/>
  <c r="T24" i="3"/>
  <c r="X23" i="3"/>
  <c r="U23" i="3"/>
  <c r="T23" i="3"/>
  <c r="X22" i="3"/>
  <c r="U22" i="3"/>
  <c r="T22" i="3"/>
  <c r="X21" i="3"/>
  <c r="U21" i="3"/>
  <c r="T21" i="3"/>
  <c r="X20" i="3"/>
  <c r="U20" i="3"/>
  <c r="T20" i="3"/>
  <c r="X19" i="3"/>
  <c r="U19" i="3"/>
  <c r="T19" i="3"/>
  <c r="X18" i="3"/>
  <c r="U18" i="3"/>
  <c r="T18" i="3"/>
  <c r="X17" i="3"/>
  <c r="U17" i="3"/>
  <c r="T17" i="3"/>
  <c r="X16" i="3"/>
  <c r="U16" i="3"/>
  <c r="T16" i="3"/>
  <c r="X15" i="3"/>
  <c r="U15" i="3"/>
  <c r="T15" i="3"/>
  <c r="X14" i="3"/>
  <c r="U14" i="3"/>
  <c r="T14" i="3"/>
  <c r="X13" i="3"/>
  <c r="U13" i="3"/>
  <c r="T13" i="3"/>
  <c r="X12" i="3"/>
  <c r="U12" i="3"/>
  <c r="T12" i="3"/>
  <c r="X11" i="3"/>
  <c r="U11" i="3"/>
  <c r="T11" i="3"/>
  <c r="X10" i="3"/>
  <c r="U10" i="3"/>
  <c r="T10" i="3"/>
  <c r="X9" i="3"/>
  <c r="U9" i="3"/>
  <c r="T9" i="3"/>
  <c r="X8" i="3"/>
  <c r="U8" i="3"/>
  <c r="T8" i="3"/>
  <c r="X7" i="3"/>
  <c r="U7" i="3"/>
  <c r="T7" i="3"/>
  <c r="X6" i="3"/>
  <c r="U6" i="3"/>
  <c r="T6" i="3"/>
  <c r="X5" i="3"/>
  <c r="U5" i="3"/>
  <c r="T5" i="3"/>
  <c r="X26" i="3"/>
  <c r="U26" i="3"/>
  <c r="T26" i="3"/>
  <c r="X27" i="3"/>
  <c r="U27" i="3"/>
  <c r="T27" i="3"/>
  <c r="X28" i="3"/>
  <c r="U28" i="3"/>
  <c r="T28" i="3"/>
  <c r="X29" i="3"/>
  <c r="U29" i="3"/>
  <c r="T29" i="3"/>
  <c r="X30" i="3"/>
  <c r="U30" i="3"/>
  <c r="T30" i="3"/>
  <c r="X31" i="3"/>
  <c r="U31" i="3"/>
  <c r="T31" i="3"/>
  <c r="X56" i="3"/>
  <c r="U56" i="3"/>
  <c r="T56" i="3"/>
  <c r="X179" i="3"/>
  <c r="U179" i="3"/>
  <c r="T179" i="3"/>
  <c r="X180" i="3"/>
  <c r="U180" i="3"/>
  <c r="T180" i="3"/>
  <c r="X181" i="3"/>
  <c r="U181" i="3"/>
  <c r="T181" i="3"/>
  <c r="X182" i="3"/>
  <c r="U182" i="3"/>
  <c r="T182" i="3"/>
  <c r="X183" i="3"/>
  <c r="U183" i="3"/>
  <c r="T183" i="3"/>
  <c r="X184" i="3"/>
  <c r="U184" i="3"/>
  <c r="T184" i="3"/>
  <c r="X185" i="3"/>
  <c r="U185" i="3"/>
  <c r="T185" i="3"/>
  <c r="U186" i="3"/>
  <c r="T186" i="3"/>
  <c r="X186" i="3"/>
  <c r="X187" i="3"/>
  <c r="U187" i="3"/>
  <c r="T187" i="3"/>
  <c r="X188" i="3"/>
  <c r="U188" i="3"/>
  <c r="T188" i="3"/>
  <c r="X189" i="3"/>
  <c r="U189" i="3"/>
  <c r="T189" i="3"/>
  <c r="X190" i="3"/>
  <c r="U190" i="3"/>
  <c r="T190" i="3"/>
  <c r="X191" i="3"/>
  <c r="U191" i="3"/>
  <c r="T191" i="3"/>
  <c r="X192" i="3"/>
  <c r="U192" i="3"/>
  <c r="T192" i="3"/>
  <c r="T193" i="3"/>
  <c r="U193" i="3"/>
  <c r="X193" i="3"/>
  <c r="X194" i="3"/>
  <c r="U194" i="3"/>
  <c r="T194" i="3"/>
  <c r="X195" i="3"/>
  <c r="U195" i="3"/>
  <c r="T195" i="3"/>
  <c r="X210" i="3"/>
  <c r="U210" i="3"/>
  <c r="T210" i="3"/>
  <c r="X211" i="3"/>
  <c r="U211" i="3"/>
  <c r="T211" i="3"/>
  <c r="X212" i="3"/>
  <c r="U212" i="3"/>
  <c r="T212" i="3"/>
  <c r="X213" i="3"/>
  <c r="U213" i="3"/>
  <c r="T213" i="3"/>
  <c r="X214" i="3"/>
  <c r="U214" i="3"/>
  <c r="T214" i="3"/>
  <c r="V134" i="3" l="1"/>
  <c r="I89" i="5" s="1"/>
  <c r="H89" i="5"/>
  <c r="S134" i="3"/>
  <c r="G89" i="5" s="1"/>
  <c r="M89" i="5" s="1"/>
  <c r="B29" i="1"/>
  <c r="B30" i="1"/>
  <c r="B31" i="1"/>
  <c r="V133" i="3"/>
  <c r="I85" i="5" s="1"/>
  <c r="H85" i="5"/>
  <c r="S133" i="3"/>
  <c r="G85" i="5" s="1"/>
  <c r="M85" i="5" s="1"/>
  <c r="V237" i="3"/>
  <c r="I212" i="5" s="1"/>
  <c r="H212" i="5"/>
  <c r="S237" i="3"/>
  <c r="G212" i="5" s="1"/>
  <c r="M212" i="5" s="1"/>
  <c r="S236" i="3"/>
  <c r="G207" i="5" s="1"/>
  <c r="M207" i="5" s="1"/>
  <c r="H207" i="5"/>
  <c r="V236" i="3"/>
  <c r="I207" i="5" s="1"/>
  <c r="H209" i="5"/>
  <c r="V235" i="3"/>
  <c r="I209" i="5" s="1"/>
  <c r="S235" i="3"/>
  <c r="G209" i="5" s="1"/>
  <c r="M209" i="5" s="1"/>
  <c r="V234" i="3"/>
  <c r="I208" i="5" s="1"/>
  <c r="H208" i="5"/>
  <c r="S234" i="3"/>
  <c r="G208" i="5" s="1"/>
  <c r="M208" i="5" s="1"/>
  <c r="V233" i="3"/>
  <c r="I206" i="5" s="1"/>
  <c r="H206" i="5"/>
  <c r="S233" i="3"/>
  <c r="G206" i="5" s="1"/>
  <c r="M206" i="5" s="1"/>
  <c r="V232" i="3"/>
  <c r="I211" i="5" s="1"/>
  <c r="S232" i="3"/>
  <c r="H211" i="5"/>
  <c r="V231" i="3"/>
  <c r="I78" i="5" s="1"/>
  <c r="H78" i="5"/>
  <c r="S231" i="3"/>
  <c r="G78" i="5" s="1"/>
  <c r="M78" i="5" s="1"/>
  <c r="V230" i="3"/>
  <c r="I79" i="5" s="1"/>
  <c r="S230" i="3"/>
  <c r="G79" i="5" s="1"/>
  <c r="M79" i="5" s="1"/>
  <c r="H79" i="5"/>
  <c r="V229" i="3"/>
  <c r="I77" i="5" s="1"/>
  <c r="H77" i="5"/>
  <c r="S229" i="3"/>
  <c r="G77" i="5" s="1"/>
  <c r="M77" i="5" s="1"/>
  <c r="V228" i="3"/>
  <c r="I80" i="5" s="1"/>
  <c r="H80" i="5"/>
  <c r="S228" i="3"/>
  <c r="G80" i="5" s="1"/>
  <c r="M80" i="5" s="1"/>
  <c r="V227" i="3"/>
  <c r="I76" i="5" s="1"/>
  <c r="H76" i="5"/>
  <c r="S227" i="3"/>
  <c r="G76" i="5" s="1"/>
  <c r="M76" i="5" s="1"/>
  <c r="V226" i="3"/>
  <c r="I75" i="5" s="1"/>
  <c r="H75" i="5"/>
  <c r="S226" i="3"/>
  <c r="G75" i="5" s="1"/>
  <c r="M75" i="5" s="1"/>
  <c r="V225" i="3"/>
  <c r="I74" i="5" s="1"/>
  <c r="H74" i="5"/>
  <c r="S225" i="3"/>
  <c r="V224" i="3"/>
  <c r="I47" i="5" s="1"/>
  <c r="H47" i="5"/>
  <c r="S224" i="3"/>
  <c r="G47" i="5" s="1"/>
  <c r="M47" i="5" s="1"/>
  <c r="V223" i="3"/>
  <c r="I49" i="5" s="1"/>
  <c r="H49" i="5"/>
  <c r="S223" i="3"/>
  <c r="G49" i="5" s="1"/>
  <c r="M49" i="5" s="1"/>
  <c r="V222" i="3"/>
  <c r="I44" i="5" s="1"/>
  <c r="H44" i="5"/>
  <c r="S222" i="3"/>
  <c r="G44" i="5" s="1"/>
  <c r="M44" i="5" s="1"/>
  <c r="V221" i="3"/>
  <c r="I50" i="5" s="1"/>
  <c r="H50" i="5"/>
  <c r="S221" i="3"/>
  <c r="G50" i="5" s="1"/>
  <c r="M50" i="5" s="1"/>
  <c r="V220" i="3"/>
  <c r="I48" i="5" s="1"/>
  <c r="H48" i="5"/>
  <c r="S220" i="3"/>
  <c r="V219" i="3"/>
  <c r="I172" i="5" s="1"/>
  <c r="H172" i="5"/>
  <c r="S219" i="3"/>
  <c r="G172" i="5" s="1"/>
  <c r="M172" i="5" s="1"/>
  <c r="V218" i="3"/>
  <c r="I170" i="5" s="1"/>
  <c r="H170" i="5"/>
  <c r="S218" i="3"/>
  <c r="G170" i="5" s="1"/>
  <c r="M170" i="5" s="1"/>
  <c r="V217" i="3"/>
  <c r="I173" i="5" s="1"/>
  <c r="H173" i="5"/>
  <c r="S217" i="3"/>
  <c r="G173" i="5" s="1"/>
  <c r="M173" i="5" s="1"/>
  <c r="V216" i="3"/>
  <c r="I171" i="5" s="1"/>
  <c r="H171" i="5"/>
  <c r="S216" i="3"/>
  <c r="V215" i="3"/>
  <c r="I73" i="5" s="1"/>
  <c r="H73" i="5"/>
  <c r="S215" i="3"/>
  <c r="G73" i="5" s="1"/>
  <c r="M73" i="5" s="1"/>
  <c r="V209" i="3"/>
  <c r="I66" i="5" s="1"/>
  <c r="H66" i="5"/>
  <c r="S209" i="3"/>
  <c r="G66" i="5" s="1"/>
  <c r="M66" i="5" s="1"/>
  <c r="V208" i="3"/>
  <c r="I71" i="5" s="1"/>
  <c r="H71" i="5"/>
  <c r="S208" i="3"/>
  <c r="V207" i="3"/>
  <c r="I129" i="5" s="1"/>
  <c r="H129" i="5"/>
  <c r="S207" i="3"/>
  <c r="G129" i="5" s="1"/>
  <c r="M129" i="5" s="1"/>
  <c r="V206" i="3"/>
  <c r="I118" i="5" s="1"/>
  <c r="H118" i="5"/>
  <c r="S206" i="3"/>
  <c r="G118" i="5" s="1"/>
  <c r="M118" i="5" s="1"/>
  <c r="V205" i="3"/>
  <c r="I117" i="5" s="1"/>
  <c r="H117" i="5"/>
  <c r="S205" i="3"/>
  <c r="G117" i="5" s="1"/>
  <c r="M117" i="5" s="1"/>
  <c r="V204" i="3"/>
  <c r="I119" i="5" s="1"/>
  <c r="H119" i="5"/>
  <c r="S204" i="3"/>
  <c r="G119" i="5" s="1"/>
  <c r="M119" i="5" s="1"/>
  <c r="V203" i="3"/>
  <c r="I130" i="5" s="1"/>
  <c r="H130" i="5"/>
  <c r="S203" i="3"/>
  <c r="G130" i="5" s="1"/>
  <c r="M130" i="5" s="1"/>
  <c r="V202" i="3"/>
  <c r="I106" i="5" s="1"/>
  <c r="H106" i="5"/>
  <c r="S202" i="3"/>
  <c r="G106" i="5" s="1"/>
  <c r="M106" i="5" s="1"/>
  <c r="V201" i="3"/>
  <c r="I105" i="5" s="1"/>
  <c r="H105" i="5"/>
  <c r="S201" i="3"/>
  <c r="G105" i="5" s="1"/>
  <c r="M105" i="5" s="1"/>
  <c r="V200" i="3"/>
  <c r="I116" i="5" s="1"/>
  <c r="H116" i="5"/>
  <c r="S200" i="3"/>
  <c r="V199" i="3"/>
  <c r="I51" i="5" s="1"/>
  <c r="H51" i="5"/>
  <c r="S199" i="3"/>
  <c r="G51" i="5" s="1"/>
  <c r="M51" i="5" s="1"/>
  <c r="V198" i="3"/>
  <c r="I54" i="5" s="1"/>
  <c r="H54" i="5"/>
  <c r="S198" i="3"/>
  <c r="G54" i="5" s="1"/>
  <c r="M54" i="5" s="1"/>
  <c r="V197" i="3"/>
  <c r="I53" i="5" s="1"/>
  <c r="H53" i="5"/>
  <c r="S197" i="3"/>
  <c r="G53" i="5" s="1"/>
  <c r="M53" i="5" s="1"/>
  <c r="V196" i="3"/>
  <c r="I52" i="5" s="1"/>
  <c r="H52" i="5"/>
  <c r="S196" i="3"/>
  <c r="V178" i="3"/>
  <c r="I220" i="5" s="1"/>
  <c r="H220" i="5"/>
  <c r="S178" i="3"/>
  <c r="G220" i="5" s="1"/>
  <c r="M220" i="5" s="1"/>
  <c r="V177" i="3"/>
  <c r="I221" i="5" s="1"/>
  <c r="H221" i="5"/>
  <c r="S177" i="3"/>
  <c r="G221" i="5" s="1"/>
  <c r="M221" i="5" s="1"/>
  <c r="V176" i="3"/>
  <c r="I222" i="5" s="1"/>
  <c r="H222" i="5"/>
  <c r="S176" i="3"/>
  <c r="V175" i="3"/>
  <c r="I7" i="5" s="1"/>
  <c r="H7" i="5"/>
  <c r="S175" i="3"/>
  <c r="G7" i="5" s="1"/>
  <c r="M7" i="5" s="1"/>
  <c r="V174" i="3"/>
  <c r="I14" i="5" s="1"/>
  <c r="H14" i="5"/>
  <c r="S174" i="3"/>
  <c r="G14" i="5" s="1"/>
  <c r="M14" i="5" s="1"/>
  <c r="V173" i="3"/>
  <c r="I8" i="5" s="1"/>
  <c r="H8" i="5"/>
  <c r="S173" i="3"/>
  <c r="G8" i="5" s="1"/>
  <c r="M8" i="5" s="1"/>
  <c r="V172" i="3"/>
  <c r="I9" i="5" s="1"/>
  <c r="H9" i="5"/>
  <c r="S172" i="3"/>
  <c r="G9" i="5" s="1"/>
  <c r="M9" i="5" s="1"/>
  <c r="V171" i="3"/>
  <c r="I6" i="5" s="1"/>
  <c r="H6" i="5"/>
  <c r="S171" i="3"/>
  <c r="G6" i="5" s="1"/>
  <c r="M6" i="5" s="1"/>
  <c r="V170" i="3"/>
  <c r="I11" i="5" s="1"/>
  <c r="H11" i="5"/>
  <c r="S170" i="3"/>
  <c r="G11" i="5" s="1"/>
  <c r="M11" i="5" s="1"/>
  <c r="V169" i="3"/>
  <c r="I13" i="5" s="1"/>
  <c r="H13" i="5"/>
  <c r="S169" i="3"/>
  <c r="G13" i="5" s="1"/>
  <c r="M13" i="5" s="1"/>
  <c r="V168" i="3"/>
  <c r="I5" i="5" s="1"/>
  <c r="H5" i="5"/>
  <c r="S168" i="3"/>
  <c r="G5" i="5" s="1"/>
  <c r="V167" i="3"/>
  <c r="I10" i="5" s="1"/>
  <c r="H10" i="5"/>
  <c r="S167" i="3"/>
  <c r="V166" i="3"/>
  <c r="I12" i="5" s="1"/>
  <c r="H12" i="5"/>
  <c r="S166" i="3"/>
  <c r="V165" i="3"/>
  <c r="I203" i="5" s="1"/>
  <c r="H203" i="5"/>
  <c r="S165" i="3"/>
  <c r="G203" i="5" s="1"/>
  <c r="M203" i="5" s="1"/>
  <c r="V164" i="3"/>
  <c r="I205" i="5" s="1"/>
  <c r="H205" i="5"/>
  <c r="S164" i="3"/>
  <c r="G205" i="5" s="1"/>
  <c r="M205" i="5" s="1"/>
  <c r="V163" i="3"/>
  <c r="I204" i="5" s="1"/>
  <c r="H204" i="5"/>
  <c r="S163" i="3"/>
  <c r="G204" i="5" s="1"/>
  <c r="M204" i="5" s="1"/>
  <c r="V162" i="3"/>
  <c r="I202" i="5" s="1"/>
  <c r="H202" i="5"/>
  <c r="S162" i="3"/>
  <c r="V161" i="3"/>
  <c r="I112" i="5" s="1"/>
  <c r="H112" i="5"/>
  <c r="S161" i="3"/>
  <c r="G112" i="5" s="1"/>
  <c r="M112" i="5" s="1"/>
  <c r="V160" i="3"/>
  <c r="I113" i="5" s="1"/>
  <c r="H113" i="5"/>
  <c r="S160" i="3"/>
  <c r="G113" i="5" s="1"/>
  <c r="M113" i="5" s="1"/>
  <c r="V159" i="3"/>
  <c r="I114" i="5" s="1"/>
  <c r="H114" i="5"/>
  <c r="S159" i="3"/>
  <c r="V158" i="3"/>
  <c r="I174" i="5" s="1"/>
  <c r="H174" i="5"/>
  <c r="S158" i="3"/>
  <c r="G174" i="5" s="1"/>
  <c r="M174" i="5" s="1"/>
  <c r="V157" i="3"/>
  <c r="I177" i="5" s="1"/>
  <c r="H177" i="5"/>
  <c r="S157" i="3"/>
  <c r="G177" i="5" s="1"/>
  <c r="M177" i="5" s="1"/>
  <c r="V156" i="3"/>
  <c r="I178" i="5" s="1"/>
  <c r="H178" i="5"/>
  <c r="S156" i="3"/>
  <c r="G178" i="5" s="1"/>
  <c r="M178" i="5" s="1"/>
  <c r="V155" i="3"/>
  <c r="I181" i="5" s="1"/>
  <c r="H181" i="5"/>
  <c r="S155" i="3"/>
  <c r="G181" i="5" s="1"/>
  <c r="M181" i="5" s="1"/>
  <c r="V154" i="3"/>
  <c r="I180" i="5" s="1"/>
  <c r="H180" i="5"/>
  <c r="S154" i="3"/>
  <c r="G180" i="5" s="1"/>
  <c r="M180" i="5" s="1"/>
  <c r="V153" i="3"/>
  <c r="I176" i="5" s="1"/>
  <c r="H176" i="5"/>
  <c r="S153" i="3"/>
  <c r="G176" i="5" s="1"/>
  <c r="M176" i="5" s="1"/>
  <c r="V152" i="3"/>
  <c r="I179" i="5" s="1"/>
  <c r="H179" i="5"/>
  <c r="S152" i="3"/>
  <c r="G179" i="5" s="1"/>
  <c r="M179" i="5" s="1"/>
  <c r="V151" i="3"/>
  <c r="I175" i="5" s="1"/>
  <c r="H175" i="5"/>
  <c r="S151" i="3"/>
  <c r="V150" i="3"/>
  <c r="I224" i="5" s="1"/>
  <c r="H224" i="5"/>
  <c r="S150" i="3"/>
  <c r="G224" i="5" s="1"/>
  <c r="M224" i="5" s="1"/>
  <c r="V149" i="3"/>
  <c r="I226" i="5" s="1"/>
  <c r="H226" i="5"/>
  <c r="S149" i="3"/>
  <c r="G226" i="5" s="1"/>
  <c r="M226" i="5" s="1"/>
  <c r="V145" i="3"/>
  <c r="I189" i="5" s="1"/>
  <c r="H189" i="5"/>
  <c r="S145" i="3"/>
  <c r="G189" i="5" s="1"/>
  <c r="M189" i="5" s="1"/>
  <c r="V143" i="3"/>
  <c r="I191" i="5" s="1"/>
  <c r="H191" i="5"/>
  <c r="S143" i="3"/>
  <c r="G191" i="5" s="1"/>
  <c r="M191" i="5" s="1"/>
  <c r="V142" i="3"/>
  <c r="I188" i="5" s="1"/>
  <c r="H188" i="5"/>
  <c r="S142" i="3"/>
  <c r="V140" i="3"/>
  <c r="I95" i="5" s="1"/>
  <c r="H95" i="5"/>
  <c r="S140" i="3"/>
  <c r="G95" i="5" s="1"/>
  <c r="M95" i="5" s="1"/>
  <c r="V138" i="3"/>
  <c r="I92" i="5" s="1"/>
  <c r="H92" i="5"/>
  <c r="S138" i="3"/>
  <c r="G92" i="5" s="1"/>
  <c r="M92" i="5" s="1"/>
  <c r="V137" i="3"/>
  <c r="I94" i="5" s="1"/>
  <c r="H94" i="5"/>
  <c r="S137" i="3"/>
  <c r="G94" i="5" s="1"/>
  <c r="M94" i="5" s="1"/>
  <c r="V135" i="3"/>
  <c r="I88" i="5" s="1"/>
  <c r="H88" i="5"/>
  <c r="S135" i="3"/>
  <c r="G88" i="5" s="1"/>
  <c r="M88" i="5" s="1"/>
  <c r="V131" i="3"/>
  <c r="I86" i="5" s="1"/>
  <c r="H86" i="5"/>
  <c r="S131" i="3"/>
  <c r="V129" i="3"/>
  <c r="I45" i="5" s="1"/>
  <c r="H45" i="5"/>
  <c r="S129" i="3"/>
  <c r="G45" i="5" s="1"/>
  <c r="M45" i="5" s="1"/>
  <c r="V128" i="3"/>
  <c r="I46" i="5" s="1"/>
  <c r="H46" i="5"/>
  <c r="S128" i="3"/>
  <c r="G46" i="5" s="1"/>
  <c r="M46" i="5" s="1"/>
  <c r="V126" i="3"/>
  <c r="I214" i="5" s="1"/>
  <c r="H214" i="5"/>
  <c r="S126" i="3"/>
  <c r="G214" i="5" s="1"/>
  <c r="M214" i="5" s="1"/>
  <c r="V125" i="3"/>
  <c r="I215" i="5" s="1"/>
  <c r="H215" i="5"/>
  <c r="S125" i="3"/>
  <c r="G215" i="5" s="1"/>
  <c r="M215" i="5" s="1"/>
  <c r="V123" i="3"/>
  <c r="I216" i="5" s="1"/>
  <c r="H216" i="5"/>
  <c r="S123" i="3"/>
  <c r="V122" i="3"/>
  <c r="I183" i="5" s="1"/>
  <c r="H183" i="5"/>
  <c r="S122" i="3"/>
  <c r="G183" i="5" s="1"/>
  <c r="M183" i="5" s="1"/>
  <c r="V120" i="3"/>
  <c r="I184" i="5" s="1"/>
  <c r="H184" i="5"/>
  <c r="S120" i="3"/>
  <c r="G184" i="5" s="1"/>
  <c r="M184" i="5" s="1"/>
  <c r="V118" i="3"/>
  <c r="I187" i="5" s="1"/>
  <c r="H187" i="5"/>
  <c r="S118" i="3"/>
  <c r="G187" i="5" s="1"/>
  <c r="M187" i="5" s="1"/>
  <c r="V85" i="3"/>
  <c r="I140" i="5" s="1"/>
  <c r="H140" i="5"/>
  <c r="S85" i="3"/>
  <c r="G140" i="5" s="1"/>
  <c r="M140" i="5" s="1"/>
  <c r="V83" i="3"/>
  <c r="I138" i="5" s="1"/>
  <c r="H138" i="5"/>
  <c r="S83" i="3"/>
  <c r="V81" i="3"/>
  <c r="I236" i="5" s="1"/>
  <c r="H236" i="5"/>
  <c r="S81" i="3"/>
  <c r="G236" i="5" s="1"/>
  <c r="M236" i="5" s="1"/>
  <c r="V79" i="3"/>
  <c r="I238" i="5" s="1"/>
  <c r="H238" i="5"/>
  <c r="S79" i="3"/>
  <c r="G238" i="5" s="1"/>
  <c r="M238" i="5" s="1"/>
  <c r="V74" i="3"/>
  <c r="I41" i="5" s="1"/>
  <c r="H41" i="5"/>
  <c r="S74" i="3"/>
  <c r="V72" i="3"/>
  <c r="I81" i="5" s="1"/>
  <c r="H81" i="5"/>
  <c r="S72" i="3"/>
  <c r="G81" i="5" s="1"/>
  <c r="M81" i="5" s="1"/>
  <c r="V70" i="3"/>
  <c r="I82" i="5" s="1"/>
  <c r="H82" i="5"/>
  <c r="S70" i="3"/>
  <c r="G82" i="5" s="1"/>
  <c r="M82" i="5" s="1"/>
  <c r="V68" i="3"/>
  <c r="I107" i="5" s="1"/>
  <c r="H107" i="5"/>
  <c r="S68" i="3"/>
  <c r="G107" i="5" s="1"/>
  <c r="M107" i="5" s="1"/>
  <c r="V65" i="3"/>
  <c r="I103" i="5" s="1"/>
  <c r="H103" i="5"/>
  <c r="S65" i="3"/>
  <c r="G103" i="5" s="1"/>
  <c r="M103" i="5" s="1"/>
  <c r="V62" i="3"/>
  <c r="I108" i="5" s="1"/>
  <c r="H108" i="5"/>
  <c r="S62" i="3"/>
  <c r="G108" i="5" s="1"/>
  <c r="M108" i="5" s="1"/>
  <c r="V58" i="3"/>
  <c r="I132" i="5" s="1"/>
  <c r="H132" i="5"/>
  <c r="S58" i="3"/>
  <c r="G132" i="5" s="1"/>
  <c r="M132" i="5" s="1"/>
  <c r="V148" i="3"/>
  <c r="I223" i="5" s="1"/>
  <c r="H223" i="5"/>
  <c r="S148" i="3"/>
  <c r="G223" i="5" s="1"/>
  <c r="M223" i="5" s="1"/>
  <c r="V147" i="3"/>
  <c r="I225" i="5" s="1"/>
  <c r="H225" i="5"/>
  <c r="S147" i="3"/>
  <c r="G225" i="5" s="1"/>
  <c r="M225" i="5" s="1"/>
  <c r="V146" i="3"/>
  <c r="I227" i="5" s="1"/>
  <c r="H227" i="5"/>
  <c r="S146" i="3"/>
  <c r="V144" i="3"/>
  <c r="I190" i="5" s="1"/>
  <c r="H190" i="5"/>
  <c r="S144" i="3"/>
  <c r="G190" i="5" s="1"/>
  <c r="M190" i="5" s="1"/>
  <c r="V141" i="3"/>
  <c r="I87" i="5" s="1"/>
  <c r="H87" i="5"/>
  <c r="S141" i="3"/>
  <c r="G87" i="5" s="1"/>
  <c r="M87" i="5" s="1"/>
  <c r="V139" i="3"/>
  <c r="I91" i="5" s="1"/>
  <c r="H91" i="5"/>
  <c r="S139" i="3"/>
  <c r="G91" i="5" s="1"/>
  <c r="M91" i="5" s="1"/>
  <c r="V136" i="3"/>
  <c r="I93" i="5" s="1"/>
  <c r="H93" i="5"/>
  <c r="S136" i="3"/>
  <c r="G93" i="5" s="1"/>
  <c r="M93" i="5" s="1"/>
  <c r="V238" i="3"/>
  <c r="I210" i="5" s="1"/>
  <c r="H210" i="5"/>
  <c r="S238" i="3"/>
  <c r="G210" i="5" s="1"/>
  <c r="M210" i="5" s="1"/>
  <c r="V132" i="3"/>
  <c r="I90" i="5" s="1"/>
  <c r="H90" i="5"/>
  <c r="S132" i="3"/>
  <c r="G90" i="5" s="1"/>
  <c r="M90" i="5" s="1"/>
  <c r="V130" i="3"/>
  <c r="I43" i="5" s="1"/>
  <c r="H43" i="5"/>
  <c r="S130" i="3"/>
  <c r="G43" i="5" s="1"/>
  <c r="M43" i="5" s="1"/>
  <c r="V127" i="3"/>
  <c r="I42" i="5" s="1"/>
  <c r="H42" i="5"/>
  <c r="S127" i="3"/>
  <c r="V124" i="3"/>
  <c r="I213" i="5" s="1"/>
  <c r="H213" i="5"/>
  <c r="S124" i="3"/>
  <c r="G213" i="5" s="1"/>
  <c r="M213" i="5" s="1"/>
  <c r="V121" i="3"/>
  <c r="I185" i="5" s="1"/>
  <c r="H185" i="5"/>
  <c r="S121" i="3"/>
  <c r="G185" i="5" s="1"/>
  <c r="M185" i="5" s="1"/>
  <c r="V119" i="3"/>
  <c r="I182" i="5" s="1"/>
  <c r="H182" i="5"/>
  <c r="S119" i="3"/>
  <c r="G182" i="5" s="1"/>
  <c r="M182" i="5" s="1"/>
  <c r="V84" i="3"/>
  <c r="I139" i="5" s="1"/>
  <c r="H139" i="5"/>
  <c r="S84" i="3"/>
  <c r="G139" i="5" s="1"/>
  <c r="M139" i="5" s="1"/>
  <c r="V80" i="3"/>
  <c r="I234" i="5" s="1"/>
  <c r="H234" i="5"/>
  <c r="S80" i="3"/>
  <c r="G234" i="5" s="1"/>
  <c r="M234" i="5" s="1"/>
  <c r="V77" i="3"/>
  <c r="I235" i="5" s="1"/>
  <c r="H235" i="5"/>
  <c r="S77" i="3"/>
  <c r="V76" i="3"/>
  <c r="I40" i="5" s="1"/>
  <c r="H40" i="5"/>
  <c r="S76" i="3"/>
  <c r="G40" i="5" s="1"/>
  <c r="M40" i="5" s="1"/>
  <c r="V73" i="3"/>
  <c r="I32" i="5" s="1"/>
  <c r="H32" i="5"/>
  <c r="S73" i="3"/>
  <c r="V69" i="3"/>
  <c r="I84" i="5" s="1"/>
  <c r="H84" i="5"/>
  <c r="S69" i="3"/>
  <c r="V66" i="3"/>
  <c r="I110" i="5" s="1"/>
  <c r="H110" i="5"/>
  <c r="S66" i="3"/>
  <c r="G110" i="5" s="1"/>
  <c r="M110" i="5" s="1"/>
  <c r="V63" i="3"/>
  <c r="I111" i="5" s="1"/>
  <c r="H111" i="5"/>
  <c r="S63" i="3"/>
  <c r="G111" i="5" s="1"/>
  <c r="M111" i="5" s="1"/>
  <c r="V59" i="3"/>
  <c r="I131" i="5" s="1"/>
  <c r="H131" i="5"/>
  <c r="S59" i="3"/>
  <c r="G131" i="5" s="1"/>
  <c r="M131" i="5" s="1"/>
  <c r="V117" i="3"/>
  <c r="I186" i="5" s="1"/>
  <c r="H186" i="5"/>
  <c r="S117" i="3"/>
  <c r="V116" i="3"/>
  <c r="I151" i="5" s="1"/>
  <c r="H151" i="5"/>
  <c r="S116" i="3"/>
  <c r="G151" i="5" s="1"/>
  <c r="M151" i="5" s="1"/>
  <c r="V115" i="3"/>
  <c r="I152" i="5" s="1"/>
  <c r="H152" i="5"/>
  <c r="S115" i="3"/>
  <c r="V114" i="3"/>
  <c r="I100" i="5" s="1"/>
  <c r="H100" i="5"/>
  <c r="S114" i="3"/>
  <c r="G100" i="5" s="1"/>
  <c r="M100" i="5" s="1"/>
  <c r="V113" i="3"/>
  <c r="I97" i="5" s="1"/>
  <c r="H97" i="5"/>
  <c r="S113" i="3"/>
  <c r="G97" i="5" s="1"/>
  <c r="M97" i="5" s="1"/>
  <c r="V112" i="3"/>
  <c r="I96" i="5" s="1"/>
  <c r="H96" i="5"/>
  <c r="S112" i="3"/>
  <c r="G96" i="5" s="1"/>
  <c r="M96" i="5" s="1"/>
  <c r="V111" i="3"/>
  <c r="I99" i="5" s="1"/>
  <c r="H99" i="5"/>
  <c r="S111" i="3"/>
  <c r="G99" i="5" s="1"/>
  <c r="M99" i="5" s="1"/>
  <c r="V110" i="3"/>
  <c r="I98" i="5" s="1"/>
  <c r="H98" i="5"/>
  <c r="S110" i="3"/>
  <c r="G98" i="5" s="1"/>
  <c r="M98" i="5" s="1"/>
  <c r="V109" i="3"/>
  <c r="I101" i="5" s="1"/>
  <c r="H101" i="5"/>
  <c r="S109" i="3"/>
  <c r="V108" i="3"/>
  <c r="I169" i="5" s="1"/>
  <c r="H169" i="5"/>
  <c r="S108" i="3"/>
  <c r="G169" i="5" s="1"/>
  <c r="M169" i="5" s="1"/>
  <c r="V107" i="3"/>
  <c r="I167" i="5" s="1"/>
  <c r="H167" i="5"/>
  <c r="S107" i="3"/>
  <c r="G167" i="5" s="1"/>
  <c r="M167" i="5" s="1"/>
  <c r="V106" i="3"/>
  <c r="I168" i="5" s="1"/>
  <c r="H168" i="5"/>
  <c r="S106" i="3"/>
  <c r="V105" i="3"/>
  <c r="I164" i="5" s="1"/>
  <c r="H164" i="5"/>
  <c r="S105" i="3"/>
  <c r="G164" i="5" s="1"/>
  <c r="M164" i="5" s="1"/>
  <c r="V104" i="3"/>
  <c r="I166" i="5" s="1"/>
  <c r="H166" i="5"/>
  <c r="S104" i="3"/>
  <c r="G166" i="5" s="1"/>
  <c r="M166" i="5" s="1"/>
  <c r="V103" i="3"/>
  <c r="I165" i="5" s="1"/>
  <c r="H165" i="5"/>
  <c r="S103" i="3"/>
  <c r="V102" i="3"/>
  <c r="I201" i="5" s="1"/>
  <c r="H201" i="5"/>
  <c r="S102" i="3"/>
  <c r="G201" i="5" s="1"/>
  <c r="M201" i="5" s="1"/>
  <c r="V101" i="3"/>
  <c r="I199" i="5" s="1"/>
  <c r="H199" i="5"/>
  <c r="S101" i="3"/>
  <c r="G199" i="5" s="1"/>
  <c r="M199" i="5" s="1"/>
  <c r="V100" i="3"/>
  <c r="I200" i="5" s="1"/>
  <c r="H200" i="5"/>
  <c r="S100" i="3"/>
  <c r="G200" i="5" s="1"/>
  <c r="M200" i="5" s="1"/>
  <c r="V99" i="3"/>
  <c r="I194" i="5" s="1"/>
  <c r="H194" i="5"/>
  <c r="S99" i="3"/>
  <c r="G194" i="5" s="1"/>
  <c r="M194" i="5" s="1"/>
  <c r="V98" i="3"/>
  <c r="I192" i="5" s="1"/>
  <c r="H192" i="5"/>
  <c r="S98" i="3"/>
  <c r="G192" i="5" s="1"/>
  <c r="M192" i="5" s="1"/>
  <c r="V97" i="3"/>
  <c r="I198" i="5" s="1"/>
  <c r="H198" i="5"/>
  <c r="S97" i="3"/>
  <c r="G198" i="5" s="1"/>
  <c r="M198" i="5" s="1"/>
  <c r="V96" i="3"/>
  <c r="I196" i="5" s="1"/>
  <c r="H196" i="5"/>
  <c r="S96" i="3"/>
  <c r="G196" i="5" s="1"/>
  <c r="M196" i="5" s="1"/>
  <c r="V95" i="3"/>
  <c r="I195" i="5" s="1"/>
  <c r="H195" i="5"/>
  <c r="S95" i="3"/>
  <c r="G195" i="5" s="1"/>
  <c r="M195" i="5" s="1"/>
  <c r="V94" i="3"/>
  <c r="I193" i="5" s="1"/>
  <c r="H193" i="5"/>
  <c r="S94" i="3"/>
  <c r="G193" i="5" s="1"/>
  <c r="M193" i="5" s="1"/>
  <c r="V93" i="3"/>
  <c r="I197" i="5" s="1"/>
  <c r="H197" i="5"/>
  <c r="S93" i="3"/>
  <c r="V92" i="3"/>
  <c r="I58" i="5" s="1"/>
  <c r="H58" i="5"/>
  <c r="S92" i="3"/>
  <c r="G58" i="5" s="1"/>
  <c r="M58" i="5" s="1"/>
  <c r="V91" i="3"/>
  <c r="I55" i="5" s="1"/>
  <c r="H55" i="5"/>
  <c r="S91" i="3"/>
  <c r="G55" i="5" s="1"/>
  <c r="M55" i="5" s="1"/>
  <c r="V90" i="3"/>
  <c r="I60" i="5" s="1"/>
  <c r="H60" i="5"/>
  <c r="S90" i="3"/>
  <c r="G60" i="5" s="1"/>
  <c r="M60" i="5" s="1"/>
  <c r="V89" i="3"/>
  <c r="I57" i="5" s="1"/>
  <c r="S89" i="3"/>
  <c r="G57" i="5" s="1"/>
  <c r="M57" i="5" s="1"/>
  <c r="H57" i="5"/>
  <c r="V88" i="3"/>
  <c r="I59" i="5" s="1"/>
  <c r="H59" i="5"/>
  <c r="S88" i="3"/>
  <c r="G59" i="5" s="1"/>
  <c r="M59" i="5" s="1"/>
  <c r="V87" i="3"/>
  <c r="I56" i="5" s="1"/>
  <c r="H56" i="5"/>
  <c r="S87" i="3"/>
  <c r="V86" i="3"/>
  <c r="I141" i="5" s="1"/>
  <c r="H141" i="5"/>
  <c r="S86" i="3"/>
  <c r="G141" i="5" s="1"/>
  <c r="M141" i="5" s="1"/>
  <c r="V82" i="3"/>
  <c r="I237" i="5" s="1"/>
  <c r="H237" i="5"/>
  <c r="S82" i="3"/>
  <c r="G237" i="5" s="1"/>
  <c r="M237" i="5" s="1"/>
  <c r="V78" i="3"/>
  <c r="I233" i="5" s="1"/>
  <c r="H233" i="5"/>
  <c r="S78" i="3"/>
  <c r="G233" i="5" s="1"/>
  <c r="M233" i="5" s="1"/>
  <c r="V75" i="3"/>
  <c r="I33" i="5" s="1"/>
  <c r="H33" i="5"/>
  <c r="S75" i="3"/>
  <c r="G33" i="5" s="1"/>
  <c r="M33" i="5" s="1"/>
  <c r="V71" i="3"/>
  <c r="I83" i="5" s="1"/>
  <c r="H83" i="5"/>
  <c r="S71" i="3"/>
  <c r="G83" i="5" s="1"/>
  <c r="M83" i="5" s="1"/>
  <c r="V67" i="3"/>
  <c r="I104" i="5" s="1"/>
  <c r="H104" i="5"/>
  <c r="S67" i="3"/>
  <c r="G104" i="5" s="1"/>
  <c r="M104" i="5" s="1"/>
  <c r="V64" i="3"/>
  <c r="I102" i="5" s="1"/>
  <c r="H102" i="5"/>
  <c r="S64" i="3"/>
  <c r="G102" i="5" s="1"/>
  <c r="M102" i="5" s="1"/>
  <c r="V61" i="3"/>
  <c r="I109" i="5" s="1"/>
  <c r="H109" i="5"/>
  <c r="S61" i="3"/>
  <c r="V60" i="3"/>
  <c r="I137" i="5" s="1"/>
  <c r="H137" i="5"/>
  <c r="S60" i="3"/>
  <c r="G137" i="5" s="1"/>
  <c r="M137" i="5" s="1"/>
  <c r="V57" i="3"/>
  <c r="I134" i="5" s="1"/>
  <c r="H134" i="5"/>
  <c r="S57" i="3"/>
  <c r="G134" i="5" s="1"/>
  <c r="M134" i="5" s="1"/>
  <c r="V55" i="3"/>
  <c r="I136" i="5" s="1"/>
  <c r="H136" i="5"/>
  <c r="S55" i="3"/>
  <c r="G136" i="5" s="1"/>
  <c r="M136" i="5" s="1"/>
  <c r="V54" i="3"/>
  <c r="I133" i="5" s="1"/>
  <c r="H133" i="5"/>
  <c r="S54" i="3"/>
  <c r="V53" i="3"/>
  <c r="I62" i="5" s="1"/>
  <c r="H62" i="5"/>
  <c r="S53" i="3"/>
  <c r="G62" i="5" s="1"/>
  <c r="M62" i="5" s="1"/>
  <c r="V52" i="3"/>
  <c r="I64" i="5" s="1"/>
  <c r="H64" i="5"/>
  <c r="S52" i="3"/>
  <c r="G64" i="5" s="1"/>
  <c r="M64" i="5" s="1"/>
  <c r="V51" i="3"/>
  <c r="I61" i="5" s="1"/>
  <c r="H61" i="5"/>
  <c r="S51" i="3"/>
  <c r="G61" i="5" s="1"/>
  <c r="M61" i="5" s="1"/>
  <c r="V50" i="3"/>
  <c r="I65" i="5" s="1"/>
  <c r="H65" i="5"/>
  <c r="S50" i="3"/>
  <c r="G65" i="5" s="1"/>
  <c r="M65" i="5" s="1"/>
  <c r="V49" i="3"/>
  <c r="I63" i="5" s="1"/>
  <c r="H63" i="5"/>
  <c r="S49" i="3"/>
  <c r="V48" i="3"/>
  <c r="I156" i="5" s="1"/>
  <c r="H156" i="5"/>
  <c r="S48" i="3"/>
  <c r="G156" i="5" s="1"/>
  <c r="M156" i="5" s="1"/>
  <c r="V47" i="3"/>
  <c r="I155" i="5" s="1"/>
  <c r="H155" i="5"/>
  <c r="S47" i="3"/>
  <c r="G155" i="5" s="1"/>
  <c r="M155" i="5" s="1"/>
  <c r="V46" i="3"/>
  <c r="I158" i="5" s="1"/>
  <c r="H158" i="5"/>
  <c r="S46" i="3"/>
  <c r="G158" i="5" s="1"/>
  <c r="M158" i="5" s="1"/>
  <c r="V45" i="3"/>
  <c r="I157" i="5" s="1"/>
  <c r="H157" i="5"/>
  <c r="S45" i="3"/>
  <c r="G157" i="5" s="1"/>
  <c r="M157" i="5" s="1"/>
  <c r="V44" i="3"/>
  <c r="I160" i="5" s="1"/>
  <c r="H160" i="5"/>
  <c r="S44" i="3"/>
  <c r="G160" i="5" s="1"/>
  <c r="M160" i="5" s="1"/>
  <c r="V43" i="3"/>
  <c r="I163" i="5" s="1"/>
  <c r="H163" i="5"/>
  <c r="S43" i="3"/>
  <c r="G163" i="5" s="1"/>
  <c r="M163" i="5" s="1"/>
  <c r="V42" i="3"/>
  <c r="I159" i="5" s="1"/>
  <c r="H159" i="5"/>
  <c r="S42" i="3"/>
  <c r="G159" i="5" s="1"/>
  <c r="M159" i="5" s="1"/>
  <c r="V41" i="3"/>
  <c r="I162" i="5" s="1"/>
  <c r="H162" i="5"/>
  <c r="S41" i="3"/>
  <c r="G162" i="5" s="1"/>
  <c r="M162" i="5" s="1"/>
  <c r="V40" i="3"/>
  <c r="I161" i="5" s="1"/>
  <c r="H161" i="5"/>
  <c r="S40" i="3"/>
  <c r="V39" i="3"/>
  <c r="I128" i="5" s="1"/>
  <c r="H128" i="5"/>
  <c r="S39" i="3"/>
  <c r="G128" i="5" s="1"/>
  <c r="M128" i="5" s="1"/>
  <c r="V38" i="3"/>
  <c r="I123" i="5" s="1"/>
  <c r="H123" i="5"/>
  <c r="S38" i="3"/>
  <c r="G123" i="5" s="1"/>
  <c r="M123" i="5" s="1"/>
  <c r="V37" i="3"/>
  <c r="I120" i="5" s="1"/>
  <c r="H120" i="5"/>
  <c r="S37" i="3"/>
  <c r="G120" i="5" s="1"/>
  <c r="M120" i="5" s="1"/>
  <c r="V36" i="3"/>
  <c r="I125" i="5" s="1"/>
  <c r="H125" i="5"/>
  <c r="S36" i="3"/>
  <c r="G125" i="5" s="1"/>
  <c r="M125" i="5" s="1"/>
  <c r="V35" i="3"/>
  <c r="I127" i="5" s="1"/>
  <c r="H127" i="5"/>
  <c r="S35" i="3"/>
  <c r="G127" i="5" s="1"/>
  <c r="M127" i="5" s="1"/>
  <c r="V34" i="3"/>
  <c r="I115" i="5" s="1"/>
  <c r="H115" i="5"/>
  <c r="S34" i="3"/>
  <c r="G115" i="5" s="1"/>
  <c r="M115" i="5" s="1"/>
  <c r="V33" i="3"/>
  <c r="I126" i="5" s="1"/>
  <c r="H126" i="5"/>
  <c r="S33" i="3"/>
  <c r="G126" i="5" s="1"/>
  <c r="M126" i="5" s="1"/>
  <c r="V32" i="3"/>
  <c r="I121" i="5" s="1"/>
  <c r="H121" i="5"/>
  <c r="S32" i="3"/>
  <c r="G121" i="5" s="1"/>
  <c r="M121" i="5" s="1"/>
  <c r="V25" i="3"/>
  <c r="I28" i="5" s="1"/>
  <c r="H28" i="5"/>
  <c r="S25" i="3"/>
  <c r="G28" i="5" s="1"/>
  <c r="M28" i="5" s="1"/>
  <c r="V24" i="3"/>
  <c r="I19" i="5" s="1"/>
  <c r="H19" i="5"/>
  <c r="S24" i="3"/>
  <c r="G19" i="5" s="1"/>
  <c r="M19" i="5" s="1"/>
  <c r="V23" i="3"/>
  <c r="I27" i="5" s="1"/>
  <c r="H27" i="5"/>
  <c r="S23" i="3"/>
  <c r="G27" i="5" s="1"/>
  <c r="M27" i="5" s="1"/>
  <c r="V22" i="3"/>
  <c r="I21" i="5" s="1"/>
  <c r="H21" i="5"/>
  <c r="S22" i="3"/>
  <c r="G21" i="5" s="1"/>
  <c r="M21" i="5" s="1"/>
  <c r="V21" i="3"/>
  <c r="I16" i="5" s="1"/>
  <c r="H16" i="5"/>
  <c r="S21" i="3"/>
  <c r="G16" i="5" s="1"/>
  <c r="M16" i="5" s="1"/>
  <c r="V20" i="3"/>
  <c r="I29" i="5" s="1"/>
  <c r="H29" i="5"/>
  <c r="S20" i="3"/>
  <c r="G29" i="5" s="1"/>
  <c r="M29" i="5" s="1"/>
  <c r="V19" i="3"/>
  <c r="I17" i="5" s="1"/>
  <c r="H17" i="5"/>
  <c r="S19" i="3"/>
  <c r="G17" i="5" s="1"/>
  <c r="M17" i="5" s="1"/>
  <c r="V18" i="3"/>
  <c r="I22" i="5" s="1"/>
  <c r="H22" i="5"/>
  <c r="S18" i="3"/>
  <c r="G22" i="5" s="1"/>
  <c r="M22" i="5" s="1"/>
  <c r="V17" i="3"/>
  <c r="I20" i="5" s="1"/>
  <c r="H20" i="5"/>
  <c r="S17" i="3"/>
  <c r="G20" i="5" s="1"/>
  <c r="M20" i="5" s="1"/>
  <c r="V16" i="3"/>
  <c r="I15" i="5" s="1"/>
  <c r="H15" i="5"/>
  <c r="S16" i="3"/>
  <c r="G15" i="5" s="1"/>
  <c r="M15" i="5" s="1"/>
  <c r="V15" i="3"/>
  <c r="I23" i="5" s="1"/>
  <c r="H23" i="5"/>
  <c r="S15" i="3"/>
  <c r="G23" i="5" s="1"/>
  <c r="M23" i="5" s="1"/>
  <c r="V14" i="3"/>
  <c r="I25" i="5" s="1"/>
  <c r="H25" i="5"/>
  <c r="S14" i="3"/>
  <c r="V13" i="3"/>
  <c r="I37" i="5" s="1"/>
  <c r="H37" i="5"/>
  <c r="S13" i="3"/>
  <c r="G37" i="5" s="1"/>
  <c r="M37" i="5" s="1"/>
  <c r="V12" i="3"/>
  <c r="I35" i="5" s="1"/>
  <c r="H35" i="5"/>
  <c r="S12" i="3"/>
  <c r="G35" i="5" s="1"/>
  <c r="M35" i="5" s="1"/>
  <c r="V11" i="3"/>
  <c r="I31" i="5" s="1"/>
  <c r="H31" i="5"/>
  <c r="S11" i="3"/>
  <c r="V10" i="3"/>
  <c r="I34" i="5" s="1"/>
  <c r="H34" i="5"/>
  <c r="S10" i="3"/>
  <c r="G34" i="5" s="1"/>
  <c r="M34" i="5" s="1"/>
  <c r="V9" i="3"/>
  <c r="I39" i="5" s="1"/>
  <c r="H39" i="5"/>
  <c r="S9" i="3"/>
  <c r="G39" i="5" s="1"/>
  <c r="M39" i="5" s="1"/>
  <c r="V8" i="3"/>
  <c r="I38" i="5" s="1"/>
  <c r="H38" i="5"/>
  <c r="S8" i="3"/>
  <c r="G38" i="5" s="1"/>
  <c r="M38" i="5" s="1"/>
  <c r="V7" i="3"/>
  <c r="I36" i="5" s="1"/>
  <c r="H36" i="5"/>
  <c r="S7" i="3"/>
  <c r="V6" i="3"/>
  <c r="I154" i="5" s="1"/>
  <c r="H154" i="5"/>
  <c r="S6" i="3"/>
  <c r="G154" i="5" s="1"/>
  <c r="M154" i="5" s="1"/>
  <c r="V5" i="3"/>
  <c r="H153" i="5"/>
  <c r="S5" i="3"/>
  <c r="S26" i="3"/>
  <c r="G24" i="5" s="1"/>
  <c r="M24" i="5" s="1"/>
  <c r="H24" i="5"/>
  <c r="V26" i="3"/>
  <c r="I24" i="5" s="1"/>
  <c r="S27" i="3"/>
  <c r="G30" i="5" s="1"/>
  <c r="M30" i="5" s="1"/>
  <c r="H30" i="5"/>
  <c r="V27" i="3"/>
  <c r="I30" i="5" s="1"/>
  <c r="S28" i="3"/>
  <c r="G18" i="5" s="1"/>
  <c r="M18" i="5" s="1"/>
  <c r="H18" i="5"/>
  <c r="V28" i="3"/>
  <c r="I18" i="5" s="1"/>
  <c r="S29" i="3"/>
  <c r="G26" i="5" s="1"/>
  <c r="M26" i="5" s="1"/>
  <c r="H26" i="5"/>
  <c r="V29" i="3"/>
  <c r="I26" i="5" s="1"/>
  <c r="S30" i="3"/>
  <c r="H122" i="5"/>
  <c r="V30" i="3"/>
  <c r="I122" i="5" s="1"/>
  <c r="S31" i="3"/>
  <c r="G124" i="5" s="1"/>
  <c r="M124" i="5" s="1"/>
  <c r="H124" i="5"/>
  <c r="V31" i="3"/>
  <c r="I124" i="5" s="1"/>
  <c r="S56" i="3"/>
  <c r="G135" i="5" s="1"/>
  <c r="M135" i="5" s="1"/>
  <c r="H135" i="5"/>
  <c r="V56" i="3"/>
  <c r="I135" i="5" s="1"/>
  <c r="S179" i="3"/>
  <c r="G218" i="5" s="1"/>
  <c r="M218" i="5" s="1"/>
  <c r="H218" i="5"/>
  <c r="V179" i="3"/>
  <c r="I218" i="5" s="1"/>
  <c r="S180" i="3"/>
  <c r="G219" i="5" s="1"/>
  <c r="M219" i="5" s="1"/>
  <c r="H219" i="5"/>
  <c r="V180" i="3"/>
  <c r="I219" i="5" s="1"/>
  <c r="S181" i="3"/>
  <c r="G217" i="5" s="1"/>
  <c r="M217" i="5" s="1"/>
  <c r="H217" i="5"/>
  <c r="V181" i="3"/>
  <c r="I217" i="5" s="1"/>
  <c r="S182" i="3"/>
  <c r="H147" i="5"/>
  <c r="V182" i="3"/>
  <c r="I147" i="5" s="1"/>
  <c r="S183" i="3"/>
  <c r="G148" i="5" s="1"/>
  <c r="M148" i="5" s="1"/>
  <c r="H148" i="5"/>
  <c r="V183" i="3"/>
  <c r="I148" i="5" s="1"/>
  <c r="S184" i="3"/>
  <c r="G142" i="5" s="1"/>
  <c r="M142" i="5" s="1"/>
  <c r="H142" i="5"/>
  <c r="V184" i="3"/>
  <c r="I142" i="5" s="1"/>
  <c r="S185" i="3"/>
  <c r="G149" i="5" s="1"/>
  <c r="M149" i="5" s="1"/>
  <c r="H149" i="5"/>
  <c r="V185" i="3"/>
  <c r="I149" i="5" s="1"/>
  <c r="S186" i="3"/>
  <c r="G143" i="5" s="1"/>
  <c r="M143" i="5" s="1"/>
  <c r="H143" i="5"/>
  <c r="V186" i="3"/>
  <c r="I143" i="5" s="1"/>
  <c r="S187" i="3"/>
  <c r="G146" i="5" s="1"/>
  <c r="M146" i="5" s="1"/>
  <c r="H146" i="5"/>
  <c r="V187" i="3"/>
  <c r="I146" i="5" s="1"/>
  <c r="S188" i="3"/>
  <c r="G150" i="5" s="1"/>
  <c r="M150" i="5" s="1"/>
  <c r="H150" i="5"/>
  <c r="V188" i="3"/>
  <c r="I150" i="5" s="1"/>
  <c r="S189" i="3"/>
  <c r="G145" i="5" s="1"/>
  <c r="M145" i="5" s="1"/>
  <c r="H145" i="5"/>
  <c r="V189" i="3"/>
  <c r="I145" i="5" s="1"/>
  <c r="S190" i="3"/>
  <c r="G144" i="5" s="1"/>
  <c r="M144" i="5" s="1"/>
  <c r="H144" i="5"/>
  <c r="V190" i="3"/>
  <c r="I144" i="5" s="1"/>
  <c r="S191" i="3"/>
  <c r="H229" i="5"/>
  <c r="V191" i="3"/>
  <c r="I229" i="5" s="1"/>
  <c r="S192" i="3"/>
  <c r="G231" i="5" s="1"/>
  <c r="M231" i="5" s="1"/>
  <c r="H231" i="5"/>
  <c r="V192" i="3"/>
  <c r="I231" i="5" s="1"/>
  <c r="S193" i="3"/>
  <c r="G230" i="5" s="1"/>
  <c r="M230" i="5" s="1"/>
  <c r="H230" i="5"/>
  <c r="V193" i="3"/>
  <c r="I230" i="5" s="1"/>
  <c r="S194" i="3"/>
  <c r="G232" i="5" s="1"/>
  <c r="M232" i="5" s="1"/>
  <c r="H232" i="5"/>
  <c r="V194" i="3"/>
  <c r="I232" i="5" s="1"/>
  <c r="S195" i="3"/>
  <c r="G228" i="5" s="1"/>
  <c r="M228" i="5" s="1"/>
  <c r="H228" i="5"/>
  <c r="V195" i="3"/>
  <c r="I228" i="5" s="1"/>
  <c r="S210" i="3"/>
  <c r="G72" i="5" s="1"/>
  <c r="M72" i="5" s="1"/>
  <c r="H72" i="5"/>
  <c r="V210" i="3"/>
  <c r="I72" i="5" s="1"/>
  <c r="S211" i="3"/>
  <c r="G69" i="5" s="1"/>
  <c r="M69" i="5" s="1"/>
  <c r="H69" i="5"/>
  <c r="V211" i="3"/>
  <c r="I69" i="5" s="1"/>
  <c r="S212" i="3"/>
  <c r="G68" i="5" s="1"/>
  <c r="M68" i="5" s="1"/>
  <c r="H68" i="5"/>
  <c r="V212" i="3"/>
  <c r="I68" i="5" s="1"/>
  <c r="S213" i="3"/>
  <c r="G70" i="5" s="1"/>
  <c r="M70" i="5" s="1"/>
  <c r="H70" i="5"/>
  <c r="V213" i="3"/>
  <c r="I70" i="5" s="1"/>
  <c r="S214" i="3"/>
  <c r="G67" i="5" s="1"/>
  <c r="M67" i="5" s="1"/>
  <c r="H67" i="5"/>
  <c r="V214" i="3"/>
  <c r="I67" i="5" s="1"/>
  <c r="D37" i="4" l="1"/>
  <c r="K37" i="4" s="1"/>
  <c r="R37" i="4" s="1"/>
  <c r="E37" i="4"/>
  <c r="L37" i="4" s="1"/>
  <c r="S37" i="4" s="1"/>
  <c r="C37" i="4"/>
  <c r="G211" i="5"/>
  <c r="M211" i="5" s="1"/>
  <c r="S42" i="6"/>
  <c r="R42" i="6"/>
  <c r="Q42" i="6"/>
  <c r="T42" i="6" s="1"/>
  <c r="E15" i="4"/>
  <c r="L15" i="4" s="1"/>
  <c r="S15" i="4" s="1"/>
  <c r="C15" i="4"/>
  <c r="D15" i="4"/>
  <c r="K15" i="4" s="1"/>
  <c r="R15" i="4" s="1"/>
  <c r="G74" i="5"/>
  <c r="M74" i="5" s="1"/>
  <c r="Q41" i="6"/>
  <c r="S41" i="6"/>
  <c r="R41" i="6"/>
  <c r="C10" i="4"/>
  <c r="E10" i="4"/>
  <c r="L10" i="4" s="1"/>
  <c r="S10" i="4" s="1"/>
  <c r="G48" i="5"/>
  <c r="M48" i="5" s="1"/>
  <c r="D10" i="4"/>
  <c r="K10" i="4" s="1"/>
  <c r="R10" i="4" s="1"/>
  <c r="Q40" i="6"/>
  <c r="S40" i="6"/>
  <c r="R40" i="6"/>
  <c r="D31" i="4"/>
  <c r="K31" i="4" s="1"/>
  <c r="R31" i="4" s="1"/>
  <c r="E31" i="4"/>
  <c r="L31" i="4" s="1"/>
  <c r="S31" i="4" s="1"/>
  <c r="C31" i="4"/>
  <c r="G171" i="5"/>
  <c r="M171" i="5" s="1"/>
  <c r="Q39" i="6"/>
  <c r="S39" i="6"/>
  <c r="R39" i="6"/>
  <c r="C14" i="4"/>
  <c r="D14" i="4"/>
  <c r="K14" i="4" s="1"/>
  <c r="R14" i="4" s="1"/>
  <c r="E14" i="4"/>
  <c r="L14" i="4" s="1"/>
  <c r="S14" i="4" s="1"/>
  <c r="G71" i="5"/>
  <c r="M71" i="5" s="1"/>
  <c r="Q38" i="6"/>
  <c r="R38" i="6"/>
  <c r="S38" i="6"/>
  <c r="E21" i="4"/>
  <c r="L21" i="4" s="1"/>
  <c r="S21" i="4" s="1"/>
  <c r="D21" i="4"/>
  <c r="K21" i="4" s="1"/>
  <c r="R21" i="4" s="1"/>
  <c r="C21" i="4"/>
  <c r="G116" i="5"/>
  <c r="M116" i="5" s="1"/>
  <c r="R37" i="6"/>
  <c r="S37" i="6"/>
  <c r="Q37" i="6"/>
  <c r="T37" i="6" s="1"/>
  <c r="E11" i="4"/>
  <c r="L11" i="4" s="1"/>
  <c r="S11" i="4" s="1"/>
  <c r="D11" i="4"/>
  <c r="K11" i="4" s="1"/>
  <c r="R11" i="4" s="1"/>
  <c r="G52" i="5"/>
  <c r="M52" i="5" s="1"/>
  <c r="C11" i="4"/>
  <c r="S36" i="6"/>
  <c r="R36" i="6"/>
  <c r="Q36" i="6"/>
  <c r="T36" i="6" s="1"/>
  <c r="D39" i="4"/>
  <c r="K39" i="4" s="1"/>
  <c r="R39" i="4" s="1"/>
  <c r="E39" i="4"/>
  <c r="L39" i="4" s="1"/>
  <c r="S39" i="4" s="1"/>
  <c r="C39" i="4"/>
  <c r="G222" i="5"/>
  <c r="M222" i="5" s="1"/>
  <c r="S33" i="6"/>
  <c r="Q33" i="6"/>
  <c r="R33" i="6"/>
  <c r="S15" i="5"/>
  <c r="M5" i="5"/>
  <c r="E5" i="4"/>
  <c r="D5" i="4"/>
  <c r="G10" i="5"/>
  <c r="C5" i="4"/>
  <c r="G12" i="5"/>
  <c r="M12" i="5" s="1"/>
  <c r="Q32" i="6"/>
  <c r="S32" i="6"/>
  <c r="R32" i="6"/>
  <c r="C36" i="4"/>
  <c r="E36" i="4"/>
  <c r="L36" i="4" s="1"/>
  <c r="S36" i="4" s="1"/>
  <c r="D36" i="4"/>
  <c r="K36" i="4" s="1"/>
  <c r="R36" i="4" s="1"/>
  <c r="G202" i="5"/>
  <c r="M202" i="5" s="1"/>
  <c r="Q31" i="6"/>
  <c r="S31" i="6"/>
  <c r="R31" i="6"/>
  <c r="D20" i="4"/>
  <c r="K20" i="4" s="1"/>
  <c r="R20" i="4" s="1"/>
  <c r="C20" i="4"/>
  <c r="E20" i="4"/>
  <c r="L20" i="4" s="1"/>
  <c r="S20" i="4" s="1"/>
  <c r="R30" i="6"/>
  <c r="S30" i="6"/>
  <c r="G114" i="5"/>
  <c r="M114" i="5" s="1"/>
  <c r="Q30" i="6"/>
  <c r="T30" i="6" s="1"/>
  <c r="C32" i="4"/>
  <c r="D32" i="4"/>
  <c r="K32" i="4" s="1"/>
  <c r="R32" i="4" s="1"/>
  <c r="E32" i="4"/>
  <c r="L32" i="4" s="1"/>
  <c r="S32" i="4" s="1"/>
  <c r="Q29" i="6"/>
  <c r="G175" i="5"/>
  <c r="M175" i="5" s="1"/>
  <c r="S29" i="6"/>
  <c r="R29" i="6"/>
  <c r="D34" i="4"/>
  <c r="K34" i="4" s="1"/>
  <c r="R34" i="4" s="1"/>
  <c r="C34" i="4"/>
  <c r="E34" i="4"/>
  <c r="L34" i="4" s="1"/>
  <c r="S34" i="4" s="1"/>
  <c r="G188" i="5"/>
  <c r="M188" i="5" s="1"/>
  <c r="R27" i="6"/>
  <c r="S27" i="6"/>
  <c r="Q27" i="6"/>
  <c r="T27" i="6" s="1"/>
  <c r="Q26" i="6"/>
  <c r="D17" i="4"/>
  <c r="K17" i="4" s="1"/>
  <c r="R17" i="4" s="1"/>
  <c r="C17" i="4"/>
  <c r="G86" i="5"/>
  <c r="M86" i="5" s="1"/>
  <c r="E17" i="4"/>
  <c r="L17" i="4" s="1"/>
  <c r="S17" i="4" s="1"/>
  <c r="R26" i="6"/>
  <c r="S26" i="6"/>
  <c r="C38" i="4"/>
  <c r="E38" i="4"/>
  <c r="L38" i="4" s="1"/>
  <c r="S38" i="4" s="1"/>
  <c r="D38" i="4"/>
  <c r="K38" i="4" s="1"/>
  <c r="R38" i="4" s="1"/>
  <c r="Q24" i="6"/>
  <c r="G216" i="5"/>
  <c r="M216" i="5" s="1"/>
  <c r="S24" i="6"/>
  <c r="R24" i="6"/>
  <c r="E24" i="4"/>
  <c r="L24" i="4" s="1"/>
  <c r="S24" i="4" s="1"/>
  <c r="D24" i="4"/>
  <c r="K24" i="4" s="1"/>
  <c r="R24" i="4" s="1"/>
  <c r="C24" i="4"/>
  <c r="Q16" i="6"/>
  <c r="G138" i="5"/>
  <c r="M138" i="5" s="1"/>
  <c r="R16" i="6"/>
  <c r="S16" i="6"/>
  <c r="C7" i="4"/>
  <c r="G41" i="5"/>
  <c r="M41" i="5" s="1"/>
  <c r="D7" i="4"/>
  <c r="K7" i="4" s="1"/>
  <c r="R7" i="4" s="1"/>
  <c r="E7" i="4"/>
  <c r="L7" i="4" s="1"/>
  <c r="S7" i="4" s="1"/>
  <c r="D40" i="4"/>
  <c r="K40" i="4" s="1"/>
  <c r="R40" i="4" s="1"/>
  <c r="C40" i="4"/>
  <c r="E40" i="4"/>
  <c r="L40" i="4" s="1"/>
  <c r="S40" i="4" s="1"/>
  <c r="R28" i="6"/>
  <c r="G227" i="5"/>
  <c r="M227" i="5" s="1"/>
  <c r="Q28" i="6"/>
  <c r="S28" i="6"/>
  <c r="S25" i="6"/>
  <c r="C9" i="4"/>
  <c r="G42" i="5"/>
  <c r="M42" i="5" s="1"/>
  <c r="E9" i="4"/>
  <c r="L9" i="4" s="1"/>
  <c r="S9" i="4" s="1"/>
  <c r="D9" i="4"/>
  <c r="K9" i="4" s="1"/>
  <c r="R9" i="4" s="1"/>
  <c r="R25" i="6"/>
  <c r="Q25" i="6"/>
  <c r="T25" i="6" s="1"/>
  <c r="S15" i="6"/>
  <c r="E42" i="4"/>
  <c r="L42" i="4" s="1"/>
  <c r="S42" i="4" s="1"/>
  <c r="D42" i="4"/>
  <c r="K42" i="4" s="1"/>
  <c r="R42" i="4" s="1"/>
  <c r="C42" i="4"/>
  <c r="G235" i="5"/>
  <c r="M235" i="5" s="1"/>
  <c r="Q15" i="6"/>
  <c r="R15" i="6"/>
  <c r="Q14" i="6"/>
  <c r="G32" i="5"/>
  <c r="M32" i="5" s="1"/>
  <c r="S14" i="6"/>
  <c r="R14" i="6"/>
  <c r="S13" i="6"/>
  <c r="E16" i="4"/>
  <c r="L16" i="4" s="1"/>
  <c r="S16" i="4" s="1"/>
  <c r="D16" i="4"/>
  <c r="K16" i="4" s="1"/>
  <c r="R16" i="4" s="1"/>
  <c r="C16" i="4"/>
  <c r="G84" i="5"/>
  <c r="M84" i="5" s="1"/>
  <c r="Q13" i="6"/>
  <c r="R13" i="6"/>
  <c r="C33" i="4"/>
  <c r="D33" i="4"/>
  <c r="K33" i="4" s="1"/>
  <c r="R33" i="4" s="1"/>
  <c r="E33" i="4"/>
  <c r="L33" i="4" s="1"/>
  <c r="S33" i="4" s="1"/>
  <c r="R23" i="6"/>
  <c r="G186" i="5"/>
  <c r="M186" i="5" s="1"/>
  <c r="S23" i="6"/>
  <c r="Q23" i="6"/>
  <c r="C26" i="4"/>
  <c r="E26" i="4"/>
  <c r="L26" i="4" s="1"/>
  <c r="S26" i="4" s="1"/>
  <c r="D26" i="4"/>
  <c r="K26" i="4" s="1"/>
  <c r="R26" i="4" s="1"/>
  <c r="G152" i="5"/>
  <c r="M152" i="5" s="1"/>
  <c r="S22" i="6"/>
  <c r="R22" i="6"/>
  <c r="Q22" i="6"/>
  <c r="T22" i="6" s="1"/>
  <c r="Q21" i="6"/>
  <c r="C18" i="4"/>
  <c r="E18" i="4"/>
  <c r="L18" i="4" s="1"/>
  <c r="S18" i="4" s="1"/>
  <c r="G101" i="5"/>
  <c r="M101" i="5" s="1"/>
  <c r="D18" i="4"/>
  <c r="K18" i="4" s="1"/>
  <c r="R18" i="4" s="1"/>
  <c r="S21" i="6"/>
  <c r="R21" i="6"/>
  <c r="D30" i="4"/>
  <c r="K30" i="4" s="1"/>
  <c r="R30" i="4" s="1"/>
  <c r="E30" i="4"/>
  <c r="L30" i="4" s="1"/>
  <c r="S30" i="4" s="1"/>
  <c r="C30" i="4"/>
  <c r="R20" i="6"/>
  <c r="G168" i="5"/>
  <c r="M168" i="5" s="1"/>
  <c r="S20" i="6"/>
  <c r="Q20" i="6"/>
  <c r="T20" i="6" s="1"/>
  <c r="D29" i="4"/>
  <c r="K29" i="4" s="1"/>
  <c r="R29" i="4" s="1"/>
  <c r="E29" i="4"/>
  <c r="L29" i="4" s="1"/>
  <c r="S29" i="4" s="1"/>
  <c r="C29" i="4"/>
  <c r="Q19" i="6"/>
  <c r="G165" i="5"/>
  <c r="M165" i="5" s="1"/>
  <c r="R19" i="6"/>
  <c r="S19" i="6"/>
  <c r="D35" i="4"/>
  <c r="K35" i="4" s="1"/>
  <c r="R35" i="4" s="1"/>
  <c r="C35" i="4"/>
  <c r="E35" i="4"/>
  <c r="L35" i="4" s="1"/>
  <c r="S35" i="4" s="1"/>
  <c r="Q18" i="6"/>
  <c r="S18" i="6"/>
  <c r="G197" i="5"/>
  <c r="M197" i="5" s="1"/>
  <c r="R18" i="6"/>
  <c r="Q17" i="6"/>
  <c r="R17" i="6"/>
  <c r="C12" i="4"/>
  <c r="G56" i="5"/>
  <c r="M56" i="5" s="1"/>
  <c r="D12" i="4"/>
  <c r="K12" i="4" s="1"/>
  <c r="R12" i="4" s="1"/>
  <c r="E12" i="4"/>
  <c r="L12" i="4" s="1"/>
  <c r="S12" i="4" s="1"/>
  <c r="S17" i="6"/>
  <c r="Q12" i="6"/>
  <c r="C19" i="4"/>
  <c r="D19" i="4"/>
  <c r="K19" i="4" s="1"/>
  <c r="R19" i="4" s="1"/>
  <c r="E19" i="4"/>
  <c r="L19" i="4" s="1"/>
  <c r="S19" i="4" s="1"/>
  <c r="G109" i="5"/>
  <c r="M109" i="5" s="1"/>
  <c r="R12" i="6"/>
  <c r="S12" i="6"/>
  <c r="C23" i="4"/>
  <c r="D23" i="4"/>
  <c r="K23" i="4" s="1"/>
  <c r="R23" i="4" s="1"/>
  <c r="E23" i="4"/>
  <c r="L23" i="4" s="1"/>
  <c r="S23" i="4" s="1"/>
  <c r="Q11" i="6"/>
  <c r="S11" i="6"/>
  <c r="G133" i="5"/>
  <c r="M133" i="5" s="1"/>
  <c r="R11" i="6"/>
  <c r="Q10" i="6"/>
  <c r="C13" i="4"/>
  <c r="E13" i="4"/>
  <c r="L13" i="4" s="1"/>
  <c r="S13" i="4" s="1"/>
  <c r="G63" i="5"/>
  <c r="M63" i="5" s="1"/>
  <c r="S10" i="6"/>
  <c r="D13" i="4"/>
  <c r="K13" i="4" s="1"/>
  <c r="R13" i="4" s="1"/>
  <c r="R10" i="6"/>
  <c r="D28" i="4"/>
  <c r="K28" i="4" s="1"/>
  <c r="R28" i="4" s="1"/>
  <c r="E28" i="4"/>
  <c r="L28" i="4" s="1"/>
  <c r="S28" i="4" s="1"/>
  <c r="C28" i="4"/>
  <c r="Q9" i="6"/>
  <c r="S9" i="6"/>
  <c r="R9" i="6"/>
  <c r="G161" i="5"/>
  <c r="M161" i="5" s="1"/>
  <c r="R7" i="6"/>
  <c r="S7" i="6"/>
  <c r="G25" i="5"/>
  <c r="M25" i="5" s="1"/>
  <c r="Q7" i="6"/>
  <c r="C6" i="4"/>
  <c r="E6" i="4"/>
  <c r="L6" i="4" s="1"/>
  <c r="S6" i="4" s="1"/>
  <c r="G31" i="5"/>
  <c r="M31" i="5" s="1"/>
  <c r="D6" i="4"/>
  <c r="K6" i="4" s="1"/>
  <c r="R6" i="4" s="1"/>
  <c r="R6" i="6"/>
  <c r="S6" i="6"/>
  <c r="Q6" i="6"/>
  <c r="T6" i="6" s="1"/>
  <c r="G36" i="5"/>
  <c r="M36" i="5" s="1"/>
  <c r="D8" i="4"/>
  <c r="K8" i="4" s="1"/>
  <c r="R8" i="4" s="1"/>
  <c r="C8" i="4"/>
  <c r="E8" i="4"/>
  <c r="L8" i="4" s="1"/>
  <c r="S8" i="4" s="1"/>
  <c r="I153" i="5"/>
  <c r="B9" i="1"/>
  <c r="C27" i="4"/>
  <c r="E27" i="4"/>
  <c r="L27" i="4" s="1"/>
  <c r="S27" i="4" s="1"/>
  <c r="D27" i="4"/>
  <c r="K27" i="4" s="1"/>
  <c r="R27" i="4" s="1"/>
  <c r="R5" i="6"/>
  <c r="Q5" i="6"/>
  <c r="E63" i="4"/>
  <c r="E65" i="4" s="1"/>
  <c r="E66" i="4" s="1"/>
  <c r="G153" i="5"/>
  <c r="M153" i="5" s="1"/>
  <c r="S5" i="6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Q8" i="6"/>
  <c r="C22" i="4"/>
  <c r="D22" i="4"/>
  <c r="K22" i="4" s="1"/>
  <c r="R22" i="4" s="1"/>
  <c r="E22" i="4"/>
  <c r="L22" i="4" s="1"/>
  <c r="S22" i="4" s="1"/>
  <c r="G122" i="5"/>
  <c r="M122" i="5" s="1"/>
  <c r="S8" i="6"/>
  <c r="R8" i="6"/>
  <c r="D25" i="4"/>
  <c r="K25" i="4" s="1"/>
  <c r="R25" i="4" s="1"/>
  <c r="E25" i="4"/>
  <c r="L25" i="4" s="1"/>
  <c r="S25" i="4" s="1"/>
  <c r="C25" i="4"/>
  <c r="G147" i="5"/>
  <c r="M147" i="5" s="1"/>
  <c r="S34" i="6"/>
  <c r="Q34" i="6"/>
  <c r="R34" i="6"/>
  <c r="C41" i="4"/>
  <c r="E41" i="4"/>
  <c r="L41" i="4" s="1"/>
  <c r="S41" i="4" s="1"/>
  <c r="D41" i="4"/>
  <c r="K41" i="4" s="1"/>
  <c r="R41" i="4" s="1"/>
  <c r="G229" i="5"/>
  <c r="M229" i="5" s="1"/>
  <c r="T14" i="5" s="1"/>
  <c r="S35" i="6"/>
  <c r="R35" i="6"/>
  <c r="Q35" i="6"/>
  <c r="T34" i="5"/>
  <c r="U34" i="5" s="1"/>
  <c r="T17" i="5" l="1"/>
  <c r="S17" i="5"/>
  <c r="U17" i="5" s="1"/>
  <c r="T23" i="6"/>
  <c r="T24" i="6"/>
  <c r="T21" i="6"/>
  <c r="T35" i="6"/>
  <c r="T15" i="5"/>
  <c r="U15" i="5" s="1"/>
  <c r="S14" i="5"/>
  <c r="U14" i="5" s="1"/>
  <c r="S16" i="5"/>
  <c r="J37" i="4"/>
  <c r="F37" i="4"/>
  <c r="N37" i="4"/>
  <c r="P37" i="4" s="1"/>
  <c r="J15" i="4"/>
  <c r="F15" i="4"/>
  <c r="N15" i="4"/>
  <c r="P15" i="4" s="1"/>
  <c r="J10" i="4"/>
  <c r="F10" i="4"/>
  <c r="N10" i="4"/>
  <c r="P10" i="4" s="1"/>
  <c r="J31" i="4"/>
  <c r="F31" i="4"/>
  <c r="N31" i="4"/>
  <c r="P31" i="4" s="1"/>
  <c r="J14" i="4"/>
  <c r="F14" i="4"/>
  <c r="N14" i="4"/>
  <c r="P14" i="4" s="1"/>
  <c r="J21" i="4"/>
  <c r="F21" i="4"/>
  <c r="N21" i="4"/>
  <c r="P21" i="4" s="1"/>
  <c r="J11" i="4"/>
  <c r="F11" i="4"/>
  <c r="N11" i="4"/>
  <c r="P11" i="4" s="1"/>
  <c r="J39" i="4"/>
  <c r="F39" i="4"/>
  <c r="N39" i="4"/>
  <c r="P39" i="4" s="1"/>
  <c r="T35" i="5"/>
  <c r="U35" i="5" s="1"/>
  <c r="S5" i="5"/>
  <c r="S6" i="5" s="1"/>
  <c r="L5" i="4"/>
  <c r="E43" i="4"/>
  <c r="D63" i="4" s="1"/>
  <c r="D65" i="4" s="1"/>
  <c r="D66" i="4" s="1"/>
  <c r="K5" i="4"/>
  <c r="D43" i="4"/>
  <c r="C63" i="4" s="1"/>
  <c r="C65" i="4" s="1"/>
  <c r="C66" i="4" s="1"/>
  <c r="J5" i="4"/>
  <c r="F5" i="4"/>
  <c r="C43" i="4"/>
  <c r="B63" i="4" s="1"/>
  <c r="B65" i="4" s="1"/>
  <c r="B66" i="4" s="1"/>
  <c r="B50" i="4"/>
  <c r="B51" i="4" s="1"/>
  <c r="N5" i="4"/>
  <c r="P5" i="4" s="1"/>
  <c r="J36" i="4"/>
  <c r="F36" i="4"/>
  <c r="N36" i="4"/>
  <c r="P36" i="4" s="1"/>
  <c r="J20" i="4"/>
  <c r="F20" i="4"/>
  <c r="N20" i="4"/>
  <c r="P20" i="4" s="1"/>
  <c r="J32" i="4"/>
  <c r="F32" i="4"/>
  <c r="N32" i="4"/>
  <c r="P32" i="4" s="1"/>
  <c r="J34" i="4"/>
  <c r="F34" i="4"/>
  <c r="N34" i="4"/>
  <c r="P34" i="4" s="1"/>
  <c r="J17" i="4"/>
  <c r="F17" i="4"/>
  <c r="N17" i="4"/>
  <c r="P17" i="4" s="1"/>
  <c r="J38" i="4"/>
  <c r="F38" i="4"/>
  <c r="N38" i="4"/>
  <c r="P38" i="4" s="1"/>
  <c r="J24" i="4"/>
  <c r="F24" i="4"/>
  <c r="N24" i="4"/>
  <c r="P24" i="4" s="1"/>
  <c r="J7" i="4"/>
  <c r="F7" i="4"/>
  <c r="N7" i="4"/>
  <c r="P7" i="4" s="1"/>
  <c r="J40" i="4"/>
  <c r="F40" i="4"/>
  <c r="N40" i="4"/>
  <c r="P40" i="4" s="1"/>
  <c r="J9" i="4"/>
  <c r="F9" i="4"/>
  <c r="N9" i="4"/>
  <c r="P9" i="4" s="1"/>
  <c r="J42" i="4"/>
  <c r="F42" i="4"/>
  <c r="N42" i="4"/>
  <c r="P42" i="4" s="1"/>
  <c r="J16" i="4"/>
  <c r="F16" i="4"/>
  <c r="N16" i="4"/>
  <c r="P16" i="4" s="1"/>
  <c r="J33" i="4"/>
  <c r="F33" i="4"/>
  <c r="N33" i="4"/>
  <c r="P33" i="4" s="1"/>
  <c r="J26" i="4"/>
  <c r="F26" i="4"/>
  <c r="N26" i="4"/>
  <c r="P26" i="4" s="1"/>
  <c r="J18" i="4"/>
  <c r="F18" i="4"/>
  <c r="N18" i="4"/>
  <c r="P18" i="4" s="1"/>
  <c r="J30" i="4"/>
  <c r="F30" i="4"/>
  <c r="N30" i="4"/>
  <c r="P30" i="4" s="1"/>
  <c r="J29" i="4"/>
  <c r="F29" i="4"/>
  <c r="N29" i="4"/>
  <c r="P29" i="4" s="1"/>
  <c r="J35" i="4"/>
  <c r="F35" i="4"/>
  <c r="N35" i="4"/>
  <c r="P35" i="4" s="1"/>
  <c r="J12" i="4"/>
  <c r="F12" i="4"/>
  <c r="N12" i="4"/>
  <c r="P12" i="4" s="1"/>
  <c r="J19" i="4"/>
  <c r="F19" i="4"/>
  <c r="N19" i="4"/>
  <c r="P19" i="4" s="1"/>
  <c r="J23" i="4"/>
  <c r="F23" i="4"/>
  <c r="N23" i="4"/>
  <c r="P23" i="4" s="1"/>
  <c r="J13" i="4"/>
  <c r="F13" i="4"/>
  <c r="N13" i="4"/>
  <c r="P13" i="4" s="1"/>
  <c r="J28" i="4"/>
  <c r="F28" i="4"/>
  <c r="N28" i="4"/>
  <c r="P28" i="4" s="1"/>
  <c r="J6" i="4"/>
  <c r="F6" i="4"/>
  <c r="N6" i="4"/>
  <c r="P6" i="4" s="1"/>
  <c r="J8" i="4"/>
  <c r="F8" i="4"/>
  <c r="N8" i="4"/>
  <c r="P8" i="4" s="1"/>
  <c r="J27" i="4"/>
  <c r="F27" i="4"/>
  <c r="N27" i="4"/>
  <c r="P27" i="4" s="1"/>
  <c r="T5" i="6"/>
  <c r="Q43" i="6"/>
  <c r="J22" i="4"/>
  <c r="F22" i="4"/>
  <c r="N22" i="4"/>
  <c r="P22" i="4" s="1"/>
  <c r="J25" i="4"/>
  <c r="F25" i="4"/>
  <c r="N25" i="4"/>
  <c r="P25" i="4" s="1"/>
  <c r="J41" i="4"/>
  <c r="F41" i="4"/>
  <c r="N41" i="4"/>
  <c r="P41" i="4" s="1"/>
  <c r="T41" i="6"/>
  <c r="T40" i="6"/>
  <c r="T39" i="6"/>
  <c r="T38" i="6"/>
  <c r="T33" i="6"/>
  <c r="T32" i="6"/>
  <c r="T31" i="6"/>
  <c r="E24" i="1"/>
  <c r="T8" i="6"/>
  <c r="T29" i="6"/>
  <c r="T26" i="6"/>
  <c r="F24" i="1"/>
  <c r="T16" i="6"/>
  <c r="T28" i="6"/>
  <c r="D24" i="1"/>
  <c r="T15" i="6"/>
  <c r="T14" i="6"/>
  <c r="T13" i="6"/>
  <c r="T19" i="6"/>
  <c r="T18" i="6"/>
  <c r="T17" i="6"/>
  <c r="T34" i="6"/>
  <c r="T12" i="6"/>
  <c r="T11" i="6"/>
  <c r="T10" i="6"/>
  <c r="T9" i="6"/>
  <c r="T7" i="6"/>
  <c r="R43" i="6"/>
  <c r="S43" i="6"/>
  <c r="B24" i="1"/>
  <c r="C24" i="1"/>
  <c r="M10" i="5"/>
  <c r="T16" i="5" s="1"/>
  <c r="S23" i="5"/>
  <c r="T23" i="5"/>
  <c r="U23" i="5"/>
  <c r="S24" i="5"/>
  <c r="T24" i="5"/>
  <c r="U24" i="5"/>
  <c r="S25" i="5"/>
  <c r="T25" i="5"/>
  <c r="U25" i="5"/>
  <c r="S26" i="5"/>
  <c r="T26" i="5"/>
  <c r="U26" i="5"/>
  <c r="S27" i="5"/>
  <c r="T27" i="5"/>
  <c r="U27" i="5"/>
  <c r="S18" i="5"/>
  <c r="U18" i="5" s="1"/>
  <c r="T18" i="5"/>
  <c r="U16" i="5" l="1"/>
  <c r="Q37" i="4"/>
  <c r="M37" i="4"/>
  <c r="Q15" i="4"/>
  <c r="M15" i="4"/>
  <c r="Q10" i="4"/>
  <c r="M10" i="4"/>
  <c r="Q31" i="4"/>
  <c r="M31" i="4"/>
  <c r="Q14" i="4"/>
  <c r="M14" i="4"/>
  <c r="Q21" i="4"/>
  <c r="M21" i="4"/>
  <c r="Q11" i="4"/>
  <c r="M11" i="4"/>
  <c r="M39" i="4"/>
  <c r="Q39" i="4"/>
  <c r="S5" i="4"/>
  <c r="L43" i="4"/>
  <c r="K43" i="4"/>
  <c r="R5" i="4"/>
  <c r="Q5" i="4"/>
  <c r="J43" i="4"/>
  <c r="M5" i="4"/>
  <c r="B46" i="4"/>
  <c r="B47" i="4"/>
  <c r="B48" i="4"/>
  <c r="Q36" i="4"/>
  <c r="M36" i="4"/>
  <c r="Q20" i="4"/>
  <c r="M20" i="4"/>
  <c r="Q32" i="4"/>
  <c r="M32" i="4"/>
  <c r="Q34" i="4"/>
  <c r="M34" i="4"/>
  <c r="Q17" i="4"/>
  <c r="M17" i="4"/>
  <c r="Q38" i="4"/>
  <c r="M38" i="4"/>
  <c r="Q24" i="4"/>
  <c r="M24" i="4"/>
  <c r="Q7" i="4"/>
  <c r="M7" i="4"/>
  <c r="Q40" i="4"/>
  <c r="M40" i="4"/>
  <c r="Q9" i="4"/>
  <c r="M9" i="4"/>
  <c r="Q42" i="4"/>
  <c r="M42" i="4"/>
  <c r="Q16" i="4"/>
  <c r="M16" i="4"/>
  <c r="Q33" i="4"/>
  <c r="M33" i="4"/>
  <c r="Q26" i="4"/>
  <c r="M26" i="4"/>
  <c r="Q18" i="4"/>
  <c r="M18" i="4"/>
  <c r="Q30" i="4"/>
  <c r="M30" i="4"/>
  <c r="Q29" i="4"/>
  <c r="M29" i="4"/>
  <c r="M35" i="4"/>
  <c r="Q35" i="4"/>
  <c r="Q12" i="4"/>
  <c r="M12" i="4"/>
  <c r="Q19" i="4"/>
  <c r="M19" i="4"/>
  <c r="Q23" i="4"/>
  <c r="M23" i="4"/>
  <c r="Q13" i="4"/>
  <c r="M13" i="4"/>
  <c r="Q28" i="4"/>
  <c r="M28" i="4"/>
  <c r="Q6" i="4"/>
  <c r="M6" i="4"/>
  <c r="Q8" i="4"/>
  <c r="M8" i="4"/>
  <c r="Q27" i="4"/>
  <c r="M27" i="4"/>
  <c r="Q22" i="4"/>
  <c r="M22" i="4"/>
  <c r="Q25" i="4"/>
  <c r="M25" i="4"/>
  <c r="M41" i="4"/>
  <c r="Q41" i="4"/>
  <c r="S28" i="5"/>
  <c r="S29" i="5" s="1"/>
  <c r="V23" i="5"/>
  <c r="F43" i="4"/>
  <c r="F63" i="4" s="1"/>
  <c r="F65" i="4" s="1"/>
  <c r="F66" i="4" s="1"/>
  <c r="V26" i="5"/>
  <c r="T28" i="5"/>
  <c r="T29" i="5" s="1"/>
  <c r="T43" i="6"/>
  <c r="U28" i="5"/>
  <c r="U29" i="5" s="1"/>
  <c r="V24" i="5"/>
  <c r="W24" i="5" s="1"/>
  <c r="V25" i="5"/>
  <c r="W25" i="5" s="1"/>
  <c r="V27" i="5"/>
  <c r="S43" i="4" l="1"/>
  <c r="B55" i="4"/>
  <c r="R43" i="4"/>
  <c r="B54" i="4"/>
  <c r="B53" i="4"/>
  <c r="Q43" i="4"/>
  <c r="W23" i="5"/>
  <c r="V28" i="5"/>
  <c r="M43" i="4"/>
  <c r="B52" i="4" s="1"/>
  <c r="B49" i="4"/>
</calcChain>
</file>

<file path=xl/sharedStrings.xml><?xml version="1.0" encoding="utf-8"?>
<sst xmlns="http://schemas.openxmlformats.org/spreadsheetml/2006/main" count="1893" uniqueCount="483">
  <si>
    <t>TN 2026 Exit Poll Analysis — data export</t>
  </si>
  <si>
    <t>Export of the "TN 2026 Exit Poll Analysis" dashboard. Blue = counts from the survey file; black = formulas.</t>
  </si>
  <si>
    <t>Headline</t>
  </si>
  <si>
    <t>Votes analysed</t>
  </si>
  <si>
    <t>With district or AC</t>
  </si>
  <si>
    <t>Vote only (no location)</t>
  </si>
  <si>
    <t>Constituencies covered</t>
  </si>
  <si>
    <t>Firm calls (Strong + Lean)</t>
  </si>
  <si>
    <t>Vote share</t>
  </si>
  <si>
    <t>Respondent group</t>
  </si>
  <si>
    <t>TVK</t>
  </si>
  <si>
    <t>AIADMK+</t>
  </si>
  <si>
    <t>DMK+</t>
  </si>
  <si>
    <t>NTK</t>
  </si>
  <si>
    <t>NOTA</t>
  </si>
  <si>
    <t>All responses</t>
  </si>
  <si>
    <t>Projected seats (234)</t>
  </si>
  <si>
    <t>Party</t>
  </si>
  <si>
    <t>Seats</t>
  </si>
  <si>
    <t>Strong</t>
  </si>
  <si>
    <t>Lean</t>
  </si>
  <si>
    <t>Toss-up</t>
  </si>
  <si>
    <t>Low sample</t>
  </si>
  <si>
    <t>AIADMK+BJP+PMK+AMMK</t>
  </si>
  <si>
    <t>DMK+INC+VCK</t>
  </si>
  <si>
    <t>Tie</t>
  </si>
  <si>
    <t>Total</t>
  </si>
  <si>
    <t>Majority = 118. Seats use shares shifted to all 31,316 votes (uniform swing); see Statewide Votes.</t>
  </si>
  <si>
    <t>Districts led</t>
  </si>
  <si>
    <t>Districts</t>
  </si>
  <si>
    <t>Statewide votes by respondent group</t>
  </si>
  <si>
    <t>Source: TN Election Poll 2026 file (7 forms), 31,316 responses with a party chosen, no rows removed. "Others" was already counted under DMK+INC+VCK in the file.</t>
  </si>
  <si>
    <t>TVK votes</t>
  </si>
  <si>
    <t>AIADMK+ votes</t>
  </si>
  <si>
    <t>DMK+ votes</t>
  </si>
  <si>
    <t>NTK votes</t>
  </si>
  <si>
    <t>NOTA votes</t>
  </si>
  <si>
    <t>TVK share</t>
  </si>
  <si>
    <t>AIADMK+ share</t>
  </si>
  <si>
    <t>DMK+ share</t>
  </si>
  <si>
    <t>NTK share</t>
  </si>
  <si>
    <t>NOTA share</t>
  </si>
  <si>
    <t>Shift to all 31,316 votes (pts)</t>
  </si>
  <si>
    <t>Shift = share among all votes minus share among votes with a location. It is added to every district and constituency share (uniform swing), so located results match the full sample level.</t>
  </si>
  <si>
    <t>Constituency-wise winners — shares shifted to all 31,316 votes</t>
  </si>
  <si>
    <t>Raw = share of that AC's own responses. Adjusted = raw + statewide shift (floored at 0). Confidence: Tie if margin 0; Low sample if n&lt;10; Strong if n≥30 and margin ≥10 pts; Lean if margin ≥5; else Toss-up.</t>
  </si>
  <si>
    <t>Constituency</t>
  </si>
  <si>
    <t>District</t>
  </si>
  <si>
    <t>Responses (n)</t>
  </si>
  <si>
    <t>TVK raw %</t>
  </si>
  <si>
    <t>AIADMK+ raw %</t>
  </si>
  <si>
    <t>DMK+ raw %</t>
  </si>
  <si>
    <t>NTK raw %</t>
  </si>
  <si>
    <t>NOTA raw %</t>
  </si>
  <si>
    <t>TVK adjusted %</t>
  </si>
  <si>
    <t>AIADMK+ adjusted %</t>
  </si>
  <si>
    <t>DMK+ adjusted %</t>
  </si>
  <si>
    <t>NTK adjusted %</t>
  </si>
  <si>
    <t>NOTA adjusted %</t>
  </si>
  <si>
    <t>Winner</t>
  </si>
  <si>
    <t>Runner-up</t>
  </si>
  <si>
    <t>Margin (pts)</t>
  </si>
  <si>
    <t>Confidence</t>
  </si>
  <si>
    <t>Winner before shift</t>
  </si>
  <si>
    <t>Winner %</t>
  </si>
  <si>
    <t>District (2026 ECI grouping)</t>
  </si>
  <si>
    <t>Ariyalur</t>
  </si>
  <si>
    <t>Jayankondam</t>
  </si>
  <si>
    <t>Chengalpattu</t>
  </si>
  <si>
    <t>Cheyyur</t>
  </si>
  <si>
    <t>Madurantakam</t>
  </si>
  <si>
    <t>Pallavaram</t>
  </si>
  <si>
    <t>Sholinganallur</t>
  </si>
  <si>
    <t>Tambaram</t>
  </si>
  <si>
    <t>Thiruporur</t>
  </si>
  <si>
    <t>Anna Nagar</t>
  </si>
  <si>
    <t>Chennai</t>
  </si>
  <si>
    <t>Chepauk-Thiruvallikeni</t>
  </si>
  <si>
    <t>Dr. Radhakrishnan Nagar</t>
  </si>
  <si>
    <t>Egmore</t>
  </si>
  <si>
    <t>Harbour</t>
  </si>
  <si>
    <t>Kolathur</t>
  </si>
  <si>
    <t>Mylapore</t>
  </si>
  <si>
    <t>Perambur</t>
  </si>
  <si>
    <t>Royapuram</t>
  </si>
  <si>
    <t>Saidapet</t>
  </si>
  <si>
    <t>Thiru-Vi-Ka-Nagar</t>
  </si>
  <si>
    <t>Thiyagarayanagar</t>
  </si>
  <si>
    <t>Thousand Lights</t>
  </si>
  <si>
    <t>Velachery</t>
  </si>
  <si>
    <t>Villivakkam</t>
  </si>
  <si>
    <t>Virugampakkam</t>
  </si>
  <si>
    <t>Coimbatore (North)</t>
  </si>
  <si>
    <t>Coimbatore</t>
  </si>
  <si>
    <t>Coimbatore (South)</t>
  </si>
  <si>
    <t>Kavundampalayam</t>
  </si>
  <si>
    <t>Kinathukadavu</t>
  </si>
  <si>
    <t>Mettupalayam</t>
  </si>
  <si>
    <t>Pollachi</t>
  </si>
  <si>
    <t>Singanallur</t>
  </si>
  <si>
    <t>Sulur</t>
  </si>
  <si>
    <t>Thondamuthur</t>
  </si>
  <si>
    <t>Valparai</t>
  </si>
  <si>
    <t>Bhuvanagiri</t>
  </si>
  <si>
    <t>Cuddalore</t>
  </si>
  <si>
    <t>Chidambaram</t>
  </si>
  <si>
    <t>Kattumannarkoil</t>
  </si>
  <si>
    <t>Kurinjipadi</t>
  </si>
  <si>
    <t>Neyveli</t>
  </si>
  <si>
    <t>Panruti</t>
  </si>
  <si>
    <t>Tittakudi</t>
  </si>
  <si>
    <t>Virudhachalam</t>
  </si>
  <si>
    <t>Dharmapuri</t>
  </si>
  <si>
    <t>Harur</t>
  </si>
  <si>
    <t>Palacode</t>
  </si>
  <si>
    <t>Pappireddippatti</t>
  </si>
  <si>
    <t>Pennagaram</t>
  </si>
  <si>
    <t>Athoor</t>
  </si>
  <si>
    <t>Dindigul</t>
  </si>
  <si>
    <t>Natham</t>
  </si>
  <si>
    <t>Nilakottai</t>
  </si>
  <si>
    <t>Oddanchatram</t>
  </si>
  <si>
    <t>Palani</t>
  </si>
  <si>
    <t>Vedasandur</t>
  </si>
  <si>
    <t>Anthiyur</t>
  </si>
  <si>
    <t>Erode</t>
  </si>
  <si>
    <t>Bhavani</t>
  </si>
  <si>
    <t>Bhavanisagar</t>
  </si>
  <si>
    <t>Erode (East)</t>
  </si>
  <si>
    <t>Erode (West)</t>
  </si>
  <si>
    <t>Gobichettipalayam</t>
  </si>
  <si>
    <t>Modakkurichi</t>
  </si>
  <si>
    <t>Perundurai</t>
  </si>
  <si>
    <t>Kallakurichi</t>
  </si>
  <si>
    <t>Rishivandiyam</t>
  </si>
  <si>
    <t>Sankarapuram</t>
  </si>
  <si>
    <t>Ulundurpettai</t>
  </si>
  <si>
    <t>Alandur</t>
  </si>
  <si>
    <t>Kancheepuram</t>
  </si>
  <si>
    <t>Sriperumbudur</t>
  </si>
  <si>
    <t>Uthiramerur</t>
  </si>
  <si>
    <t>Colachal</t>
  </si>
  <si>
    <t>Kanniyakumari</t>
  </si>
  <si>
    <t>Killiyoor</t>
  </si>
  <si>
    <t>Nagercoil</t>
  </si>
  <si>
    <t>Padmanabhapuram</t>
  </si>
  <si>
    <t>Vilavancode</t>
  </si>
  <si>
    <t>Aravakurichi</t>
  </si>
  <si>
    <t>Karur</t>
  </si>
  <si>
    <t>Krishnarayapuram</t>
  </si>
  <si>
    <t>Kulithalai</t>
  </si>
  <si>
    <t>Bargur</t>
  </si>
  <si>
    <t>Krishnagiri</t>
  </si>
  <si>
    <t>Hosur</t>
  </si>
  <si>
    <t>Thalli</t>
  </si>
  <si>
    <t>Uthangarai</t>
  </si>
  <si>
    <t>Veppanahalli</t>
  </si>
  <si>
    <t>Madurai Central</t>
  </si>
  <si>
    <t>Madurai</t>
  </si>
  <si>
    <t>Madurai East</t>
  </si>
  <si>
    <t>Madurai North</t>
  </si>
  <si>
    <t>Madurai South</t>
  </si>
  <si>
    <t>Madurai West</t>
  </si>
  <si>
    <t>Melur</t>
  </si>
  <si>
    <t>Sholavandan</t>
  </si>
  <si>
    <t>Thirumangalam</t>
  </si>
  <si>
    <t>Thiruparankundram</t>
  </si>
  <si>
    <t>Usilampatti</t>
  </si>
  <si>
    <t>Mayiladuturai</t>
  </si>
  <si>
    <t>Mayiladuthurai</t>
  </si>
  <si>
    <t>Poompuhar</t>
  </si>
  <si>
    <t>Sirkazhi</t>
  </si>
  <si>
    <t>Kilvelur</t>
  </si>
  <si>
    <t>Nagapattinam</t>
  </si>
  <si>
    <t>Vedaranyam</t>
  </si>
  <si>
    <t>Kumarapalayam</t>
  </si>
  <si>
    <t>Namakkal</t>
  </si>
  <si>
    <t>Paramathi Velur</t>
  </si>
  <si>
    <t>Rasipuram</t>
  </si>
  <si>
    <t>Senthamangalam</t>
  </si>
  <si>
    <t>Tiruchengodu</t>
  </si>
  <si>
    <t>Kunnam</t>
  </si>
  <si>
    <t>Perambalur</t>
  </si>
  <si>
    <t>Alangudi</t>
  </si>
  <si>
    <t>Pudukkottai</t>
  </si>
  <si>
    <t>Aranthangi</t>
  </si>
  <si>
    <t>Gandarvakottai</t>
  </si>
  <si>
    <t>Thirumayam</t>
  </si>
  <si>
    <t>Viralimalai</t>
  </si>
  <si>
    <t>Mudhukulathur</t>
  </si>
  <si>
    <t>Ramanathapuram</t>
  </si>
  <si>
    <t>Paramakudi</t>
  </si>
  <si>
    <t>Tiruvadanai</t>
  </si>
  <si>
    <t>Arakkonam</t>
  </si>
  <si>
    <t>Ranipet</t>
  </si>
  <si>
    <t>Arcot</t>
  </si>
  <si>
    <t>Sholingur</t>
  </si>
  <si>
    <t>Attur</t>
  </si>
  <si>
    <t>Salem</t>
  </si>
  <si>
    <t>Edappadi</t>
  </si>
  <si>
    <t>Gangavalli</t>
  </si>
  <si>
    <t>Mettur</t>
  </si>
  <si>
    <t>Omalur</t>
  </si>
  <si>
    <t>Salem (North)</t>
  </si>
  <si>
    <t>Salem (South)</t>
  </si>
  <si>
    <t>Salem (West)</t>
  </si>
  <si>
    <t>Sankari</t>
  </si>
  <si>
    <t>Veerapandi</t>
  </si>
  <si>
    <t>Yercaud</t>
  </si>
  <si>
    <t>Karaikudi</t>
  </si>
  <si>
    <t>Sivaganga</t>
  </si>
  <si>
    <t>Manamadurai</t>
  </si>
  <si>
    <t>Tiruppattur</t>
  </si>
  <si>
    <t>Alangulam</t>
  </si>
  <si>
    <t>Tenkasi</t>
  </si>
  <si>
    <t>Kadayanallur</t>
  </si>
  <si>
    <t>Sankarankovil</t>
  </si>
  <si>
    <t>Vasudevanallur</t>
  </si>
  <si>
    <t>Kumbakonam</t>
  </si>
  <si>
    <t>Thanjavur</t>
  </si>
  <si>
    <t>Orathanadu</t>
  </si>
  <si>
    <t>Papanasam</t>
  </si>
  <si>
    <t>Pattukkottai</t>
  </si>
  <si>
    <t>Peravurani</t>
  </si>
  <si>
    <t>Thiruvaiyaru</t>
  </si>
  <si>
    <t>Thiruvidaimarudur</t>
  </si>
  <si>
    <t>Coonoor</t>
  </si>
  <si>
    <t>The Nilgiris</t>
  </si>
  <si>
    <t>Gudalur</t>
  </si>
  <si>
    <t>Udhagamandalam</t>
  </si>
  <si>
    <t>Andipatti</t>
  </si>
  <si>
    <t>Theni</t>
  </si>
  <si>
    <t>Bodinayakanur</t>
  </si>
  <si>
    <t>Cumbum</t>
  </si>
  <si>
    <t>Periyakulam</t>
  </si>
  <si>
    <t>Ambattur</t>
  </si>
  <si>
    <t>Thiruvallur</t>
  </si>
  <si>
    <t>Avadi</t>
  </si>
  <si>
    <t>Gummidipoondi</t>
  </si>
  <si>
    <t>Madavaram</t>
  </si>
  <si>
    <t>Maduravoyal</t>
  </si>
  <si>
    <t>Ponneri</t>
  </si>
  <si>
    <t>Poonamallee</t>
  </si>
  <si>
    <t>Thiruvottiyur</t>
  </si>
  <si>
    <t>Tiruttani</t>
  </si>
  <si>
    <t>Kovilpatti</t>
  </si>
  <si>
    <t>Thoothukudi</t>
  </si>
  <si>
    <t>Ottapidaram</t>
  </si>
  <si>
    <t>Srivaikuntam</t>
  </si>
  <si>
    <t>Thoothukkudi</t>
  </si>
  <si>
    <t>Tiruchendur</t>
  </si>
  <si>
    <t>Vilathikulam</t>
  </si>
  <si>
    <t>Lalgudi</t>
  </si>
  <si>
    <t>Tiruchirappalli</t>
  </si>
  <si>
    <t>Manachanallur</t>
  </si>
  <si>
    <t>Manapaarai</t>
  </si>
  <si>
    <t>Musiri</t>
  </si>
  <si>
    <t>Srirangam</t>
  </si>
  <si>
    <t>Thiruverumbur</t>
  </si>
  <si>
    <t>Thuraiyur</t>
  </si>
  <si>
    <t>Tiruchirappalli (East)</t>
  </si>
  <si>
    <t>Tiruchirappalli (West)</t>
  </si>
  <si>
    <t>Ambasamudram</t>
  </si>
  <si>
    <t>Tirunelveli</t>
  </si>
  <si>
    <t>Nanguneri</t>
  </si>
  <si>
    <t>Palayamkottai</t>
  </si>
  <si>
    <t>Radhapuram</t>
  </si>
  <si>
    <t>Ambur</t>
  </si>
  <si>
    <t>Tirupathur</t>
  </si>
  <si>
    <t>Jolarpet</t>
  </si>
  <si>
    <t>Vaniyambadi</t>
  </si>
  <si>
    <t>Avanashi</t>
  </si>
  <si>
    <t>Tiruppur</t>
  </si>
  <si>
    <t>Dharapuram</t>
  </si>
  <si>
    <t>Kangayam</t>
  </si>
  <si>
    <t>Madathukulam</t>
  </si>
  <si>
    <t>Palladam</t>
  </si>
  <si>
    <t>Tiruppur (North)</t>
  </si>
  <si>
    <t>Tiruppur (South)</t>
  </si>
  <si>
    <t>Udumalaipettai</t>
  </si>
  <si>
    <t>Arani</t>
  </si>
  <si>
    <t>Tiruvannamalai</t>
  </si>
  <si>
    <t>Chengam</t>
  </si>
  <si>
    <t>Cheyyar</t>
  </si>
  <si>
    <t>Kalasapakkam</t>
  </si>
  <si>
    <t>Kilpennathur</t>
  </si>
  <si>
    <t>Polur</t>
  </si>
  <si>
    <t>Vandavasi</t>
  </si>
  <si>
    <t>Mannargudi</t>
  </si>
  <si>
    <t>Tiruvarur</t>
  </si>
  <si>
    <t>Nannilam</t>
  </si>
  <si>
    <t>Thiruthuraipoondi</t>
  </si>
  <si>
    <t>Thiruvarur</t>
  </si>
  <si>
    <t>Anaikattu</t>
  </si>
  <si>
    <t>Vellore</t>
  </si>
  <si>
    <t>Gudiyatham</t>
  </si>
  <si>
    <t>Katpadi</t>
  </si>
  <si>
    <t>Kilvaithinankuppam</t>
  </si>
  <si>
    <t>Gingee</t>
  </si>
  <si>
    <t>Villupuram</t>
  </si>
  <si>
    <t>Mailam</t>
  </si>
  <si>
    <t>Tindivanam</t>
  </si>
  <si>
    <t>Tirukkoyilur</t>
  </si>
  <si>
    <t>Vanur</t>
  </si>
  <si>
    <t>Vikravandi</t>
  </si>
  <si>
    <t>Aruppukkottai</t>
  </si>
  <si>
    <t>Virudhunagar</t>
  </si>
  <si>
    <t>Rajapalayam</t>
  </si>
  <si>
    <t>Sattur</t>
  </si>
  <si>
    <t>Sivakasi</t>
  </si>
  <si>
    <t>Srivilliputhur</t>
  </si>
  <si>
    <t>Tiruchuli</t>
  </si>
  <si>
    <t>District seats — survey projection vs actual 2026 result</t>
  </si>
  <si>
    <t>Actual: ECI result declared 4 May 2026, constituency winners as listed by IndiaVotes (totals match ECI: TVK 108, DMK+ 73, AIADMK+ 53), summed by district. Districts follow the Wikipedia/ECI table: Chennai includes Maduravoyal, Ambattur, Madavaram, Thiruvottiyur, Sholinganallur and Alandur.</t>
  </si>
  <si>
    <t>Proj. TVK</t>
  </si>
  <si>
    <t>Proj. AIADMK+</t>
  </si>
  <si>
    <t>Proj. DMK+</t>
  </si>
  <si>
    <t>Proj. other / tie</t>
  </si>
  <si>
    <t>Actual TVK</t>
  </si>
  <si>
    <t>Actual AIADMK+</t>
  </si>
  <si>
    <t>Actual DMK+</t>
  </si>
  <si>
    <t>Actual − Proj. TVK</t>
  </si>
  <si>
    <t>Actual − Proj. AIADMK+</t>
  </si>
  <si>
    <t>Actual − Proj. DMK+</t>
  </si>
  <si>
    <t>Seat error (abs)</t>
  </si>
  <si>
    <t>Projected top party</t>
  </si>
  <si>
    <t>Actual top party</t>
  </si>
  <si>
    <t>Top party match?</t>
  </si>
  <si>
    <t>TVK actual ≥ proj.?</t>
  </si>
  <si>
    <t>AIADMK+ actual ≥ proj.?</t>
  </si>
  <si>
    <t>DMK+ actual ≥ proj.?</t>
  </si>
  <si>
    <t>Tamil Nadu</t>
  </si>
  <si>
    <t>Accuracy</t>
  </si>
  <si>
    <t>Districts where projected top party = actual top party</t>
  </si>
  <si>
    <t>Districts with a tie on either side</t>
  </si>
  <si>
    <t>Districts missed</t>
  </si>
  <si>
    <t>Hit rate (excluding ties)</t>
  </si>
  <si>
    <t>Seats called for the right party (min of projected and actual, summed)</t>
  </si>
  <si>
    <t>Share of 234 seats matched at district level</t>
  </si>
  <si>
    <t>Total absolute seat error</t>
  </si>
  <si>
    <t>Districts where TVK actual ≥ projected</t>
  </si>
  <si>
    <t>Districts where AIADMK+ actual ≥ projected</t>
  </si>
  <si>
    <t>Districts where DMK+ actual ≥ projected</t>
  </si>
  <si>
    <t>Statewide — survey vs actual 2026</t>
  </si>
  <si>
    <t>Measure</t>
  </si>
  <si>
    <t>NOTA / others</t>
  </si>
  <si>
    <t>Survey vote share (all 31,316)</t>
  </si>
  <si>
    <t>Actual vote share (ECI)</t>
  </si>
  <si>
    <t>Actual − survey (pts)</t>
  </si>
  <si>
    <t>Projected seats (survey)</t>
  </si>
  <si>
    <t>Actual seats (ECI)</t>
  </si>
  <si>
    <t>Actual − projected seats</t>
  </si>
  <si>
    <t>Actual ≥ projected?</t>
  </si>
  <si>
    <t>Actual alliance totals: DMK+ includes DMDK (1 seat); AIADMK+ includes AMMK (1 seat). District seats are now summed from the constituency winners, so they match the ECI party totals (Wikipedia's district table sums to 72 / 54).</t>
  </si>
  <si>
    <t>Constituency-wise — survey prediction vs actual 2026 winner</t>
  </si>
  <si>
    <t>Actual 2026 winners: ECI result (4 May 2026) as listed by IndiaVotes (indiavotes.com/compare/vidhan-sabha/tamil-nadu/2021/2026); party totals match the ECI tally (TVK 108, DMK 59, AIADMK 47, INC 5, PMK 4 …). 2021: ECI. Prediction: AC Results sheet (shifted to all 31,316 votes).</t>
  </si>
  <si>
    <t>AC No</t>
  </si>
  <si>
    <t>2021 winner party</t>
  </si>
  <si>
    <t>2021 alliance</t>
  </si>
  <si>
    <t>Survey n</t>
  </si>
  <si>
    <t>Predicted winner</t>
  </si>
  <si>
    <t>Predicted margin (pts)</t>
  </si>
  <si>
    <t>Prediction before shift</t>
  </si>
  <si>
    <t>Actual 2026 winner party</t>
  </si>
  <si>
    <t>Actual 2026 alliance</t>
  </si>
  <si>
    <t>Match?</t>
  </si>
  <si>
    <t>Match before shift?</t>
  </si>
  <si>
    <t>Alliance changed 2021→2026?</t>
  </si>
  <si>
    <t>Accuracy summary</t>
  </si>
  <si>
    <t>DMK</t>
  </si>
  <si>
    <t>Seats predicted correctly</t>
  </si>
  <si>
    <t>INC</t>
  </si>
  <si>
    <t>ADMK</t>
  </si>
  <si>
    <t>Correct before shift</t>
  </si>
  <si>
    <t>Accuracy before shift</t>
  </si>
  <si>
    <t>Baseline: every seat to TVK</t>
  </si>
  <si>
    <t>Baseline: 2021 alliance holds</t>
  </si>
  <si>
    <t>Accuracy by confidence</t>
  </si>
  <si>
    <t>Correct</t>
  </si>
  <si>
    <t>Predicted (rows) vs actual (columns)</t>
  </si>
  <si>
    <t>Predicted \ Actual</t>
  </si>
  <si>
    <t>Precision</t>
  </si>
  <si>
    <t>–</t>
  </si>
  <si>
    <t>Total actual</t>
  </si>
  <si>
    <t>Recall</t>
  </si>
  <si>
    <t>Accuracy by 2021→2026 outcome</t>
  </si>
  <si>
    <t>Outcome</t>
  </si>
  <si>
    <t>Held</t>
  </si>
  <si>
    <t>Changed</t>
  </si>
  <si>
    <t>VCK</t>
  </si>
  <si>
    <t>AIADMK</t>
  </si>
  <si>
    <t>IUML</t>
  </si>
  <si>
    <t>CPI</t>
  </si>
  <si>
    <t>PMK</t>
  </si>
  <si>
    <t>BJP</t>
  </si>
  <si>
    <t>DMDK</t>
  </si>
  <si>
    <t>CPI(M)</t>
  </si>
  <si>
    <t>CPM</t>
  </si>
  <si>
    <t>AMMK</t>
  </si>
  <si>
    <t>Party vote share and seats, by district — shifted to all 31,316 votes</t>
  </si>
  <si>
    <t>District = constituency the respondent picked (current 38 districts), else the district they picked. Seats = constituencies each party leads after the shift.</t>
  </si>
  <si>
    <t>Leader</t>
  </si>
  <si>
    <t>Lead (pts)</t>
  </si>
  <si>
    <t>TVK lead/deficit (pts)</t>
  </si>
  <si>
    <t>ACs</t>
  </si>
  <si>
    <t>TVK seats</t>
  </si>
  <si>
    <t>AIADMK+ seats</t>
  </si>
  <si>
    <t>DMK+ seats</t>
  </si>
  <si>
    <t>Other / tie</t>
  </si>
  <si>
    <t>Vote split by age group, religion and survey form</t>
  </si>
  <si>
    <t>Only some forms asked age and religion, so those groups are smaller. Shares = % of that group voting for each party; each row adds to 100%.</t>
  </si>
  <si>
    <t>Dimension</t>
  </si>
  <si>
    <t>Group</t>
  </si>
  <si>
    <t>n</t>
  </si>
  <si>
    <t>TVK %</t>
  </si>
  <si>
    <t>AIADMK+ %</t>
  </si>
  <si>
    <t>DMK+ %</t>
  </si>
  <si>
    <t>NTK %</t>
  </si>
  <si>
    <t>NOTA %</t>
  </si>
  <si>
    <t>Age group</t>
  </si>
  <si>
    <t>18 - 25</t>
  </si>
  <si>
    <t>26 - 35</t>
  </si>
  <si>
    <t>36 - 45</t>
  </si>
  <si>
    <t>46 - 55</t>
  </si>
  <si>
    <t>56 - 65</t>
  </si>
  <si>
    <t>66 &amp; above</t>
  </si>
  <si>
    <t>Religion</t>
  </si>
  <si>
    <t>Hindu</t>
  </si>
  <si>
    <t>Christian</t>
  </si>
  <si>
    <t>Muslim</t>
  </si>
  <si>
    <t>Others</t>
  </si>
  <si>
    <t>Survey form</t>
  </si>
  <si>
    <t>State Wide</t>
  </si>
  <si>
    <t>Central Zone</t>
  </si>
  <si>
    <t>South Zone</t>
  </si>
  <si>
    <t>West Zone</t>
  </si>
  <si>
    <t>North Zone</t>
  </si>
  <si>
    <t>State Wide Demographics</t>
  </si>
  <si>
    <t>State Wide Demographics Beta</t>
  </si>
  <si>
    <t>Categorical models of party choice — validation</t>
  </si>
  <si>
    <t>Outcome: party chosen (NOTA excluded). 80/20 stratified train/test split, 5-fold CV. Best = lowest test log loss. Full detail: TN-2026-Party-Choice-Models.xlsx.</t>
  </si>
  <si>
    <t>Sample</t>
  </si>
  <si>
    <t>Model</t>
  </si>
  <si>
    <t>CV accuracy %</t>
  </si>
  <si>
    <t>CV SD</t>
  </si>
  <si>
    <t>Train %</t>
  </si>
  <si>
    <t>Test %</t>
  </si>
  <si>
    <t>Balanced %</t>
  </si>
  <si>
    <t>Macro F1 %</t>
  </si>
  <si>
    <t>Log loss</t>
  </si>
  <si>
    <t>AUC</t>
  </si>
  <si>
    <t>Share MAPE %</t>
  </si>
  <si>
    <t>Best</t>
  </si>
  <si>
    <t>A · All votes</t>
  </si>
  <si>
    <t>Baseline (most common party)</t>
  </si>
  <si>
    <t>Multinomial logistic</t>
  </si>
  <si>
    <t>Naive Bayes</t>
  </si>
  <si>
    <t>Decision tree</t>
  </si>
  <si>
    <t>Random forest</t>
  </si>
  <si>
    <t>Yes</t>
  </si>
  <si>
    <t>XGBoost</t>
  </si>
  <si>
    <t>B · With location</t>
  </si>
  <si>
    <t>C · With age &amp; religion</t>
  </si>
  <si>
    <t>Significant predictors (p &lt; 0.05) — multinomial logit, relative risk ratio vs TVK</t>
  </si>
  <si>
    <t>Variable</t>
  </si>
  <si>
    <t>Reference</t>
  </si>
  <si>
    <t>Party (vs TVK)</t>
  </si>
  <si>
    <t>RRR</t>
  </si>
  <si>
    <t>95% CI low</t>
  </si>
  <si>
    <t>95% CI high</t>
  </si>
  <si>
    <t>p-value</t>
  </si>
  <si>
    <t>Effect</t>
  </si>
  <si>
    <t>AIADMK alliance</t>
  </si>
  <si>
    <t>Opened via</t>
  </si>
  <si>
    <t>Facebook</t>
  </si>
  <si>
    <t>Instagram</t>
  </si>
  <si>
    <t>Region</t>
  </si>
  <si>
    <t>Central/Delta</t>
  </si>
  <si>
    <t>Chennai metro</t>
  </si>
  <si>
    <t>North</t>
  </si>
  <si>
    <t>South</t>
  </si>
  <si>
    <t>West (Kongu)</t>
  </si>
  <si>
    <t>DMK alliance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</si>
</sst>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+0.00;\-0.00;0.00"/>
    <numFmt numFmtId="166" formatCode="\+0;\-0;0"/>
    <numFmt numFmtId="167" formatCode="\+0.0;\-0.0;0.0"/>
    <numFmt numFmtId="168" formatCode="0.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1"/>
      <color rgb="FF595959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2141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5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166" fontId="0" fillId="0" borderId="0" xfId="0" applyNumberFormat="1"/>
    <xf numFmtId="166" fontId="3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67" fontId="0" fillId="0" borderId="0" xfId="0" applyNumberFormat="1"/>
    <xf numFmtId="1" fontId="0" fillId="0" borderId="0" xfId="0" applyNumberFormat="1"/>
    <xf numFmtId="1" fontId="5" fillId="0" borderId="0" xfId="0" applyNumberFormat="1" applyFont="1"/>
    <xf numFmtId="49" fontId="0" fillId="0" borderId="0" xfId="0" applyNumberFormat="1"/>
    <xf numFmtId="168" fontId="5" fillId="0" borderId="0" xfId="0" applyNumberFormat="1" applyFont="1"/>
  </cellXfs>
  <cellStyles count="1">
    <cellStyle name="Normal" xfId="0" builtinId="0"/>
  </cellStyles>
  <dxfs count="34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ont>
        <b/>
        <color rgb="FFB7791F"/>
        <name val="Arial"/>
        <charset val="1"/>
      </font>
    </dxf>
    <dxf>
      <font>
        <b/>
        <color rgb="FF1F7A3A"/>
        <name val="Arial"/>
        <charset val="1"/>
      </font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B7791F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214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4" width="14" customWidth="1"/>
    <col min="5" max="6" width="12" customWidth="1"/>
  </cols>
  <sheetData>
    <row r="1" spans="1:6" ht="18" x14ac:dyDescent="0.2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</row>
    <row r="5" spans="1:6" x14ac:dyDescent="0.2">
      <c r="A5" t="s">
        <v>3</v>
      </c>
      <c r="B5" s="4">
        <f>'Statewide Votes'!G5</f>
        <v>31316</v>
      </c>
    </row>
    <row r="6" spans="1:6" x14ac:dyDescent="0.2">
      <c r="A6" t="s">
        <v>4</v>
      </c>
      <c r="B6" s="4">
        <f>'Statewide Votes'!G6</f>
        <v>11449</v>
      </c>
    </row>
    <row r="7" spans="1:6" x14ac:dyDescent="0.2">
      <c r="A7" t="s">
        <v>5</v>
      </c>
      <c r="B7" s="4">
        <f>'Statewide Votes'!G7</f>
        <v>19867</v>
      </c>
    </row>
    <row r="8" spans="1:6" x14ac:dyDescent="0.2">
      <c r="A8" t="s">
        <v>6</v>
      </c>
      <c r="B8" s="5">
        <f>COUNTA('AC Results'!$A$5:$A$238)</f>
        <v>234</v>
      </c>
    </row>
    <row r="9" spans="1:6" x14ac:dyDescent="0.2">
      <c r="A9" t="s">
        <v>7</v>
      </c>
      <c r="B9" s="5">
        <f>COUNTIF('AC Results'!$V$5:$V$238,"Strong")+COUNTIF('AC Results'!$V$5:$V$238,"Lean")</f>
        <v>159</v>
      </c>
    </row>
    <row r="11" spans="1:6" x14ac:dyDescent="0.2">
      <c r="A11" s="3" t="s">
        <v>8</v>
      </c>
    </row>
    <row r="12" spans="1:6" ht="36" customHeight="1" x14ac:dyDescent="0.2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</row>
    <row r="13" spans="1:6" x14ac:dyDescent="0.2">
      <c r="A13" t="s">
        <v>15</v>
      </c>
      <c r="B13" s="7">
        <f>'Statewide Votes'!H5</f>
        <v>0.34780942649125046</v>
      </c>
      <c r="C13" s="7">
        <f>'Statewide Votes'!I5</f>
        <v>0.28279473751436968</v>
      </c>
      <c r="D13" s="7">
        <f>'Statewide Votes'!J5</f>
        <v>0.29205517946097842</v>
      </c>
      <c r="E13" s="7">
        <f>'Statewide Votes'!K5</f>
        <v>6.9389449482692558E-2</v>
      </c>
      <c r="F13" s="7">
        <f>'Statewide Votes'!L5</f>
        <v>7.9512070507089024E-3</v>
      </c>
    </row>
    <row r="14" spans="1:6" x14ac:dyDescent="0.2">
      <c r="A14" t="s">
        <v>4</v>
      </c>
      <c r="B14" s="7">
        <f>'Statewide Votes'!H6</f>
        <v>0.39243602061315397</v>
      </c>
      <c r="C14" s="7">
        <f>'Statewide Votes'!I6</f>
        <v>0.27539523102454361</v>
      </c>
      <c r="D14" s="7">
        <f>'Statewide Votes'!J6</f>
        <v>0.24770722333828282</v>
      </c>
      <c r="E14" s="7">
        <f>'Statewide Votes'!K6</f>
        <v>7.8172766180452435E-2</v>
      </c>
      <c r="F14" s="7">
        <f>'Statewide Votes'!L6</f>
        <v>6.2887588435671235E-3</v>
      </c>
    </row>
    <row r="15" spans="1:6" x14ac:dyDescent="0.2">
      <c r="A15" t="s">
        <v>5</v>
      </c>
      <c r="B15" s="7">
        <f>'Statewide Votes'!H7</f>
        <v>0.32209191120954345</v>
      </c>
      <c r="C15" s="7">
        <f>'Statewide Votes'!I7</f>
        <v>0.28705894196406101</v>
      </c>
      <c r="D15" s="7">
        <f>'Statewide Votes'!J7</f>
        <v>0.31761212060200333</v>
      </c>
      <c r="E15" s="7">
        <f>'Statewide Votes'!K7</f>
        <v>6.4327779735239343E-2</v>
      </c>
      <c r="F15" s="7">
        <f>'Statewide Votes'!L7</f>
        <v>8.9092464891528667E-3</v>
      </c>
    </row>
    <row r="17" spans="1:6" x14ac:dyDescent="0.2">
      <c r="A17" s="3" t="s">
        <v>16</v>
      </c>
    </row>
    <row r="18" spans="1:6" ht="36" customHeight="1" x14ac:dyDescent="0.2">
      <c r="A18" s="6" t="s">
        <v>17</v>
      </c>
      <c r="B18" s="6" t="s">
        <v>18</v>
      </c>
      <c r="C18" s="6" t="s">
        <v>19</v>
      </c>
      <c r="D18" s="6" t="s">
        <v>20</v>
      </c>
      <c r="E18" s="6" t="s">
        <v>21</v>
      </c>
      <c r="F18" s="6" t="s">
        <v>22</v>
      </c>
    </row>
    <row r="19" spans="1:6" x14ac:dyDescent="0.2">
      <c r="A19" t="s">
        <v>10</v>
      </c>
      <c r="B19">
        <f>COUNTIF('AC Results'!$S$5:$S$238,A19)</f>
        <v>115</v>
      </c>
      <c r="C19">
        <f>COUNTIFS('AC Results'!$S$5:$S$238,$A19,'AC Results'!$V$5:$V$238,"Strong")</f>
        <v>37</v>
      </c>
      <c r="D19">
        <f>COUNTIFS('AC Results'!$S$5:$S$238,$A19,'AC Results'!$V$5:$V$238,"Lean")</f>
        <v>46</v>
      </c>
      <c r="E19">
        <f>COUNTIFS('AC Results'!$S$5:$S$238,$A19,'AC Results'!$V$5:$V$238,"Toss-up")</f>
        <v>32</v>
      </c>
      <c r="F19">
        <f>COUNTIFS('AC Results'!$S$5:$S$238,$A19,'AC Results'!$V$5:$V$238,"Low sample")</f>
        <v>0</v>
      </c>
    </row>
    <row r="20" spans="1:6" x14ac:dyDescent="0.2">
      <c r="A20" t="s">
        <v>23</v>
      </c>
      <c r="B20">
        <f>COUNTIF('AC Results'!$S$5:$S$238,A20)</f>
        <v>60</v>
      </c>
      <c r="C20">
        <f>COUNTIFS('AC Results'!$S$5:$S$238,$A20,'AC Results'!$V$5:$V$238,"Strong")</f>
        <v>18</v>
      </c>
      <c r="D20">
        <f>COUNTIFS('AC Results'!$S$5:$S$238,$A20,'AC Results'!$V$5:$V$238,"Lean")</f>
        <v>25</v>
      </c>
      <c r="E20">
        <f>COUNTIFS('AC Results'!$S$5:$S$238,$A20,'AC Results'!$V$5:$V$238,"Toss-up")</f>
        <v>16</v>
      </c>
      <c r="F20">
        <f>COUNTIFS('AC Results'!$S$5:$S$238,$A20,'AC Results'!$V$5:$V$238,"Low sample")</f>
        <v>1</v>
      </c>
    </row>
    <row r="21" spans="1:6" x14ac:dyDescent="0.2">
      <c r="A21" t="s">
        <v>24</v>
      </c>
      <c r="B21">
        <f>COUNTIF('AC Results'!$S$5:$S$238,A21)</f>
        <v>56</v>
      </c>
      <c r="C21">
        <f>COUNTIFS('AC Results'!$S$5:$S$238,$A21,'AC Results'!$V$5:$V$238,"Strong")</f>
        <v>13</v>
      </c>
      <c r="D21">
        <f>COUNTIFS('AC Results'!$S$5:$S$238,$A21,'AC Results'!$V$5:$V$238,"Lean")</f>
        <v>18</v>
      </c>
      <c r="E21">
        <f>COUNTIFS('AC Results'!$S$5:$S$238,$A21,'AC Results'!$V$5:$V$238,"Toss-up")</f>
        <v>25</v>
      </c>
      <c r="F21">
        <f>COUNTIFS('AC Results'!$S$5:$S$238,$A21,'AC Results'!$V$5:$V$238,"Low sample")</f>
        <v>0</v>
      </c>
    </row>
    <row r="22" spans="1:6" x14ac:dyDescent="0.2">
      <c r="A22" t="s">
        <v>13</v>
      </c>
      <c r="B22">
        <f>COUNTIF('AC Results'!$S$5:$S$238,A22)</f>
        <v>3</v>
      </c>
      <c r="C22">
        <f>COUNTIFS('AC Results'!$S$5:$S$238,$A22,'AC Results'!$V$5:$V$238,"Strong")</f>
        <v>1</v>
      </c>
      <c r="D22">
        <f>COUNTIFS('AC Results'!$S$5:$S$238,$A22,'AC Results'!$V$5:$V$238,"Lean")</f>
        <v>1</v>
      </c>
      <c r="E22">
        <f>COUNTIFS('AC Results'!$S$5:$S$238,$A22,'AC Results'!$V$5:$V$238,"Toss-up")</f>
        <v>1</v>
      </c>
      <c r="F22">
        <f>COUNTIFS('AC Results'!$S$5:$S$238,$A22,'AC Results'!$V$5:$V$238,"Low sample")</f>
        <v>0</v>
      </c>
    </row>
    <row r="23" spans="1:6" x14ac:dyDescent="0.2">
      <c r="A23" t="s">
        <v>25</v>
      </c>
      <c r="B23">
        <f>COUNTIF('AC Results'!$S$5:$S$238,A23)</f>
        <v>0</v>
      </c>
      <c r="C23">
        <f>COUNTIFS('AC Results'!$S$5:$S$238,$A23,'AC Results'!$V$5:$V$238,"Strong")</f>
        <v>0</v>
      </c>
      <c r="D23">
        <f>COUNTIFS('AC Results'!$S$5:$S$238,$A23,'AC Results'!$V$5:$V$238,"Lean")</f>
        <v>0</v>
      </c>
      <c r="E23">
        <f>COUNTIFS('AC Results'!$S$5:$S$238,$A23,'AC Results'!$V$5:$V$238,"Toss-up")</f>
        <v>0</v>
      </c>
      <c r="F23">
        <f>COUNTIFS('AC Results'!$S$5:$S$238,$A23,'AC Results'!$V$5:$V$238,"Low sample")</f>
        <v>0</v>
      </c>
    </row>
    <row r="24" spans="1:6" x14ac:dyDescent="0.2">
      <c r="A24" s="3" t="s">
        <v>26</v>
      </c>
      <c r="B24" s="3">
        <f>SUM(B19:B23)</f>
        <v>234</v>
      </c>
      <c r="C24" s="3">
        <f>SUM(C19:C23)</f>
        <v>69</v>
      </c>
      <c r="D24" s="3">
        <f>SUM(D19:D23)</f>
        <v>90</v>
      </c>
      <c r="E24" s="3">
        <f>SUM(E19:E23)</f>
        <v>74</v>
      </c>
      <c r="F24" s="3">
        <f>SUM(F19:F23)</f>
        <v>1</v>
      </c>
    </row>
    <row r="25" spans="1:6" x14ac:dyDescent="0.2">
      <c r="A25" s="2" t="s">
        <v>27</v>
      </c>
    </row>
    <row r="27" spans="1:6" x14ac:dyDescent="0.2">
      <c r="A27" s="3" t="s">
        <v>28</v>
      </c>
    </row>
    <row r="28" spans="1:6" ht="36" customHeight="1" x14ac:dyDescent="0.2">
      <c r="A28" s="6" t="s">
        <v>17</v>
      </c>
      <c r="B28" s="6" t="s">
        <v>29</v>
      </c>
    </row>
    <row r="29" spans="1:6" x14ac:dyDescent="0.2">
      <c r="A29" t="s">
        <v>10</v>
      </c>
      <c r="B29">
        <f>COUNTIF('District Results'!$M$5:$M$42,A29)</f>
        <v>22</v>
      </c>
    </row>
    <row r="30" spans="1:6" x14ac:dyDescent="0.2">
      <c r="A30" t="s">
        <v>23</v>
      </c>
      <c r="B30">
        <f>COUNTIF('District Results'!$M$5:$M$42,A30)</f>
        <v>8</v>
      </c>
    </row>
    <row r="31" spans="1:6" x14ac:dyDescent="0.2">
      <c r="A31" t="s">
        <v>24</v>
      </c>
      <c r="B31">
        <f>COUNTIF('District Results'!$M$5:$M$42,A31)</f>
        <v>8</v>
      </c>
    </row>
  </sheetData>
  <conditionalFormatting sqref="A19:A23">
    <cfRule type="cellIs" dxfId="33" priority="2" operator="equal">
      <formula>"TVK"</formula>
    </cfRule>
    <cfRule type="cellIs" dxfId="32" priority="3" operator="equal">
      <formula>"AIADMK+BJP+PMK+AMMK"</formula>
    </cfRule>
    <cfRule type="cellIs" dxfId="31" priority="4" operator="equal">
      <formula>"DMK+INC+VCK"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12" width="12" customWidth="1"/>
  </cols>
  <sheetData>
    <row r="1" spans="1:12" ht="18" x14ac:dyDescent="0.2">
      <c r="A1" s="1" t="s">
        <v>30</v>
      </c>
    </row>
    <row r="2" spans="1:12" x14ac:dyDescent="0.2">
      <c r="A2" s="2" t="s">
        <v>31</v>
      </c>
    </row>
    <row r="4" spans="1:12" ht="36" customHeight="1" x14ac:dyDescent="0.2">
      <c r="A4" s="6" t="s">
        <v>9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26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</row>
    <row r="5" spans="1:12" x14ac:dyDescent="0.2">
      <c r="A5" s="3" t="s">
        <v>15</v>
      </c>
      <c r="B5" s="8">
        <v>10892</v>
      </c>
      <c r="C5" s="8">
        <v>8856</v>
      </c>
      <c r="D5" s="8">
        <v>9146</v>
      </c>
      <c r="E5" s="8">
        <v>2173</v>
      </c>
      <c r="F5" s="8">
        <v>249</v>
      </c>
      <c r="G5" s="9">
        <f>SUM(B5:F5)</f>
        <v>31316</v>
      </c>
      <c r="H5" s="7">
        <f t="shared" ref="H5:L7" si="0">IF($G5=0,0,B5/$G5)</f>
        <v>0.34780942649125046</v>
      </c>
      <c r="I5" s="7">
        <f t="shared" si="0"/>
        <v>0.28279473751436968</v>
      </c>
      <c r="J5" s="7">
        <f t="shared" si="0"/>
        <v>0.29205517946097842</v>
      </c>
      <c r="K5" s="7">
        <f t="shared" si="0"/>
        <v>6.9389449482692558E-2</v>
      </c>
      <c r="L5" s="7">
        <f t="shared" si="0"/>
        <v>7.9512070507089024E-3</v>
      </c>
    </row>
    <row r="6" spans="1:12" x14ac:dyDescent="0.2">
      <c r="A6" s="3" t="s">
        <v>4</v>
      </c>
      <c r="B6" s="8">
        <v>4493</v>
      </c>
      <c r="C6" s="8">
        <v>3153</v>
      </c>
      <c r="D6" s="8">
        <v>2836</v>
      </c>
      <c r="E6" s="8">
        <v>895</v>
      </c>
      <c r="F6" s="8">
        <v>72</v>
      </c>
      <c r="G6" s="9">
        <f>SUM(B6:F6)</f>
        <v>11449</v>
      </c>
      <c r="H6" s="7">
        <f t="shared" si="0"/>
        <v>0.39243602061315397</v>
      </c>
      <c r="I6" s="7">
        <f t="shared" si="0"/>
        <v>0.27539523102454361</v>
      </c>
      <c r="J6" s="7">
        <f t="shared" si="0"/>
        <v>0.24770722333828282</v>
      </c>
      <c r="K6" s="7">
        <f t="shared" si="0"/>
        <v>7.8172766180452435E-2</v>
      </c>
      <c r="L6" s="7">
        <f t="shared" si="0"/>
        <v>6.2887588435671235E-3</v>
      </c>
    </row>
    <row r="7" spans="1:12" x14ac:dyDescent="0.2">
      <c r="A7" s="3" t="s">
        <v>5</v>
      </c>
      <c r="B7" s="8">
        <v>6399</v>
      </c>
      <c r="C7" s="8">
        <v>5703</v>
      </c>
      <c r="D7" s="8">
        <v>6310</v>
      </c>
      <c r="E7" s="8">
        <v>1278</v>
      </c>
      <c r="F7" s="8">
        <v>177</v>
      </c>
      <c r="G7" s="9">
        <f>SUM(B7:F7)</f>
        <v>19867</v>
      </c>
      <c r="H7" s="7">
        <f t="shared" si="0"/>
        <v>0.32209191120954345</v>
      </c>
      <c r="I7" s="7">
        <f t="shared" si="0"/>
        <v>0.28705894196406101</v>
      </c>
      <c r="J7" s="7">
        <f t="shared" si="0"/>
        <v>0.31761212060200333</v>
      </c>
      <c r="K7" s="7">
        <f t="shared" si="0"/>
        <v>6.4327779735239343E-2</v>
      </c>
      <c r="L7" s="7">
        <f t="shared" si="0"/>
        <v>8.9092464891528667E-3</v>
      </c>
    </row>
    <row r="9" spans="1:12" x14ac:dyDescent="0.2">
      <c r="A9" s="3" t="s">
        <v>42</v>
      </c>
      <c r="H9" s="10">
        <f>(H5-H6)*100</f>
        <v>-4.4626594121903507</v>
      </c>
      <c r="I9" s="10">
        <f>(I5-I6)*100</f>
        <v>0.73995064898260687</v>
      </c>
      <c r="J9" s="10">
        <f>(J5-J6)*100</f>
        <v>4.4347956122695598</v>
      </c>
      <c r="K9" s="10">
        <f>(K5-K6)*100</f>
        <v>-0.87833166977598776</v>
      </c>
      <c r="L9" s="10">
        <f>(L5-L6)*100</f>
        <v>0.1662448207141779</v>
      </c>
    </row>
    <row r="10" spans="1:12" x14ac:dyDescent="0.2">
      <c r="A10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0"/>
  <sheetViews>
    <sheetView tabSelected="1" zoomScaleNormal="100" workbookViewId="0">
      <pane xSplit="2" ySplit="4" topLeftCell="C202" activePane="bottomRight" state="frozen"/>
      <selection pane="topRight" activeCell="C1" sqref="C1"/>
      <selection pane="bottomLeft" activeCell="A5" sqref="A5"/>
      <selection pane="bottomRight" activeCell="K1" sqref="K1:K1048576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18" width="9" customWidth="1"/>
    <col min="19" max="20" width="22" customWidth="1"/>
    <col min="21" max="21" width="9" customWidth="1"/>
    <col min="22" max="22" width="11" customWidth="1"/>
    <col min="23" max="23" width="22" customWidth="1"/>
    <col min="24" max="24" width="9" customWidth="1"/>
    <col min="25" max="25" width="18" customWidth="1"/>
  </cols>
  <sheetData>
    <row r="1" spans="1:25" ht="18" x14ac:dyDescent="0.2">
      <c r="A1" s="1" t="s">
        <v>44</v>
      </c>
    </row>
    <row r="2" spans="1:25" x14ac:dyDescent="0.2">
      <c r="A2" s="2" t="s">
        <v>45</v>
      </c>
    </row>
    <row r="4" spans="1:25" ht="36" customHeight="1" x14ac:dyDescent="0.2">
      <c r="A4" s="6" t="s">
        <v>46</v>
      </c>
      <c r="B4" s="6" t="s">
        <v>47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  <c r="N4" s="6" t="s">
        <v>54</v>
      </c>
      <c r="O4" s="6" t="s">
        <v>55</v>
      </c>
      <c r="P4" s="6" t="s">
        <v>56</v>
      </c>
      <c r="Q4" s="6" t="s">
        <v>57</v>
      </c>
      <c r="R4" s="6" t="s">
        <v>58</v>
      </c>
      <c r="S4" s="6" t="s">
        <v>59</v>
      </c>
      <c r="T4" s="6" t="s">
        <v>60</v>
      </c>
      <c r="U4" s="6" t="s">
        <v>61</v>
      </c>
      <c r="V4" s="6" t="s">
        <v>62</v>
      </c>
      <c r="W4" s="6" t="s">
        <v>63</v>
      </c>
      <c r="X4" s="6" t="s">
        <v>64</v>
      </c>
      <c r="Y4" s="6" t="s">
        <v>65</v>
      </c>
    </row>
    <row r="5" spans="1:25" x14ac:dyDescent="0.2">
      <c r="A5" s="3" t="s">
        <v>66</v>
      </c>
      <c r="B5" t="s">
        <v>66</v>
      </c>
      <c r="C5" s="11">
        <v>18</v>
      </c>
      <c r="D5" s="11">
        <v>16</v>
      </c>
      <c r="E5" s="11">
        <v>9</v>
      </c>
      <c r="F5" s="11">
        <v>8</v>
      </c>
      <c r="G5" s="11">
        <v>0</v>
      </c>
      <c r="H5">
        <f t="shared" ref="H5:H68" si="0">SUM(C5:G5)</f>
        <v>51</v>
      </c>
      <c r="I5" s="7">
        <f t="shared" ref="I5:I68" si="1">IF($H5=0,0,C5/$H5)</f>
        <v>0.35294117647058826</v>
      </c>
      <c r="J5" s="7">
        <f t="shared" ref="J5:J68" si="2">IF($H5=0,0,D5/$H5)</f>
        <v>0.31372549019607843</v>
      </c>
      <c r="K5" s="7">
        <f t="shared" ref="K5:K68" si="3">IF($H5=0,0,E5/$H5)</f>
        <v>0.17647058823529413</v>
      </c>
      <c r="L5" s="7">
        <f t="shared" ref="L5:L68" si="4">IF($H5=0,0,F5/$H5)</f>
        <v>0.15686274509803921</v>
      </c>
      <c r="M5" s="7">
        <f t="shared" ref="M5:M68" si="5">IF($H5=0,0,G5/$H5)</f>
        <v>0</v>
      </c>
      <c r="N5" s="7">
        <f>MAX(0,I5+'Statewide Votes'!$H$9/100)</f>
        <v>0.30831458234868475</v>
      </c>
      <c r="O5" s="7">
        <f>MAX(0,J5+'Statewide Votes'!$I$9/100)</f>
        <v>0.3211249966859045</v>
      </c>
      <c r="P5" s="7">
        <f>MAX(0,K5+'Statewide Votes'!$J$9/100)</f>
        <v>0.22081854435798973</v>
      </c>
      <c r="Q5" s="7">
        <f>MAX(0,L5+'Statewide Votes'!$K$9/100)</f>
        <v>0.14807942840027932</v>
      </c>
      <c r="R5" s="7">
        <f>MAX(0,M5+'Statewide Votes'!$L$9/100)</f>
        <v>1.662448207141779E-3</v>
      </c>
      <c r="S5" t="str">
        <f>IF(U5=0,"Tie",INDEX({"TVK","AIADMK+BJP+PMK+AMMK","DMK+INC+VCK","NTK","NOTA"},MATCH(MAX(N5:R5),N5:R5,0)))</f>
        <v>AIADMK+BJP+PMK+AMMK</v>
      </c>
      <c r="T5" t="str">
        <f>INDEX({"TVK","AIADMK+BJP+PMK+AMMK","DMK+INC+VCK","NTK","NOTA"},MATCH(LARGE(N5:R5,2),N5:R5,0))</f>
        <v>TVK</v>
      </c>
      <c r="U5">
        <f t="shared" ref="U5:U68" si="6">ROUND((LARGE(N5:R5,1)-LARGE(N5:R5,2))*100,1)</f>
        <v>1.3</v>
      </c>
      <c r="V5" t="str">
        <f t="shared" ref="V5:V68" si="7">IF(U5=0,"Tie",IF(H5&lt;10,"Low sample",IF(AND(H5&gt;=30,U5&gt;=10),"Strong",IF(U5&gt;=5,"Lean","Toss-up"))))</f>
        <v>Toss-up</v>
      </c>
      <c r="W5" t="str">
        <f>IF(LARGE(I5:M5,1)=LARGE(I5:M5,2),"Tie",INDEX({"TVK","AIADMK+BJP+PMK+AMMK","DMK+INC+VCK","NTK","NOTA"},MATCH(MAX(I5:M5),I5:M5,0)))</f>
        <v>TVK</v>
      </c>
      <c r="X5" s="7">
        <f t="shared" ref="X5:X68" si="8">MAX(N5:R5)</f>
        <v>0.3211249966859045</v>
      </c>
      <c r="Y5" t="str">
        <f>IF(ISNUMBER(MATCH(A5,{"Maduravoyal","Ambattur","Madavaram","Thiruvottiyur","Sholinganallur","Alandur"},0)),"Chennai",B5)</f>
        <v>Ariyalur</v>
      </c>
    </row>
    <row r="6" spans="1:25" x14ac:dyDescent="0.2">
      <c r="A6" s="3" t="s">
        <v>67</v>
      </c>
      <c r="B6" t="s">
        <v>66</v>
      </c>
      <c r="C6" s="11">
        <v>14</v>
      </c>
      <c r="D6" s="11">
        <v>12</v>
      </c>
      <c r="E6" s="11">
        <v>5</v>
      </c>
      <c r="F6" s="11">
        <v>1</v>
      </c>
      <c r="G6" s="11">
        <v>0</v>
      </c>
      <c r="H6">
        <f t="shared" si="0"/>
        <v>32</v>
      </c>
      <c r="I6" s="7">
        <f t="shared" si="1"/>
        <v>0.4375</v>
      </c>
      <c r="J6" s="7">
        <f t="shared" si="2"/>
        <v>0.375</v>
      </c>
      <c r="K6" s="7">
        <f t="shared" si="3"/>
        <v>0.15625</v>
      </c>
      <c r="L6" s="7">
        <f t="shared" si="4"/>
        <v>3.125E-2</v>
      </c>
      <c r="M6" s="7">
        <f t="shared" si="5"/>
        <v>0</v>
      </c>
      <c r="N6" s="7">
        <f>MAX(0,I6+'Statewide Votes'!$H$9/100)</f>
        <v>0.39287340587809649</v>
      </c>
      <c r="O6" s="7">
        <f>MAX(0,J6+'Statewide Votes'!$I$9/100)</f>
        <v>0.38239950648982607</v>
      </c>
      <c r="P6" s="7">
        <f>MAX(0,K6+'Statewide Votes'!$J$9/100)</f>
        <v>0.2005979561226956</v>
      </c>
      <c r="Q6" s="7">
        <f>MAX(0,L6+'Statewide Votes'!$K$9/100)</f>
        <v>2.2466683302240123E-2</v>
      </c>
      <c r="R6" s="7">
        <f>MAX(0,M6+'Statewide Votes'!$L$9/100)</f>
        <v>1.662448207141779E-3</v>
      </c>
      <c r="S6" t="str">
        <f>IF(U6=0,"Tie",INDEX({"TVK","AIADMK+BJP+PMK+AMMK","DMK+INC+VCK","NTK","NOTA"},MATCH(MAX(N6:R6),N6:R6,0)))</f>
        <v>TVK</v>
      </c>
      <c r="T6" t="str">
        <f>INDEX({"TVK","AIADMK+BJP+PMK+AMMK","DMK+INC+VCK","NTK","NOTA"},MATCH(LARGE(N6:R6,2),N6:R6,0))</f>
        <v>AIADMK+BJP+PMK+AMMK</v>
      </c>
      <c r="U6">
        <f t="shared" si="6"/>
        <v>1</v>
      </c>
      <c r="V6" t="str">
        <f t="shared" si="7"/>
        <v>Toss-up</v>
      </c>
      <c r="W6" t="str">
        <f>IF(LARGE(I6:M6,1)=LARGE(I6:M6,2),"Tie",INDEX({"TVK","AIADMK+BJP+PMK+AMMK","DMK+INC+VCK","NTK","NOTA"},MATCH(MAX(I6:M6),I6:M6,0)))</f>
        <v>TVK</v>
      </c>
      <c r="X6" s="7">
        <f t="shared" si="8"/>
        <v>0.39287340587809649</v>
      </c>
      <c r="Y6" t="str">
        <f>IF(ISNUMBER(MATCH(A6,{"Maduravoyal","Ambattur","Madavaram","Thiruvottiyur","Sholinganallur","Alandur"},0)),"Chennai",B6)</f>
        <v>Ariyalur</v>
      </c>
    </row>
    <row r="7" spans="1:25" x14ac:dyDescent="0.2">
      <c r="A7" s="3" t="s">
        <v>68</v>
      </c>
      <c r="B7" t="s">
        <v>68</v>
      </c>
      <c r="C7" s="11">
        <v>35</v>
      </c>
      <c r="D7" s="11">
        <v>13</v>
      </c>
      <c r="E7" s="11">
        <v>13</v>
      </c>
      <c r="F7" s="11">
        <v>5</v>
      </c>
      <c r="G7" s="11">
        <v>1</v>
      </c>
      <c r="H7">
        <f t="shared" si="0"/>
        <v>67</v>
      </c>
      <c r="I7" s="7">
        <f t="shared" si="1"/>
        <v>0.52238805970149249</v>
      </c>
      <c r="J7" s="7">
        <f t="shared" si="2"/>
        <v>0.19402985074626866</v>
      </c>
      <c r="K7" s="7">
        <f t="shared" si="3"/>
        <v>0.19402985074626866</v>
      </c>
      <c r="L7" s="7">
        <f t="shared" si="4"/>
        <v>7.4626865671641784E-2</v>
      </c>
      <c r="M7" s="7">
        <f t="shared" si="5"/>
        <v>1.4925373134328358E-2</v>
      </c>
      <c r="N7" s="7">
        <f>MAX(0,I7+'Statewide Votes'!$H$9/100)</f>
        <v>0.47776146557958898</v>
      </c>
      <c r="O7" s="7">
        <f>MAX(0,J7+'Statewide Votes'!$I$9/100)</f>
        <v>0.20142935723609473</v>
      </c>
      <c r="P7" s="7">
        <f>MAX(0,K7+'Statewide Votes'!$J$9/100)</f>
        <v>0.23837780686896426</v>
      </c>
      <c r="Q7" s="7">
        <f>MAX(0,L7+'Statewide Votes'!$K$9/100)</f>
        <v>6.5843548973881907E-2</v>
      </c>
      <c r="R7" s="7">
        <f>MAX(0,M7+'Statewide Votes'!$L$9/100)</f>
        <v>1.6587821341470136E-2</v>
      </c>
      <c r="S7" t="str">
        <f>IF(U7=0,"Tie",INDEX({"TVK","AIADMK+BJP+PMK+AMMK","DMK+INC+VCK","NTK","NOTA"},MATCH(MAX(N7:R7),N7:R7,0)))</f>
        <v>TVK</v>
      </c>
      <c r="T7" t="str">
        <f>INDEX({"TVK","AIADMK+BJP+PMK+AMMK","DMK+INC+VCK","NTK","NOTA"},MATCH(LARGE(N7:R7,2),N7:R7,0))</f>
        <v>DMK+INC+VCK</v>
      </c>
      <c r="U7">
        <f t="shared" si="6"/>
        <v>23.9</v>
      </c>
      <c r="V7" t="str">
        <f t="shared" si="7"/>
        <v>Strong</v>
      </c>
      <c r="W7" t="str">
        <f>IF(LARGE(I7:M7,1)=LARGE(I7:M7,2),"Tie",INDEX({"TVK","AIADMK+BJP+PMK+AMMK","DMK+INC+VCK","NTK","NOTA"},MATCH(MAX(I7:M7),I7:M7,0)))</f>
        <v>TVK</v>
      </c>
      <c r="X7" s="7">
        <f t="shared" si="8"/>
        <v>0.47776146557958898</v>
      </c>
      <c r="Y7" t="str">
        <f>IF(ISNUMBER(MATCH(A7,{"Maduravoyal","Ambattur","Madavaram","Thiruvottiyur","Sholinganallur","Alandur"},0)),"Chennai",B7)</f>
        <v>Chengalpattu</v>
      </c>
    </row>
    <row r="8" spans="1:25" x14ac:dyDescent="0.2">
      <c r="A8" s="3" t="s">
        <v>69</v>
      </c>
      <c r="B8" t="s">
        <v>68</v>
      </c>
      <c r="C8" s="11">
        <v>6</v>
      </c>
      <c r="D8" s="11">
        <v>12</v>
      </c>
      <c r="E8" s="11">
        <v>3</v>
      </c>
      <c r="F8" s="11">
        <v>1</v>
      </c>
      <c r="G8" s="11">
        <v>0</v>
      </c>
      <c r="H8">
        <f t="shared" si="0"/>
        <v>22</v>
      </c>
      <c r="I8" s="7">
        <f t="shared" si="1"/>
        <v>0.27272727272727271</v>
      </c>
      <c r="J8" s="7">
        <f t="shared" si="2"/>
        <v>0.54545454545454541</v>
      </c>
      <c r="K8" s="7">
        <f t="shared" si="3"/>
        <v>0.13636363636363635</v>
      </c>
      <c r="L8" s="7">
        <f t="shared" si="4"/>
        <v>4.5454545454545456E-2</v>
      </c>
      <c r="M8" s="7">
        <f t="shared" si="5"/>
        <v>0</v>
      </c>
      <c r="N8" s="7">
        <f>MAX(0,I8+'Statewide Votes'!$H$9/100)</f>
        <v>0.2281006786053692</v>
      </c>
      <c r="O8" s="7">
        <f>MAX(0,J8+'Statewide Votes'!$I$9/100)</f>
        <v>0.55285405194437143</v>
      </c>
      <c r="P8" s="7">
        <f>MAX(0,K8+'Statewide Votes'!$J$9/100)</f>
        <v>0.18071159248633195</v>
      </c>
      <c r="Q8" s="7">
        <f>MAX(0,L8+'Statewide Votes'!$K$9/100)</f>
        <v>3.6671228756785579E-2</v>
      </c>
      <c r="R8" s="7">
        <f>MAX(0,M8+'Statewide Votes'!$L$9/100)</f>
        <v>1.662448207141779E-3</v>
      </c>
      <c r="S8" t="str">
        <f>IF(U8=0,"Tie",INDEX({"TVK","AIADMK+BJP+PMK+AMMK","DMK+INC+VCK","NTK","NOTA"},MATCH(MAX(N8:R8),N8:R8,0)))</f>
        <v>AIADMK+BJP+PMK+AMMK</v>
      </c>
      <c r="T8" t="str">
        <f>INDEX({"TVK","AIADMK+BJP+PMK+AMMK","DMK+INC+VCK","NTK","NOTA"},MATCH(LARGE(N8:R8,2),N8:R8,0))</f>
        <v>TVK</v>
      </c>
      <c r="U8">
        <f t="shared" si="6"/>
        <v>32.5</v>
      </c>
      <c r="V8" t="str">
        <f t="shared" si="7"/>
        <v>Lean</v>
      </c>
      <c r="W8" t="str">
        <f>IF(LARGE(I8:M8,1)=LARGE(I8:M8,2),"Tie",INDEX({"TVK","AIADMK+BJP+PMK+AMMK","DMK+INC+VCK","NTK","NOTA"},MATCH(MAX(I8:M8),I8:M8,0)))</f>
        <v>AIADMK+BJP+PMK+AMMK</v>
      </c>
      <c r="X8" s="7">
        <f t="shared" si="8"/>
        <v>0.55285405194437143</v>
      </c>
      <c r="Y8" t="str">
        <f>IF(ISNUMBER(MATCH(A8,{"Maduravoyal","Ambattur","Madavaram","Thiruvottiyur","Sholinganallur","Alandur"},0)),"Chennai",B8)</f>
        <v>Chengalpattu</v>
      </c>
    </row>
    <row r="9" spans="1:25" x14ac:dyDescent="0.2">
      <c r="A9" s="3" t="s">
        <v>70</v>
      </c>
      <c r="B9" t="s">
        <v>68</v>
      </c>
      <c r="C9" s="11">
        <v>8</v>
      </c>
      <c r="D9" s="11">
        <v>5</v>
      </c>
      <c r="E9" s="11">
        <v>4</v>
      </c>
      <c r="F9" s="11">
        <v>1</v>
      </c>
      <c r="G9" s="11">
        <v>0</v>
      </c>
      <c r="H9">
        <f t="shared" si="0"/>
        <v>18</v>
      </c>
      <c r="I9" s="7">
        <f t="shared" si="1"/>
        <v>0.44444444444444442</v>
      </c>
      <c r="J9" s="7">
        <f t="shared" si="2"/>
        <v>0.27777777777777779</v>
      </c>
      <c r="K9" s="7">
        <f t="shared" si="3"/>
        <v>0.22222222222222221</v>
      </c>
      <c r="L9" s="7">
        <f t="shared" si="4"/>
        <v>5.5555555555555552E-2</v>
      </c>
      <c r="M9" s="7">
        <f t="shared" si="5"/>
        <v>0</v>
      </c>
      <c r="N9" s="7">
        <f>MAX(0,I9+'Statewide Votes'!$H$9/100)</f>
        <v>0.39981785032254091</v>
      </c>
      <c r="O9" s="7">
        <f>MAX(0,J9+'Statewide Votes'!$I$9/100)</f>
        <v>0.28517728426760386</v>
      </c>
      <c r="P9" s="7">
        <f>MAX(0,K9+'Statewide Votes'!$J$9/100)</f>
        <v>0.26657017834491781</v>
      </c>
      <c r="Q9" s="7">
        <f>MAX(0,L9+'Statewide Votes'!$K$9/100)</f>
        <v>4.6772238857795675E-2</v>
      </c>
      <c r="R9" s="7">
        <f>MAX(0,M9+'Statewide Votes'!$L$9/100)</f>
        <v>1.662448207141779E-3</v>
      </c>
      <c r="S9" t="str">
        <f>IF(U9=0,"Tie",INDEX({"TVK","AIADMK+BJP+PMK+AMMK","DMK+INC+VCK","NTK","NOTA"},MATCH(MAX(N9:R9),N9:R9,0)))</f>
        <v>TVK</v>
      </c>
      <c r="T9" t="str">
        <f>INDEX({"TVK","AIADMK+BJP+PMK+AMMK","DMK+INC+VCK","NTK","NOTA"},MATCH(LARGE(N9:R9,2),N9:R9,0))</f>
        <v>AIADMK+BJP+PMK+AMMK</v>
      </c>
      <c r="U9">
        <f t="shared" si="6"/>
        <v>11.5</v>
      </c>
      <c r="V9" t="str">
        <f t="shared" si="7"/>
        <v>Lean</v>
      </c>
      <c r="W9" t="str">
        <f>IF(LARGE(I9:M9,1)=LARGE(I9:M9,2),"Tie",INDEX({"TVK","AIADMK+BJP+PMK+AMMK","DMK+INC+VCK","NTK","NOTA"},MATCH(MAX(I9:M9),I9:M9,0)))</f>
        <v>TVK</v>
      </c>
      <c r="X9" s="7">
        <f t="shared" si="8"/>
        <v>0.39981785032254091</v>
      </c>
      <c r="Y9" t="str">
        <f>IF(ISNUMBER(MATCH(A9,{"Maduravoyal","Ambattur","Madavaram","Thiruvottiyur","Sholinganallur","Alandur"},0)),"Chennai",B9)</f>
        <v>Chengalpattu</v>
      </c>
    </row>
    <row r="10" spans="1:25" x14ac:dyDescent="0.2">
      <c r="A10" s="3" t="s">
        <v>71</v>
      </c>
      <c r="B10" t="s">
        <v>68</v>
      </c>
      <c r="C10" s="11">
        <v>38</v>
      </c>
      <c r="D10" s="11">
        <v>26</v>
      </c>
      <c r="E10" s="11">
        <v>28</v>
      </c>
      <c r="F10" s="11">
        <v>4</v>
      </c>
      <c r="G10" s="11">
        <v>0</v>
      </c>
      <c r="H10">
        <f t="shared" si="0"/>
        <v>96</v>
      </c>
      <c r="I10" s="7">
        <f t="shared" si="1"/>
        <v>0.39583333333333331</v>
      </c>
      <c r="J10" s="7">
        <f t="shared" si="2"/>
        <v>0.27083333333333331</v>
      </c>
      <c r="K10" s="7">
        <f t="shared" si="3"/>
        <v>0.29166666666666669</v>
      </c>
      <c r="L10" s="7">
        <f t="shared" si="4"/>
        <v>4.1666666666666664E-2</v>
      </c>
      <c r="M10" s="7">
        <f t="shared" si="5"/>
        <v>0</v>
      </c>
      <c r="N10" s="7">
        <f>MAX(0,I10+'Statewide Votes'!$H$9/100)</f>
        <v>0.35120673921142981</v>
      </c>
      <c r="O10" s="7">
        <f>MAX(0,J10+'Statewide Votes'!$I$9/100)</f>
        <v>0.27823283982315938</v>
      </c>
      <c r="P10" s="7">
        <f>MAX(0,K10+'Statewide Votes'!$J$9/100)</f>
        <v>0.33601462278936228</v>
      </c>
      <c r="Q10" s="7">
        <f>MAX(0,L10+'Statewide Votes'!$K$9/100)</f>
        <v>3.2883349968906787E-2</v>
      </c>
      <c r="R10" s="7">
        <f>MAX(0,M10+'Statewide Votes'!$L$9/100)</f>
        <v>1.662448207141779E-3</v>
      </c>
      <c r="S10" t="str">
        <f>IF(U10=0,"Tie",INDEX({"TVK","AIADMK+BJP+PMK+AMMK","DMK+INC+VCK","NTK","NOTA"},MATCH(MAX(N10:R10),N10:R10,0)))</f>
        <v>TVK</v>
      </c>
      <c r="T10" t="str">
        <f>INDEX({"TVK","AIADMK+BJP+PMK+AMMK","DMK+INC+VCK","NTK","NOTA"},MATCH(LARGE(N10:R10,2),N10:R10,0))</f>
        <v>DMK+INC+VCK</v>
      </c>
      <c r="U10">
        <f t="shared" si="6"/>
        <v>1.5</v>
      </c>
      <c r="V10" t="str">
        <f t="shared" si="7"/>
        <v>Toss-up</v>
      </c>
      <c r="W10" t="str">
        <f>IF(LARGE(I10:M10,1)=LARGE(I10:M10,2),"Tie",INDEX({"TVK","AIADMK+BJP+PMK+AMMK","DMK+INC+VCK","NTK","NOTA"},MATCH(MAX(I10:M10),I10:M10,0)))</f>
        <v>TVK</v>
      </c>
      <c r="X10" s="7">
        <f t="shared" si="8"/>
        <v>0.35120673921142981</v>
      </c>
      <c r="Y10" t="str">
        <f>IF(ISNUMBER(MATCH(A10,{"Maduravoyal","Ambattur","Madavaram","Thiruvottiyur","Sholinganallur","Alandur"},0)),"Chennai",B10)</f>
        <v>Chengalpattu</v>
      </c>
    </row>
    <row r="11" spans="1:25" x14ac:dyDescent="0.2">
      <c r="A11" s="3" t="s">
        <v>72</v>
      </c>
      <c r="B11" t="s">
        <v>68</v>
      </c>
      <c r="C11" s="11">
        <v>45</v>
      </c>
      <c r="D11" s="11">
        <v>34</v>
      </c>
      <c r="E11" s="11">
        <v>22</v>
      </c>
      <c r="F11" s="11">
        <v>6</v>
      </c>
      <c r="G11" s="11">
        <v>1</v>
      </c>
      <c r="H11">
        <f t="shared" si="0"/>
        <v>108</v>
      </c>
      <c r="I11" s="7">
        <f t="shared" si="1"/>
        <v>0.41666666666666669</v>
      </c>
      <c r="J11" s="7">
        <f t="shared" si="2"/>
        <v>0.31481481481481483</v>
      </c>
      <c r="K11" s="7">
        <f t="shared" si="3"/>
        <v>0.20370370370370369</v>
      </c>
      <c r="L11" s="7">
        <f t="shared" si="4"/>
        <v>5.5555555555555552E-2</v>
      </c>
      <c r="M11" s="7">
        <f t="shared" si="5"/>
        <v>9.2592592592592587E-3</v>
      </c>
      <c r="N11" s="7">
        <f>MAX(0,I11+'Statewide Votes'!$H$9/100)</f>
        <v>0.37204007254476318</v>
      </c>
      <c r="O11" s="7">
        <f>MAX(0,J11+'Statewide Votes'!$I$9/100)</f>
        <v>0.32221432130464089</v>
      </c>
      <c r="P11" s="7">
        <f>MAX(0,K11+'Statewide Votes'!$J$9/100)</f>
        <v>0.24805165982639929</v>
      </c>
      <c r="Q11" s="7">
        <f>MAX(0,L11+'Statewide Votes'!$K$9/100)</f>
        <v>4.6772238857795675E-2</v>
      </c>
      <c r="R11" s="7">
        <f>MAX(0,M11+'Statewide Votes'!$L$9/100)</f>
        <v>1.0921707466401039E-2</v>
      </c>
      <c r="S11" t="str">
        <f>IF(U11=0,"Tie",INDEX({"TVK","AIADMK+BJP+PMK+AMMK","DMK+INC+VCK","NTK","NOTA"},MATCH(MAX(N11:R11),N11:R11,0)))</f>
        <v>TVK</v>
      </c>
      <c r="T11" t="str">
        <f>INDEX({"TVK","AIADMK+BJP+PMK+AMMK","DMK+INC+VCK","NTK","NOTA"},MATCH(LARGE(N11:R11,2),N11:R11,0))</f>
        <v>AIADMK+BJP+PMK+AMMK</v>
      </c>
      <c r="U11">
        <f t="shared" si="6"/>
        <v>5</v>
      </c>
      <c r="V11" t="str">
        <f t="shared" si="7"/>
        <v>Lean</v>
      </c>
      <c r="W11" t="str">
        <f>IF(LARGE(I11:M11,1)=LARGE(I11:M11,2),"Tie",INDEX({"TVK","AIADMK+BJP+PMK+AMMK","DMK+INC+VCK","NTK","NOTA"},MATCH(MAX(I11:M11),I11:M11,0)))</f>
        <v>TVK</v>
      </c>
      <c r="X11" s="7">
        <f t="shared" si="8"/>
        <v>0.37204007254476318</v>
      </c>
      <c r="Y11" t="str">
        <f>IF(ISNUMBER(MATCH(A11,{"Maduravoyal","Ambattur","Madavaram","Thiruvottiyur","Sholinganallur","Alandur"},0)),"Chennai",B11)</f>
        <v>Chennai</v>
      </c>
    </row>
    <row r="12" spans="1:25" x14ac:dyDescent="0.2">
      <c r="A12" s="3" t="s">
        <v>73</v>
      </c>
      <c r="B12" t="s">
        <v>68</v>
      </c>
      <c r="C12" s="11">
        <v>31</v>
      </c>
      <c r="D12" s="11">
        <v>25</v>
      </c>
      <c r="E12" s="11">
        <v>24</v>
      </c>
      <c r="F12" s="11">
        <v>6</v>
      </c>
      <c r="G12" s="11">
        <v>2</v>
      </c>
      <c r="H12">
        <f t="shared" si="0"/>
        <v>88</v>
      </c>
      <c r="I12" s="7">
        <f t="shared" si="1"/>
        <v>0.35227272727272729</v>
      </c>
      <c r="J12" s="7">
        <f t="shared" si="2"/>
        <v>0.28409090909090912</v>
      </c>
      <c r="K12" s="7">
        <f t="shared" si="3"/>
        <v>0.27272727272727271</v>
      </c>
      <c r="L12" s="7">
        <f t="shared" si="4"/>
        <v>6.8181818181818177E-2</v>
      </c>
      <c r="M12" s="7">
        <f t="shared" si="5"/>
        <v>2.2727272727272728E-2</v>
      </c>
      <c r="N12" s="7">
        <f>MAX(0,I12+'Statewide Votes'!$H$9/100)</f>
        <v>0.30764613315082379</v>
      </c>
      <c r="O12" s="7">
        <f>MAX(0,J12+'Statewide Votes'!$I$9/100)</f>
        <v>0.29149041558073518</v>
      </c>
      <c r="P12" s="7">
        <f>MAX(0,K12+'Statewide Votes'!$J$9/100)</f>
        <v>0.3170752288499683</v>
      </c>
      <c r="Q12" s="7">
        <f>MAX(0,L12+'Statewide Votes'!$K$9/100)</f>
        <v>5.93985014840583E-2</v>
      </c>
      <c r="R12" s="7">
        <f>MAX(0,M12+'Statewide Votes'!$L$9/100)</f>
        <v>2.4389720934414508E-2</v>
      </c>
      <c r="S12" t="str">
        <f>IF(U12=0,"Tie",INDEX({"TVK","AIADMK+BJP+PMK+AMMK","DMK+INC+VCK","NTK","NOTA"},MATCH(MAX(N12:R12),N12:R12,0)))</f>
        <v>DMK+INC+VCK</v>
      </c>
      <c r="T12" t="str">
        <f>INDEX({"TVK","AIADMK+BJP+PMK+AMMK","DMK+INC+VCK","NTK","NOTA"},MATCH(LARGE(N12:R12,2),N12:R12,0))</f>
        <v>TVK</v>
      </c>
      <c r="U12">
        <f t="shared" si="6"/>
        <v>0.9</v>
      </c>
      <c r="V12" t="str">
        <f t="shared" si="7"/>
        <v>Toss-up</v>
      </c>
      <c r="W12" t="str">
        <f>IF(LARGE(I12:M12,1)=LARGE(I12:M12,2),"Tie",INDEX({"TVK","AIADMK+BJP+PMK+AMMK","DMK+INC+VCK","NTK","NOTA"},MATCH(MAX(I12:M12),I12:M12,0)))</f>
        <v>TVK</v>
      </c>
      <c r="X12" s="7">
        <f t="shared" si="8"/>
        <v>0.3170752288499683</v>
      </c>
      <c r="Y12" t="str">
        <f>IF(ISNUMBER(MATCH(A12,{"Maduravoyal","Ambattur","Madavaram","Thiruvottiyur","Sholinganallur","Alandur"},0)),"Chennai",B12)</f>
        <v>Chengalpattu</v>
      </c>
    </row>
    <row r="13" spans="1:25" x14ac:dyDescent="0.2">
      <c r="A13" s="3" t="s">
        <v>74</v>
      </c>
      <c r="B13" t="s">
        <v>68</v>
      </c>
      <c r="C13" s="11">
        <v>20</v>
      </c>
      <c r="D13" s="11">
        <v>7</v>
      </c>
      <c r="E13" s="11">
        <v>2</v>
      </c>
      <c r="F13" s="11">
        <v>5</v>
      </c>
      <c r="G13" s="11">
        <v>0</v>
      </c>
      <c r="H13">
        <f t="shared" si="0"/>
        <v>34</v>
      </c>
      <c r="I13" s="7">
        <f t="shared" si="1"/>
        <v>0.58823529411764708</v>
      </c>
      <c r="J13" s="7">
        <f t="shared" si="2"/>
        <v>0.20588235294117646</v>
      </c>
      <c r="K13" s="7">
        <f t="shared" si="3"/>
        <v>5.8823529411764705E-2</v>
      </c>
      <c r="L13" s="7">
        <f t="shared" si="4"/>
        <v>0.14705882352941177</v>
      </c>
      <c r="M13" s="7">
        <f t="shared" si="5"/>
        <v>0</v>
      </c>
      <c r="N13" s="7">
        <f>MAX(0,I13+'Statewide Votes'!$H$9/100)</f>
        <v>0.54360869999574357</v>
      </c>
      <c r="O13" s="7">
        <f>MAX(0,J13+'Statewide Votes'!$I$9/100)</f>
        <v>0.21328185943100253</v>
      </c>
      <c r="P13" s="7">
        <f>MAX(0,K13+'Statewide Votes'!$J$9/100)</f>
        <v>0.1031714855344603</v>
      </c>
      <c r="Q13" s="7">
        <f>MAX(0,L13+'Statewide Votes'!$K$9/100)</f>
        <v>0.13827550683165191</v>
      </c>
      <c r="R13" s="7">
        <f>MAX(0,M13+'Statewide Votes'!$L$9/100)</f>
        <v>1.662448207141779E-3</v>
      </c>
      <c r="S13" t="str">
        <f>IF(U13=0,"Tie",INDEX({"TVK","AIADMK+BJP+PMK+AMMK","DMK+INC+VCK","NTK","NOTA"},MATCH(MAX(N13:R13),N13:R13,0)))</f>
        <v>TVK</v>
      </c>
      <c r="T13" t="str">
        <f>INDEX({"TVK","AIADMK+BJP+PMK+AMMK","DMK+INC+VCK","NTK","NOTA"},MATCH(LARGE(N13:R13,2),N13:R13,0))</f>
        <v>AIADMK+BJP+PMK+AMMK</v>
      </c>
      <c r="U13">
        <f t="shared" si="6"/>
        <v>33</v>
      </c>
      <c r="V13" t="str">
        <f t="shared" si="7"/>
        <v>Strong</v>
      </c>
      <c r="W13" t="str">
        <f>IF(LARGE(I13:M13,1)=LARGE(I13:M13,2),"Tie",INDEX({"TVK","AIADMK+BJP+PMK+AMMK","DMK+INC+VCK","NTK","NOTA"},MATCH(MAX(I13:M13),I13:M13,0)))</f>
        <v>TVK</v>
      </c>
      <c r="X13" s="7">
        <f t="shared" si="8"/>
        <v>0.54360869999574357</v>
      </c>
      <c r="Y13" t="str">
        <f>IF(ISNUMBER(MATCH(A13,{"Maduravoyal","Ambattur","Madavaram","Thiruvottiyur","Sholinganallur","Alandur"},0)),"Chennai",B13)</f>
        <v>Chengalpattu</v>
      </c>
    </row>
    <row r="14" spans="1:25" x14ac:dyDescent="0.2">
      <c r="A14" s="3" t="s">
        <v>75</v>
      </c>
      <c r="B14" t="s">
        <v>76</v>
      </c>
      <c r="C14" s="11">
        <v>21</v>
      </c>
      <c r="D14" s="11">
        <v>14</v>
      </c>
      <c r="E14" s="11">
        <v>10</v>
      </c>
      <c r="F14" s="11">
        <v>2</v>
      </c>
      <c r="G14" s="11">
        <v>2</v>
      </c>
      <c r="H14">
        <f t="shared" si="0"/>
        <v>49</v>
      </c>
      <c r="I14" s="7">
        <f t="shared" si="1"/>
        <v>0.42857142857142855</v>
      </c>
      <c r="J14" s="7">
        <f t="shared" si="2"/>
        <v>0.2857142857142857</v>
      </c>
      <c r="K14" s="7">
        <f t="shared" si="3"/>
        <v>0.20408163265306123</v>
      </c>
      <c r="L14" s="7">
        <f t="shared" si="4"/>
        <v>4.0816326530612242E-2</v>
      </c>
      <c r="M14" s="7">
        <f t="shared" si="5"/>
        <v>4.0816326530612242E-2</v>
      </c>
      <c r="N14" s="7">
        <f>MAX(0,I14+'Statewide Votes'!$H$9/100)</f>
        <v>0.38394483444952504</v>
      </c>
      <c r="O14" s="7">
        <f>MAX(0,J14+'Statewide Votes'!$I$9/100)</f>
        <v>0.29311379220411177</v>
      </c>
      <c r="P14" s="7">
        <f>MAX(0,K14+'Statewide Votes'!$J$9/100)</f>
        <v>0.24842958877575683</v>
      </c>
      <c r="Q14" s="7">
        <f>MAX(0,L14+'Statewide Votes'!$K$9/100)</f>
        <v>3.2033009832852365E-2</v>
      </c>
      <c r="R14" s="7">
        <f>MAX(0,M14+'Statewide Votes'!$L$9/100)</f>
        <v>4.2478774737754021E-2</v>
      </c>
      <c r="S14" t="str">
        <f>IF(U14=0,"Tie",INDEX({"TVK","AIADMK+BJP+PMK+AMMK","DMK+INC+VCK","NTK","NOTA"},MATCH(MAX(N14:R14),N14:R14,0)))</f>
        <v>TVK</v>
      </c>
      <c r="T14" t="str">
        <f>INDEX({"TVK","AIADMK+BJP+PMK+AMMK","DMK+INC+VCK","NTK","NOTA"},MATCH(LARGE(N14:R14,2),N14:R14,0))</f>
        <v>AIADMK+BJP+PMK+AMMK</v>
      </c>
      <c r="U14">
        <f t="shared" si="6"/>
        <v>9.1</v>
      </c>
      <c r="V14" t="str">
        <f t="shared" si="7"/>
        <v>Lean</v>
      </c>
      <c r="W14" t="str">
        <f>IF(LARGE(I14:M14,1)=LARGE(I14:M14,2),"Tie",INDEX({"TVK","AIADMK+BJP+PMK+AMMK","DMK+INC+VCK","NTK","NOTA"},MATCH(MAX(I14:M14),I14:M14,0)))</f>
        <v>TVK</v>
      </c>
      <c r="X14" s="7">
        <f t="shared" si="8"/>
        <v>0.38394483444952504</v>
      </c>
      <c r="Y14" t="str">
        <f>IF(ISNUMBER(MATCH(A14,{"Maduravoyal","Ambattur","Madavaram","Thiruvottiyur","Sholinganallur","Alandur"},0)),"Chennai",B14)</f>
        <v>Chennai</v>
      </c>
    </row>
    <row r="15" spans="1:25" x14ac:dyDescent="0.2">
      <c r="A15" s="3" t="s">
        <v>77</v>
      </c>
      <c r="B15" t="s">
        <v>76</v>
      </c>
      <c r="C15" s="11">
        <v>14</v>
      </c>
      <c r="D15" s="11">
        <v>9</v>
      </c>
      <c r="E15" s="11">
        <v>11</v>
      </c>
      <c r="F15" s="11">
        <v>1</v>
      </c>
      <c r="G15" s="11">
        <v>0</v>
      </c>
      <c r="H15">
        <f t="shared" si="0"/>
        <v>35</v>
      </c>
      <c r="I15" s="7">
        <f t="shared" si="1"/>
        <v>0.4</v>
      </c>
      <c r="J15" s="7">
        <f t="shared" si="2"/>
        <v>0.25714285714285712</v>
      </c>
      <c r="K15" s="7">
        <f t="shared" si="3"/>
        <v>0.31428571428571428</v>
      </c>
      <c r="L15" s="7">
        <f t="shared" si="4"/>
        <v>2.8571428571428571E-2</v>
      </c>
      <c r="M15" s="7">
        <f t="shared" si="5"/>
        <v>0</v>
      </c>
      <c r="N15" s="7">
        <f>MAX(0,I15+'Statewide Votes'!$H$9/100)</f>
        <v>0.35537340587809652</v>
      </c>
      <c r="O15" s="7">
        <f>MAX(0,J15+'Statewide Votes'!$I$9/100)</f>
        <v>0.26454236363268319</v>
      </c>
      <c r="P15" s="7">
        <f>MAX(0,K15+'Statewide Votes'!$J$9/100)</f>
        <v>0.35863367040840988</v>
      </c>
      <c r="Q15" s="7">
        <f>MAX(0,L15+'Statewide Votes'!$K$9/100)</f>
        <v>1.9788111873668694E-2</v>
      </c>
      <c r="R15" s="7">
        <f>MAX(0,M15+'Statewide Votes'!$L$9/100)</f>
        <v>1.662448207141779E-3</v>
      </c>
      <c r="S15" t="str">
        <f>IF(U15=0,"Tie",INDEX({"TVK","AIADMK+BJP+PMK+AMMK","DMK+INC+VCK","NTK","NOTA"},MATCH(MAX(N15:R15),N15:R15,0)))</f>
        <v>DMK+INC+VCK</v>
      </c>
      <c r="T15" t="str">
        <f>INDEX({"TVK","AIADMK+BJP+PMK+AMMK","DMK+INC+VCK","NTK","NOTA"},MATCH(LARGE(N15:R15,2),N15:R15,0))</f>
        <v>TVK</v>
      </c>
      <c r="U15">
        <f t="shared" si="6"/>
        <v>0.3</v>
      </c>
      <c r="V15" t="str">
        <f t="shared" si="7"/>
        <v>Toss-up</v>
      </c>
      <c r="W15" t="str">
        <f>IF(LARGE(I15:M15,1)=LARGE(I15:M15,2),"Tie",INDEX({"TVK","AIADMK+BJP+PMK+AMMK","DMK+INC+VCK","NTK","NOTA"},MATCH(MAX(I15:M15),I15:M15,0)))</f>
        <v>TVK</v>
      </c>
      <c r="X15" s="7">
        <f t="shared" si="8"/>
        <v>0.35863367040840988</v>
      </c>
      <c r="Y15" t="str">
        <f>IF(ISNUMBER(MATCH(A15,{"Maduravoyal","Ambattur","Madavaram","Thiruvottiyur","Sholinganallur","Alandur"},0)),"Chennai",B15)</f>
        <v>Chennai</v>
      </c>
    </row>
    <row r="16" spans="1:25" x14ac:dyDescent="0.2">
      <c r="A16" s="3" t="s">
        <v>78</v>
      </c>
      <c r="B16" t="s">
        <v>76</v>
      </c>
      <c r="C16" s="11">
        <v>25</v>
      </c>
      <c r="D16" s="11">
        <v>10</v>
      </c>
      <c r="E16" s="11">
        <v>16</v>
      </c>
      <c r="F16" s="11">
        <v>3</v>
      </c>
      <c r="G16" s="11">
        <v>0</v>
      </c>
      <c r="H16">
        <f t="shared" si="0"/>
        <v>54</v>
      </c>
      <c r="I16" s="7">
        <f t="shared" si="1"/>
        <v>0.46296296296296297</v>
      </c>
      <c r="J16" s="7">
        <f t="shared" si="2"/>
        <v>0.18518518518518517</v>
      </c>
      <c r="K16" s="7">
        <f t="shared" si="3"/>
        <v>0.29629629629629628</v>
      </c>
      <c r="L16" s="7">
        <f t="shared" si="4"/>
        <v>5.5555555555555552E-2</v>
      </c>
      <c r="M16" s="7">
        <f t="shared" si="5"/>
        <v>0</v>
      </c>
      <c r="N16" s="7">
        <f>MAX(0,I16+'Statewide Votes'!$H$9/100)</f>
        <v>0.41833636884105946</v>
      </c>
      <c r="O16" s="7">
        <f>MAX(0,J16+'Statewide Votes'!$I$9/100)</f>
        <v>0.19258469167501124</v>
      </c>
      <c r="P16" s="7">
        <f>MAX(0,K16+'Statewide Votes'!$J$9/100)</f>
        <v>0.34064425241899188</v>
      </c>
      <c r="Q16" s="7">
        <f>MAX(0,L16+'Statewide Votes'!$K$9/100)</f>
        <v>4.6772238857795675E-2</v>
      </c>
      <c r="R16" s="7">
        <f>MAX(0,M16+'Statewide Votes'!$L$9/100)</f>
        <v>1.662448207141779E-3</v>
      </c>
      <c r="S16" t="str">
        <f>IF(U16=0,"Tie",INDEX({"TVK","AIADMK+BJP+PMK+AMMK","DMK+INC+VCK","NTK","NOTA"},MATCH(MAX(N16:R16),N16:R16,0)))</f>
        <v>TVK</v>
      </c>
      <c r="T16" t="str">
        <f>INDEX({"TVK","AIADMK+BJP+PMK+AMMK","DMK+INC+VCK","NTK","NOTA"},MATCH(LARGE(N16:R16,2),N16:R16,0))</f>
        <v>DMK+INC+VCK</v>
      </c>
      <c r="U16">
        <f t="shared" si="6"/>
        <v>7.8</v>
      </c>
      <c r="V16" t="str">
        <f t="shared" si="7"/>
        <v>Lean</v>
      </c>
      <c r="W16" t="str">
        <f>IF(LARGE(I16:M16,1)=LARGE(I16:M16,2),"Tie",INDEX({"TVK","AIADMK+BJP+PMK+AMMK","DMK+INC+VCK","NTK","NOTA"},MATCH(MAX(I16:M16),I16:M16,0)))</f>
        <v>TVK</v>
      </c>
      <c r="X16" s="7">
        <f t="shared" si="8"/>
        <v>0.41833636884105946</v>
      </c>
      <c r="Y16" t="str">
        <f>IF(ISNUMBER(MATCH(A16,{"Maduravoyal","Ambattur","Madavaram","Thiruvottiyur","Sholinganallur","Alandur"},0)),"Chennai",B16)</f>
        <v>Chennai</v>
      </c>
    </row>
    <row r="17" spans="1:25" x14ac:dyDescent="0.2">
      <c r="A17" s="3" t="s">
        <v>79</v>
      </c>
      <c r="B17" t="s">
        <v>76</v>
      </c>
      <c r="C17" s="11">
        <v>19</v>
      </c>
      <c r="D17" s="11">
        <v>8</v>
      </c>
      <c r="E17" s="11">
        <v>20</v>
      </c>
      <c r="F17" s="11">
        <v>1</v>
      </c>
      <c r="G17" s="11">
        <v>0</v>
      </c>
      <c r="H17">
        <f t="shared" si="0"/>
        <v>48</v>
      </c>
      <c r="I17" s="7">
        <f t="shared" si="1"/>
        <v>0.39583333333333331</v>
      </c>
      <c r="J17" s="7">
        <f t="shared" si="2"/>
        <v>0.16666666666666666</v>
      </c>
      <c r="K17" s="7">
        <f t="shared" si="3"/>
        <v>0.41666666666666669</v>
      </c>
      <c r="L17" s="7">
        <f t="shared" si="4"/>
        <v>2.0833333333333332E-2</v>
      </c>
      <c r="M17" s="7">
        <f t="shared" si="5"/>
        <v>0</v>
      </c>
      <c r="N17" s="7">
        <f>MAX(0,I17+'Statewide Votes'!$H$9/100)</f>
        <v>0.35120673921142981</v>
      </c>
      <c r="O17" s="7">
        <f>MAX(0,J17+'Statewide Votes'!$I$9/100)</f>
        <v>0.17406617315649273</v>
      </c>
      <c r="P17" s="7">
        <f>MAX(0,K17+'Statewide Votes'!$J$9/100)</f>
        <v>0.46101462278936228</v>
      </c>
      <c r="Q17" s="7">
        <f>MAX(0,L17+'Statewide Votes'!$K$9/100)</f>
        <v>1.2050016635573455E-2</v>
      </c>
      <c r="R17" s="7">
        <f>MAX(0,M17+'Statewide Votes'!$L$9/100)</f>
        <v>1.662448207141779E-3</v>
      </c>
      <c r="S17" t="str">
        <f>IF(U17=0,"Tie",INDEX({"TVK","AIADMK+BJP+PMK+AMMK","DMK+INC+VCK","NTK","NOTA"},MATCH(MAX(N17:R17),N17:R17,0)))</f>
        <v>DMK+INC+VCK</v>
      </c>
      <c r="T17" t="str">
        <f>INDEX({"TVK","AIADMK+BJP+PMK+AMMK","DMK+INC+VCK","NTK","NOTA"},MATCH(LARGE(N17:R17,2),N17:R17,0))</f>
        <v>TVK</v>
      </c>
      <c r="U17">
        <f t="shared" si="6"/>
        <v>11</v>
      </c>
      <c r="V17" t="str">
        <f t="shared" si="7"/>
        <v>Strong</v>
      </c>
      <c r="W17" t="str">
        <f>IF(LARGE(I17:M17,1)=LARGE(I17:M17,2),"Tie",INDEX({"TVK","AIADMK+BJP+PMK+AMMK","DMK+INC+VCK","NTK","NOTA"},MATCH(MAX(I17:M17),I17:M17,0)))</f>
        <v>DMK+INC+VCK</v>
      </c>
      <c r="X17" s="7">
        <f t="shared" si="8"/>
        <v>0.46101462278936228</v>
      </c>
      <c r="Y17" t="str">
        <f>IF(ISNUMBER(MATCH(A17,{"Maduravoyal","Ambattur","Madavaram","Thiruvottiyur","Sholinganallur","Alandur"},0)),"Chennai",B17)</f>
        <v>Chennai</v>
      </c>
    </row>
    <row r="18" spans="1:25" x14ac:dyDescent="0.2">
      <c r="A18" s="3" t="s">
        <v>80</v>
      </c>
      <c r="B18" t="s">
        <v>76</v>
      </c>
      <c r="C18" s="11">
        <v>9</v>
      </c>
      <c r="D18" s="11">
        <v>10</v>
      </c>
      <c r="E18" s="11">
        <v>10</v>
      </c>
      <c r="F18" s="11">
        <v>1</v>
      </c>
      <c r="G18" s="11">
        <v>0</v>
      </c>
      <c r="H18">
        <f t="shared" si="0"/>
        <v>30</v>
      </c>
      <c r="I18" s="7">
        <f t="shared" si="1"/>
        <v>0.3</v>
      </c>
      <c r="J18" s="7">
        <f t="shared" si="2"/>
        <v>0.33333333333333331</v>
      </c>
      <c r="K18" s="7">
        <f t="shared" si="3"/>
        <v>0.33333333333333331</v>
      </c>
      <c r="L18" s="7">
        <f t="shared" si="4"/>
        <v>3.3333333333333333E-2</v>
      </c>
      <c r="M18" s="7">
        <f t="shared" si="5"/>
        <v>0</v>
      </c>
      <c r="N18" s="7">
        <f>MAX(0,I18+'Statewide Votes'!$H$9/100)</f>
        <v>0.25537340587809648</v>
      </c>
      <c r="O18" s="7">
        <f>MAX(0,J18+'Statewide Votes'!$I$9/100)</f>
        <v>0.34073283982315938</v>
      </c>
      <c r="P18" s="7">
        <f>MAX(0,K18+'Statewide Votes'!$J$9/100)</f>
        <v>0.37768128945602891</v>
      </c>
      <c r="Q18" s="7">
        <f>MAX(0,L18+'Statewide Votes'!$K$9/100)</f>
        <v>2.4550016635573456E-2</v>
      </c>
      <c r="R18" s="7">
        <f>MAX(0,M18+'Statewide Votes'!$L$9/100)</f>
        <v>1.662448207141779E-3</v>
      </c>
      <c r="S18" t="str">
        <f>IF(U18=0,"Tie",INDEX({"TVK","AIADMK+BJP+PMK+AMMK","DMK+INC+VCK","NTK","NOTA"},MATCH(MAX(N18:R18),N18:R18,0)))</f>
        <v>DMK+INC+VCK</v>
      </c>
      <c r="T18" t="str">
        <f>INDEX({"TVK","AIADMK+BJP+PMK+AMMK","DMK+INC+VCK","NTK","NOTA"},MATCH(LARGE(N18:R18,2),N18:R18,0))</f>
        <v>AIADMK+BJP+PMK+AMMK</v>
      </c>
      <c r="U18">
        <f t="shared" si="6"/>
        <v>3.7</v>
      </c>
      <c r="V18" t="str">
        <f t="shared" si="7"/>
        <v>Toss-up</v>
      </c>
      <c r="W18" t="str">
        <f>IF(LARGE(I18:M18,1)=LARGE(I18:M18,2),"Tie",INDEX({"TVK","AIADMK+BJP+PMK+AMMK","DMK+INC+VCK","NTK","NOTA"},MATCH(MAX(I18:M18),I18:M18,0)))</f>
        <v>Tie</v>
      </c>
      <c r="X18" s="7">
        <f t="shared" si="8"/>
        <v>0.37768128945602891</v>
      </c>
      <c r="Y18" t="str">
        <f>IF(ISNUMBER(MATCH(A18,{"Maduravoyal","Ambattur","Madavaram","Thiruvottiyur","Sholinganallur","Alandur"},0)),"Chennai",B18)</f>
        <v>Chennai</v>
      </c>
    </row>
    <row r="19" spans="1:25" x14ac:dyDescent="0.2">
      <c r="A19" s="3" t="s">
        <v>81</v>
      </c>
      <c r="B19" t="s">
        <v>76</v>
      </c>
      <c r="C19" s="11">
        <v>33</v>
      </c>
      <c r="D19" s="11">
        <v>15</v>
      </c>
      <c r="E19" s="11">
        <v>14</v>
      </c>
      <c r="F19" s="11">
        <v>0</v>
      </c>
      <c r="G19" s="11">
        <v>1</v>
      </c>
      <c r="H19">
        <f t="shared" si="0"/>
        <v>63</v>
      </c>
      <c r="I19" s="7">
        <f t="shared" si="1"/>
        <v>0.52380952380952384</v>
      </c>
      <c r="J19" s="7">
        <f t="shared" si="2"/>
        <v>0.23809523809523808</v>
      </c>
      <c r="K19" s="7">
        <f t="shared" si="3"/>
        <v>0.22222222222222221</v>
      </c>
      <c r="L19" s="7">
        <f t="shared" si="4"/>
        <v>0</v>
      </c>
      <c r="M19" s="7">
        <f t="shared" si="5"/>
        <v>1.5873015873015872E-2</v>
      </c>
      <c r="N19" s="7">
        <f>MAX(0,I19+'Statewide Votes'!$H$9/100)</f>
        <v>0.47918292968762033</v>
      </c>
      <c r="O19" s="7">
        <f>MAX(0,J19+'Statewide Votes'!$I$9/100)</f>
        <v>0.24549474458506415</v>
      </c>
      <c r="P19" s="7">
        <f>MAX(0,K19+'Statewide Votes'!$J$9/100)</f>
        <v>0.26657017834491781</v>
      </c>
      <c r="Q19" s="7">
        <f>MAX(0,L19+'Statewide Votes'!$K$9/100)</f>
        <v>0</v>
      </c>
      <c r="R19" s="7">
        <f>MAX(0,M19+'Statewide Votes'!$L$9/100)</f>
        <v>1.7535464080157652E-2</v>
      </c>
      <c r="S19" t="str">
        <f>IF(U19=0,"Tie",INDEX({"TVK","AIADMK+BJP+PMK+AMMK","DMK+INC+VCK","NTK","NOTA"},MATCH(MAX(N19:R19),N19:R19,0)))</f>
        <v>TVK</v>
      </c>
      <c r="T19" t="str">
        <f>INDEX({"TVK","AIADMK+BJP+PMK+AMMK","DMK+INC+VCK","NTK","NOTA"},MATCH(LARGE(N19:R19,2),N19:R19,0))</f>
        <v>DMK+INC+VCK</v>
      </c>
      <c r="U19">
        <f t="shared" si="6"/>
        <v>21.3</v>
      </c>
      <c r="V19" t="str">
        <f t="shared" si="7"/>
        <v>Strong</v>
      </c>
      <c r="W19" t="str">
        <f>IF(LARGE(I19:M19,1)=LARGE(I19:M19,2),"Tie",INDEX({"TVK","AIADMK+BJP+PMK+AMMK","DMK+INC+VCK","NTK","NOTA"},MATCH(MAX(I19:M19),I19:M19,0)))</f>
        <v>TVK</v>
      </c>
      <c r="X19" s="7">
        <f t="shared" si="8"/>
        <v>0.47918292968762033</v>
      </c>
      <c r="Y19" t="str">
        <f>IF(ISNUMBER(MATCH(A19,{"Maduravoyal","Ambattur","Madavaram","Thiruvottiyur","Sholinganallur","Alandur"},0)),"Chennai",B19)</f>
        <v>Chennai</v>
      </c>
    </row>
    <row r="20" spans="1:25" x14ac:dyDescent="0.2">
      <c r="A20" s="3" t="s">
        <v>82</v>
      </c>
      <c r="B20" t="s">
        <v>76</v>
      </c>
      <c r="C20" s="11">
        <v>21</v>
      </c>
      <c r="D20" s="11">
        <v>14</v>
      </c>
      <c r="E20" s="11">
        <v>8</v>
      </c>
      <c r="F20" s="11">
        <v>2</v>
      </c>
      <c r="G20" s="11">
        <v>0</v>
      </c>
      <c r="H20">
        <f t="shared" si="0"/>
        <v>45</v>
      </c>
      <c r="I20" s="7">
        <f t="shared" si="1"/>
        <v>0.46666666666666667</v>
      </c>
      <c r="J20" s="7">
        <f t="shared" si="2"/>
        <v>0.31111111111111112</v>
      </c>
      <c r="K20" s="7">
        <f t="shared" si="3"/>
        <v>0.17777777777777778</v>
      </c>
      <c r="L20" s="7">
        <f t="shared" si="4"/>
        <v>4.4444444444444446E-2</v>
      </c>
      <c r="M20" s="7">
        <f t="shared" si="5"/>
        <v>0</v>
      </c>
      <c r="N20" s="7">
        <f>MAX(0,I20+'Statewide Votes'!$H$9/100)</f>
        <v>0.42204007254476317</v>
      </c>
      <c r="O20" s="7">
        <f>MAX(0,J20+'Statewide Votes'!$I$9/100)</f>
        <v>0.31851061760093718</v>
      </c>
      <c r="P20" s="7">
        <f>MAX(0,K20+'Statewide Votes'!$J$9/100)</f>
        <v>0.22212573390047338</v>
      </c>
      <c r="Q20" s="7">
        <f>MAX(0,L20+'Statewide Votes'!$K$9/100)</f>
        <v>3.5661127746684569E-2</v>
      </c>
      <c r="R20" s="7">
        <f>MAX(0,M20+'Statewide Votes'!$L$9/100)</f>
        <v>1.662448207141779E-3</v>
      </c>
      <c r="S20" t="str">
        <f>IF(U20=0,"Tie",INDEX({"TVK","AIADMK+BJP+PMK+AMMK","DMK+INC+VCK","NTK","NOTA"},MATCH(MAX(N20:R20),N20:R20,0)))</f>
        <v>TVK</v>
      </c>
      <c r="T20" t="str">
        <f>INDEX({"TVK","AIADMK+BJP+PMK+AMMK","DMK+INC+VCK","NTK","NOTA"},MATCH(LARGE(N20:R20,2),N20:R20,0))</f>
        <v>AIADMK+BJP+PMK+AMMK</v>
      </c>
      <c r="U20">
        <f t="shared" si="6"/>
        <v>10.4</v>
      </c>
      <c r="V20" t="str">
        <f t="shared" si="7"/>
        <v>Strong</v>
      </c>
      <c r="W20" t="str">
        <f>IF(LARGE(I20:M20,1)=LARGE(I20:M20,2),"Tie",INDEX({"TVK","AIADMK+BJP+PMK+AMMK","DMK+INC+VCK","NTK","NOTA"},MATCH(MAX(I20:M20),I20:M20,0)))</f>
        <v>TVK</v>
      </c>
      <c r="X20" s="7">
        <f t="shared" si="8"/>
        <v>0.42204007254476317</v>
      </c>
      <c r="Y20" t="str">
        <f>IF(ISNUMBER(MATCH(A20,{"Maduravoyal","Ambattur","Madavaram","Thiruvottiyur","Sholinganallur","Alandur"},0)),"Chennai",B20)</f>
        <v>Chennai</v>
      </c>
    </row>
    <row r="21" spans="1:25" x14ac:dyDescent="0.2">
      <c r="A21" s="3" t="s">
        <v>83</v>
      </c>
      <c r="B21" t="s">
        <v>76</v>
      </c>
      <c r="C21" s="11">
        <v>60</v>
      </c>
      <c r="D21" s="11">
        <v>9</v>
      </c>
      <c r="E21" s="11">
        <v>22</v>
      </c>
      <c r="F21" s="11">
        <v>4</v>
      </c>
      <c r="G21" s="11">
        <v>0</v>
      </c>
      <c r="H21">
        <f t="shared" si="0"/>
        <v>95</v>
      </c>
      <c r="I21" s="7">
        <f t="shared" si="1"/>
        <v>0.63157894736842102</v>
      </c>
      <c r="J21" s="7">
        <f t="shared" si="2"/>
        <v>9.4736842105263161E-2</v>
      </c>
      <c r="K21" s="7">
        <f t="shared" si="3"/>
        <v>0.23157894736842105</v>
      </c>
      <c r="L21" s="7">
        <f t="shared" si="4"/>
        <v>4.2105263157894736E-2</v>
      </c>
      <c r="M21" s="7">
        <f t="shared" si="5"/>
        <v>0</v>
      </c>
      <c r="N21" s="7">
        <f>MAX(0,I21+'Statewide Votes'!$H$9/100)</f>
        <v>0.58695235324651751</v>
      </c>
      <c r="O21" s="7">
        <f>MAX(0,J21+'Statewide Votes'!$I$9/100)</f>
        <v>0.10213634859508923</v>
      </c>
      <c r="P21" s="7">
        <f>MAX(0,K21+'Statewide Votes'!$J$9/100)</f>
        <v>0.27592690349111665</v>
      </c>
      <c r="Q21" s="7">
        <f>MAX(0,L21+'Statewide Votes'!$K$9/100)</f>
        <v>3.3321946460134859E-2</v>
      </c>
      <c r="R21" s="7">
        <f>MAX(0,M21+'Statewide Votes'!$L$9/100)</f>
        <v>1.662448207141779E-3</v>
      </c>
      <c r="S21" t="str">
        <f>IF(U21=0,"Tie",INDEX({"TVK","AIADMK+BJP+PMK+AMMK","DMK+INC+VCK","NTK","NOTA"},MATCH(MAX(N21:R21),N21:R21,0)))</f>
        <v>TVK</v>
      </c>
      <c r="T21" t="str">
        <f>INDEX({"TVK","AIADMK+BJP+PMK+AMMK","DMK+INC+VCK","NTK","NOTA"},MATCH(LARGE(N21:R21,2),N21:R21,0))</f>
        <v>DMK+INC+VCK</v>
      </c>
      <c r="U21">
        <f t="shared" si="6"/>
        <v>31.1</v>
      </c>
      <c r="V21" t="str">
        <f t="shared" si="7"/>
        <v>Strong</v>
      </c>
      <c r="W21" t="str">
        <f>IF(LARGE(I21:M21,1)=LARGE(I21:M21,2),"Tie",INDEX({"TVK","AIADMK+BJP+PMK+AMMK","DMK+INC+VCK","NTK","NOTA"},MATCH(MAX(I21:M21),I21:M21,0)))</f>
        <v>TVK</v>
      </c>
      <c r="X21" s="7">
        <f t="shared" si="8"/>
        <v>0.58695235324651751</v>
      </c>
      <c r="Y21" t="str">
        <f>IF(ISNUMBER(MATCH(A21,{"Maduravoyal","Ambattur","Madavaram","Thiruvottiyur","Sholinganallur","Alandur"},0)),"Chennai",B21)</f>
        <v>Chennai</v>
      </c>
    </row>
    <row r="22" spans="1:25" x14ac:dyDescent="0.2">
      <c r="A22" s="3" t="s">
        <v>84</v>
      </c>
      <c r="B22" t="s">
        <v>76</v>
      </c>
      <c r="C22" s="11">
        <v>12</v>
      </c>
      <c r="D22" s="11">
        <v>9</v>
      </c>
      <c r="E22" s="11">
        <v>10</v>
      </c>
      <c r="F22" s="11">
        <v>0</v>
      </c>
      <c r="G22" s="11">
        <v>0</v>
      </c>
      <c r="H22">
        <f t="shared" si="0"/>
        <v>31</v>
      </c>
      <c r="I22" s="7">
        <f t="shared" si="1"/>
        <v>0.38709677419354838</v>
      </c>
      <c r="J22" s="7">
        <f t="shared" si="2"/>
        <v>0.29032258064516131</v>
      </c>
      <c r="K22" s="7">
        <f t="shared" si="3"/>
        <v>0.32258064516129031</v>
      </c>
      <c r="L22" s="7">
        <f t="shared" si="4"/>
        <v>0</v>
      </c>
      <c r="M22" s="7">
        <f t="shared" si="5"/>
        <v>0</v>
      </c>
      <c r="N22" s="7">
        <f>MAX(0,I22+'Statewide Votes'!$H$9/100)</f>
        <v>0.34247018007164487</v>
      </c>
      <c r="O22" s="7">
        <f>MAX(0,J22+'Statewide Votes'!$I$9/100)</f>
        <v>0.29772208713498738</v>
      </c>
      <c r="P22" s="7">
        <f>MAX(0,K22+'Statewide Votes'!$J$9/100)</f>
        <v>0.36692860128398591</v>
      </c>
      <c r="Q22" s="7">
        <f>MAX(0,L22+'Statewide Votes'!$K$9/100)</f>
        <v>0</v>
      </c>
      <c r="R22" s="7">
        <f>MAX(0,M22+'Statewide Votes'!$L$9/100)</f>
        <v>1.662448207141779E-3</v>
      </c>
      <c r="S22" t="str">
        <f>IF(U22=0,"Tie",INDEX({"TVK","AIADMK+BJP+PMK+AMMK","DMK+INC+VCK","NTK","NOTA"},MATCH(MAX(N22:R22),N22:R22,0)))</f>
        <v>DMK+INC+VCK</v>
      </c>
      <c r="T22" t="str">
        <f>INDEX({"TVK","AIADMK+BJP+PMK+AMMK","DMK+INC+VCK","NTK","NOTA"},MATCH(LARGE(N22:R22,2),N22:R22,0))</f>
        <v>TVK</v>
      </c>
      <c r="U22">
        <f t="shared" si="6"/>
        <v>2.4</v>
      </c>
      <c r="V22" t="str">
        <f t="shared" si="7"/>
        <v>Toss-up</v>
      </c>
      <c r="W22" t="str">
        <f>IF(LARGE(I22:M22,1)=LARGE(I22:M22,2),"Tie",INDEX({"TVK","AIADMK+BJP+PMK+AMMK","DMK+INC+VCK","NTK","NOTA"},MATCH(MAX(I22:M22),I22:M22,0)))</f>
        <v>TVK</v>
      </c>
      <c r="X22" s="7">
        <f t="shared" si="8"/>
        <v>0.36692860128398591</v>
      </c>
      <c r="Y22" t="str">
        <f>IF(ISNUMBER(MATCH(A22,{"Maduravoyal","Ambattur","Madavaram","Thiruvottiyur","Sholinganallur","Alandur"},0)),"Chennai",B22)</f>
        <v>Chennai</v>
      </c>
    </row>
    <row r="23" spans="1:25" x14ac:dyDescent="0.2">
      <c r="A23" s="3" t="s">
        <v>85</v>
      </c>
      <c r="B23" t="s">
        <v>76</v>
      </c>
      <c r="C23" s="11">
        <v>16</v>
      </c>
      <c r="D23" s="11">
        <v>10</v>
      </c>
      <c r="E23" s="11">
        <v>11</v>
      </c>
      <c r="F23" s="11">
        <v>2</v>
      </c>
      <c r="G23" s="11">
        <v>0</v>
      </c>
      <c r="H23">
        <f t="shared" si="0"/>
        <v>39</v>
      </c>
      <c r="I23" s="7">
        <f t="shared" si="1"/>
        <v>0.41025641025641024</v>
      </c>
      <c r="J23" s="7">
        <f t="shared" si="2"/>
        <v>0.25641025641025639</v>
      </c>
      <c r="K23" s="7">
        <f t="shared" si="3"/>
        <v>0.28205128205128205</v>
      </c>
      <c r="L23" s="7">
        <f t="shared" si="4"/>
        <v>5.128205128205128E-2</v>
      </c>
      <c r="M23" s="7">
        <f t="shared" si="5"/>
        <v>0</v>
      </c>
      <c r="N23" s="7">
        <f>MAX(0,I23+'Statewide Votes'!$H$9/100)</f>
        <v>0.36562981613450674</v>
      </c>
      <c r="O23" s="7">
        <f>MAX(0,J23+'Statewide Votes'!$I$9/100)</f>
        <v>0.26380976290008246</v>
      </c>
      <c r="P23" s="7">
        <f>MAX(0,K23+'Statewide Votes'!$J$9/100)</f>
        <v>0.32639923817397765</v>
      </c>
      <c r="Q23" s="7">
        <f>MAX(0,L23+'Statewide Votes'!$K$9/100)</f>
        <v>4.2498734584291403E-2</v>
      </c>
      <c r="R23" s="7">
        <f>MAX(0,M23+'Statewide Votes'!$L$9/100)</f>
        <v>1.662448207141779E-3</v>
      </c>
      <c r="S23" t="str">
        <f>IF(U23=0,"Tie",INDEX({"TVK","AIADMK+BJP+PMK+AMMK","DMK+INC+VCK","NTK","NOTA"},MATCH(MAX(N23:R23),N23:R23,0)))</f>
        <v>TVK</v>
      </c>
      <c r="T23" t="str">
        <f>INDEX({"TVK","AIADMK+BJP+PMK+AMMK","DMK+INC+VCK","NTK","NOTA"},MATCH(LARGE(N23:R23,2),N23:R23,0))</f>
        <v>DMK+INC+VCK</v>
      </c>
      <c r="U23">
        <f t="shared" si="6"/>
        <v>3.9</v>
      </c>
      <c r="V23" t="str">
        <f t="shared" si="7"/>
        <v>Toss-up</v>
      </c>
      <c r="W23" t="str">
        <f>IF(LARGE(I23:M23,1)=LARGE(I23:M23,2),"Tie",INDEX({"TVK","AIADMK+BJP+PMK+AMMK","DMK+INC+VCK","NTK","NOTA"},MATCH(MAX(I23:M23),I23:M23,0)))</f>
        <v>TVK</v>
      </c>
      <c r="X23" s="7">
        <f t="shared" si="8"/>
        <v>0.36562981613450674</v>
      </c>
      <c r="Y23" t="str">
        <f>IF(ISNUMBER(MATCH(A23,{"Maduravoyal","Ambattur","Madavaram","Thiruvottiyur","Sholinganallur","Alandur"},0)),"Chennai",B23)</f>
        <v>Chennai</v>
      </c>
    </row>
    <row r="24" spans="1:25" x14ac:dyDescent="0.2">
      <c r="A24" s="3" t="s">
        <v>86</v>
      </c>
      <c r="B24" t="s">
        <v>76</v>
      </c>
      <c r="C24" s="11">
        <v>16</v>
      </c>
      <c r="D24" s="11">
        <v>4</v>
      </c>
      <c r="E24" s="11">
        <v>3</v>
      </c>
      <c r="F24" s="11">
        <v>1</v>
      </c>
      <c r="G24" s="11">
        <v>0</v>
      </c>
      <c r="H24">
        <f t="shared" si="0"/>
        <v>24</v>
      </c>
      <c r="I24" s="7">
        <f t="shared" si="1"/>
        <v>0.66666666666666663</v>
      </c>
      <c r="J24" s="7">
        <f t="shared" si="2"/>
        <v>0.16666666666666666</v>
      </c>
      <c r="K24" s="7">
        <f t="shared" si="3"/>
        <v>0.125</v>
      </c>
      <c r="L24" s="7">
        <f t="shared" si="4"/>
        <v>4.1666666666666664E-2</v>
      </c>
      <c r="M24" s="7">
        <f t="shared" si="5"/>
        <v>0</v>
      </c>
      <c r="N24" s="7">
        <f>MAX(0,I24+'Statewide Votes'!$H$9/100)</f>
        <v>0.62204007254476312</v>
      </c>
      <c r="O24" s="7">
        <f>MAX(0,J24+'Statewide Votes'!$I$9/100)</f>
        <v>0.17406617315649273</v>
      </c>
      <c r="P24" s="7">
        <f>MAX(0,K24+'Statewide Votes'!$J$9/100)</f>
        <v>0.1693479561226956</v>
      </c>
      <c r="Q24" s="7">
        <f>MAX(0,L24+'Statewide Votes'!$K$9/100)</f>
        <v>3.2883349968906787E-2</v>
      </c>
      <c r="R24" s="7">
        <f>MAX(0,M24+'Statewide Votes'!$L$9/100)</f>
        <v>1.662448207141779E-3</v>
      </c>
      <c r="S24" t="str">
        <f>IF(U24=0,"Tie",INDEX({"TVK","AIADMK+BJP+PMK+AMMK","DMK+INC+VCK","NTK","NOTA"},MATCH(MAX(N24:R24),N24:R24,0)))</f>
        <v>TVK</v>
      </c>
      <c r="T24" t="str">
        <f>INDEX({"TVK","AIADMK+BJP+PMK+AMMK","DMK+INC+VCK","NTK","NOTA"},MATCH(LARGE(N24:R24,2),N24:R24,0))</f>
        <v>AIADMK+BJP+PMK+AMMK</v>
      </c>
      <c r="U24">
        <f t="shared" si="6"/>
        <v>44.8</v>
      </c>
      <c r="V24" t="str">
        <f t="shared" si="7"/>
        <v>Lean</v>
      </c>
      <c r="W24" t="str">
        <f>IF(LARGE(I24:M24,1)=LARGE(I24:M24,2),"Tie",INDEX({"TVK","AIADMK+BJP+PMK+AMMK","DMK+INC+VCK","NTK","NOTA"},MATCH(MAX(I24:M24),I24:M24,0)))</f>
        <v>TVK</v>
      </c>
      <c r="X24" s="7">
        <f t="shared" si="8"/>
        <v>0.62204007254476312</v>
      </c>
      <c r="Y24" t="str">
        <f>IF(ISNUMBER(MATCH(A24,{"Maduravoyal","Ambattur","Madavaram","Thiruvottiyur","Sholinganallur","Alandur"},0)),"Chennai",B24)</f>
        <v>Chennai</v>
      </c>
    </row>
    <row r="25" spans="1:25" x14ac:dyDescent="0.2">
      <c r="A25" s="3" t="s">
        <v>87</v>
      </c>
      <c r="B25" t="s">
        <v>76</v>
      </c>
      <c r="C25" s="11">
        <v>7</v>
      </c>
      <c r="D25" s="11">
        <v>25</v>
      </c>
      <c r="E25" s="11">
        <v>6</v>
      </c>
      <c r="F25" s="11">
        <v>2</v>
      </c>
      <c r="G25" s="11">
        <v>1</v>
      </c>
      <c r="H25">
        <f t="shared" si="0"/>
        <v>41</v>
      </c>
      <c r="I25" s="7">
        <f t="shared" si="1"/>
        <v>0.17073170731707318</v>
      </c>
      <c r="J25" s="7">
        <f t="shared" si="2"/>
        <v>0.6097560975609756</v>
      </c>
      <c r="K25" s="7">
        <f t="shared" si="3"/>
        <v>0.14634146341463414</v>
      </c>
      <c r="L25" s="7">
        <f t="shared" si="4"/>
        <v>4.878048780487805E-2</v>
      </c>
      <c r="M25" s="7">
        <f t="shared" si="5"/>
        <v>2.4390243902439025E-2</v>
      </c>
      <c r="N25" s="7">
        <f>MAX(0,I25+'Statewide Votes'!$H$9/100)</f>
        <v>0.12610511319516968</v>
      </c>
      <c r="O25" s="7">
        <f>MAX(0,J25+'Statewide Votes'!$I$9/100)</f>
        <v>0.61715560405080172</v>
      </c>
      <c r="P25" s="7">
        <f>MAX(0,K25+'Statewide Votes'!$J$9/100)</f>
        <v>0.19068941953732974</v>
      </c>
      <c r="Q25" s="7">
        <f>MAX(0,L25+'Statewide Votes'!$K$9/100)</f>
        <v>3.9997171107118173E-2</v>
      </c>
      <c r="R25" s="7">
        <f>MAX(0,M25+'Statewide Votes'!$L$9/100)</f>
        <v>2.6052692109580805E-2</v>
      </c>
      <c r="S25" t="str">
        <f>IF(U25=0,"Tie",INDEX({"TVK","AIADMK+BJP+PMK+AMMK","DMK+INC+VCK","NTK","NOTA"},MATCH(MAX(N25:R25),N25:R25,0)))</f>
        <v>AIADMK+BJP+PMK+AMMK</v>
      </c>
      <c r="T25" t="str">
        <f>INDEX({"TVK","AIADMK+BJP+PMK+AMMK","DMK+INC+VCK","NTK","NOTA"},MATCH(LARGE(N25:R25,2),N25:R25,0))</f>
        <v>DMK+INC+VCK</v>
      </c>
      <c r="U25">
        <f t="shared" si="6"/>
        <v>42.6</v>
      </c>
      <c r="V25" t="str">
        <f t="shared" si="7"/>
        <v>Strong</v>
      </c>
      <c r="W25" t="str">
        <f>IF(LARGE(I25:M25,1)=LARGE(I25:M25,2),"Tie",INDEX({"TVK","AIADMK+BJP+PMK+AMMK","DMK+INC+VCK","NTK","NOTA"},MATCH(MAX(I25:M25),I25:M25,0)))</f>
        <v>AIADMK+BJP+PMK+AMMK</v>
      </c>
      <c r="X25" s="7">
        <f t="shared" si="8"/>
        <v>0.61715560405080172</v>
      </c>
      <c r="Y25" t="str">
        <f>IF(ISNUMBER(MATCH(A25,{"Maduravoyal","Ambattur","Madavaram","Thiruvottiyur","Sholinganallur","Alandur"},0)),"Chennai",B25)</f>
        <v>Chennai</v>
      </c>
    </row>
    <row r="26" spans="1:25" x14ac:dyDescent="0.2">
      <c r="A26" s="3" t="s">
        <v>88</v>
      </c>
      <c r="B26" t="s">
        <v>76</v>
      </c>
      <c r="C26" s="11">
        <v>16</v>
      </c>
      <c r="D26" s="11">
        <v>7</v>
      </c>
      <c r="E26" s="11">
        <v>16</v>
      </c>
      <c r="F26" s="11">
        <v>1</v>
      </c>
      <c r="G26" s="11">
        <v>0</v>
      </c>
      <c r="H26">
        <f t="shared" si="0"/>
        <v>40</v>
      </c>
      <c r="I26" s="7">
        <f t="shared" si="1"/>
        <v>0.4</v>
      </c>
      <c r="J26" s="7">
        <f t="shared" si="2"/>
        <v>0.17499999999999999</v>
      </c>
      <c r="K26" s="7">
        <f t="shared" si="3"/>
        <v>0.4</v>
      </c>
      <c r="L26" s="7">
        <f t="shared" si="4"/>
        <v>2.5000000000000001E-2</v>
      </c>
      <c r="M26" s="7">
        <f t="shared" si="5"/>
        <v>0</v>
      </c>
      <c r="N26" s="7">
        <f>MAX(0,I26+'Statewide Votes'!$H$9/100)</f>
        <v>0.35537340587809652</v>
      </c>
      <c r="O26" s="7">
        <f>MAX(0,J26+'Statewide Votes'!$I$9/100)</f>
        <v>0.18239950648982606</v>
      </c>
      <c r="P26" s="7">
        <f>MAX(0,K26+'Statewide Votes'!$J$9/100)</f>
        <v>0.44434795612269562</v>
      </c>
      <c r="Q26" s="7">
        <f>MAX(0,L26+'Statewide Votes'!$K$9/100)</f>
        <v>1.6216683302240124E-2</v>
      </c>
      <c r="R26" s="7">
        <f>MAX(0,M26+'Statewide Votes'!$L$9/100)</f>
        <v>1.662448207141779E-3</v>
      </c>
      <c r="S26" t="str">
        <f>IF(U26=0,"Tie",INDEX({"TVK","AIADMK+BJP+PMK+AMMK","DMK+INC+VCK","NTK","NOTA"},MATCH(MAX(N26:R26),N26:R26,0)))</f>
        <v>DMK+INC+VCK</v>
      </c>
      <c r="T26" t="str">
        <f>INDEX({"TVK","AIADMK+BJP+PMK+AMMK","DMK+INC+VCK","NTK","NOTA"},MATCH(LARGE(N26:R26,2),N26:R26,0))</f>
        <v>TVK</v>
      </c>
      <c r="U26">
        <f t="shared" si="6"/>
        <v>8.9</v>
      </c>
      <c r="V26" t="str">
        <f t="shared" si="7"/>
        <v>Lean</v>
      </c>
      <c r="W26" t="str">
        <f>IF(LARGE(I26:M26,1)=LARGE(I26:M26,2),"Tie",INDEX({"TVK","AIADMK+BJP+PMK+AMMK","DMK+INC+VCK","NTK","NOTA"},MATCH(MAX(I26:M26),I26:M26,0)))</f>
        <v>Tie</v>
      </c>
      <c r="X26" s="7">
        <f t="shared" si="8"/>
        <v>0.44434795612269562</v>
      </c>
      <c r="Y26" t="str">
        <f>IF(ISNUMBER(MATCH(A26,{"Maduravoyal","Ambattur","Madavaram","Thiruvottiyur","Sholinganallur","Alandur"},0)),"Chennai",B26)</f>
        <v>Chennai</v>
      </c>
    </row>
    <row r="27" spans="1:25" x14ac:dyDescent="0.2">
      <c r="A27" s="3" t="s">
        <v>89</v>
      </c>
      <c r="B27" t="s">
        <v>76</v>
      </c>
      <c r="C27" s="11">
        <v>21</v>
      </c>
      <c r="D27" s="11">
        <v>22</v>
      </c>
      <c r="E27" s="11">
        <v>14</v>
      </c>
      <c r="F27" s="11">
        <v>3</v>
      </c>
      <c r="G27" s="11">
        <v>0</v>
      </c>
      <c r="H27">
        <f t="shared" si="0"/>
        <v>60</v>
      </c>
      <c r="I27" s="7">
        <f t="shared" si="1"/>
        <v>0.35</v>
      </c>
      <c r="J27" s="7">
        <f t="shared" si="2"/>
        <v>0.36666666666666664</v>
      </c>
      <c r="K27" s="7">
        <f t="shared" si="3"/>
        <v>0.23333333333333334</v>
      </c>
      <c r="L27" s="7">
        <f t="shared" si="4"/>
        <v>0.05</v>
      </c>
      <c r="M27" s="7">
        <f t="shared" si="5"/>
        <v>0</v>
      </c>
      <c r="N27" s="7">
        <f>MAX(0,I27+'Statewide Votes'!$H$9/100)</f>
        <v>0.30537340587809647</v>
      </c>
      <c r="O27" s="7">
        <f>MAX(0,J27+'Statewide Votes'!$I$9/100)</f>
        <v>0.37406617315649271</v>
      </c>
      <c r="P27" s="7">
        <f>MAX(0,K27+'Statewide Votes'!$J$9/100)</f>
        <v>0.27768128945602893</v>
      </c>
      <c r="Q27" s="7">
        <f>MAX(0,L27+'Statewide Votes'!$K$9/100)</f>
        <v>4.1216683302240126E-2</v>
      </c>
      <c r="R27" s="7">
        <f>MAX(0,M27+'Statewide Votes'!$L$9/100)</f>
        <v>1.662448207141779E-3</v>
      </c>
      <c r="S27" t="str">
        <f>IF(U27=0,"Tie",INDEX({"TVK","AIADMK+BJP+PMK+AMMK","DMK+INC+VCK","NTK","NOTA"},MATCH(MAX(N27:R27),N27:R27,0)))</f>
        <v>AIADMK+BJP+PMK+AMMK</v>
      </c>
      <c r="T27" t="str">
        <f>INDEX({"TVK","AIADMK+BJP+PMK+AMMK","DMK+INC+VCK","NTK","NOTA"},MATCH(LARGE(N27:R27,2),N27:R27,0))</f>
        <v>TVK</v>
      </c>
      <c r="U27">
        <f t="shared" si="6"/>
        <v>6.9</v>
      </c>
      <c r="V27" t="str">
        <f t="shared" si="7"/>
        <v>Lean</v>
      </c>
      <c r="W27" t="str">
        <f>IF(LARGE(I27:M27,1)=LARGE(I27:M27,2),"Tie",INDEX({"TVK","AIADMK+BJP+PMK+AMMK","DMK+INC+VCK","NTK","NOTA"},MATCH(MAX(I27:M27),I27:M27,0)))</f>
        <v>AIADMK+BJP+PMK+AMMK</v>
      </c>
      <c r="X27" s="7">
        <f t="shared" si="8"/>
        <v>0.37406617315649271</v>
      </c>
      <c r="Y27" t="str">
        <f>IF(ISNUMBER(MATCH(A27,{"Maduravoyal","Ambattur","Madavaram","Thiruvottiyur","Sholinganallur","Alandur"},0)),"Chennai",B27)</f>
        <v>Chennai</v>
      </c>
    </row>
    <row r="28" spans="1:25" x14ac:dyDescent="0.2">
      <c r="A28" s="3" t="s">
        <v>90</v>
      </c>
      <c r="B28" t="s">
        <v>76</v>
      </c>
      <c r="C28" s="11">
        <v>22</v>
      </c>
      <c r="D28" s="11">
        <v>5</v>
      </c>
      <c r="E28" s="11">
        <v>15</v>
      </c>
      <c r="F28" s="11">
        <v>2</v>
      </c>
      <c r="G28" s="11">
        <v>0</v>
      </c>
      <c r="H28">
        <f t="shared" si="0"/>
        <v>44</v>
      </c>
      <c r="I28" s="7">
        <f t="shared" si="1"/>
        <v>0.5</v>
      </c>
      <c r="J28" s="7">
        <f t="shared" si="2"/>
        <v>0.11363636363636363</v>
      </c>
      <c r="K28" s="7">
        <f t="shared" si="3"/>
        <v>0.34090909090909088</v>
      </c>
      <c r="L28" s="7">
        <f t="shared" si="4"/>
        <v>4.5454545454545456E-2</v>
      </c>
      <c r="M28" s="7">
        <f t="shared" si="5"/>
        <v>0</v>
      </c>
      <c r="N28" s="7">
        <f>MAX(0,I28+'Statewide Votes'!$H$9/100)</f>
        <v>0.45537340587809649</v>
      </c>
      <c r="O28" s="7">
        <f>MAX(0,J28+'Statewide Votes'!$I$9/100)</f>
        <v>0.1210358701261897</v>
      </c>
      <c r="P28" s="7">
        <f>MAX(0,K28+'Statewide Votes'!$J$9/100)</f>
        <v>0.38525704703178648</v>
      </c>
      <c r="Q28" s="7">
        <f>MAX(0,L28+'Statewide Votes'!$K$9/100)</f>
        <v>3.6671228756785579E-2</v>
      </c>
      <c r="R28" s="7">
        <f>MAX(0,M28+'Statewide Votes'!$L$9/100)</f>
        <v>1.662448207141779E-3</v>
      </c>
      <c r="S28" t="str">
        <f>IF(U28=0,"Tie",INDEX({"TVK","AIADMK+BJP+PMK+AMMK","DMK+INC+VCK","NTK","NOTA"},MATCH(MAX(N28:R28),N28:R28,0)))</f>
        <v>TVK</v>
      </c>
      <c r="T28" t="str">
        <f>INDEX({"TVK","AIADMK+BJP+PMK+AMMK","DMK+INC+VCK","NTK","NOTA"},MATCH(LARGE(N28:R28,2),N28:R28,0))</f>
        <v>DMK+INC+VCK</v>
      </c>
      <c r="U28">
        <f t="shared" si="6"/>
        <v>7</v>
      </c>
      <c r="V28" t="str">
        <f t="shared" si="7"/>
        <v>Lean</v>
      </c>
      <c r="W28" t="str">
        <f>IF(LARGE(I28:M28,1)=LARGE(I28:M28,2),"Tie",INDEX({"TVK","AIADMK+BJP+PMK+AMMK","DMK+INC+VCK","NTK","NOTA"},MATCH(MAX(I28:M28),I28:M28,0)))</f>
        <v>TVK</v>
      </c>
      <c r="X28" s="7">
        <f t="shared" si="8"/>
        <v>0.45537340587809649</v>
      </c>
      <c r="Y28" t="str">
        <f>IF(ISNUMBER(MATCH(A28,{"Maduravoyal","Ambattur","Madavaram","Thiruvottiyur","Sholinganallur","Alandur"},0)),"Chennai",B28)</f>
        <v>Chennai</v>
      </c>
    </row>
    <row r="29" spans="1:25" x14ac:dyDescent="0.2">
      <c r="A29" s="3" t="s">
        <v>91</v>
      </c>
      <c r="B29" t="s">
        <v>76</v>
      </c>
      <c r="C29" s="11">
        <v>27</v>
      </c>
      <c r="D29" s="11">
        <v>21</v>
      </c>
      <c r="E29" s="11">
        <v>15</v>
      </c>
      <c r="F29" s="11">
        <v>2</v>
      </c>
      <c r="G29" s="11">
        <v>0</v>
      </c>
      <c r="H29">
        <f t="shared" si="0"/>
        <v>65</v>
      </c>
      <c r="I29" s="7">
        <f t="shared" si="1"/>
        <v>0.41538461538461541</v>
      </c>
      <c r="J29" s="7">
        <f t="shared" si="2"/>
        <v>0.32307692307692309</v>
      </c>
      <c r="K29" s="7">
        <f t="shared" si="3"/>
        <v>0.23076923076923078</v>
      </c>
      <c r="L29" s="7">
        <f t="shared" si="4"/>
        <v>3.0769230769230771E-2</v>
      </c>
      <c r="M29" s="7">
        <f t="shared" si="5"/>
        <v>0</v>
      </c>
      <c r="N29" s="7">
        <f>MAX(0,I29+'Statewide Votes'!$H$9/100)</f>
        <v>0.3707580212627119</v>
      </c>
      <c r="O29" s="7">
        <f>MAX(0,J29+'Statewide Votes'!$I$9/100)</f>
        <v>0.33047642956674916</v>
      </c>
      <c r="P29" s="7">
        <f>MAX(0,K29+'Statewide Votes'!$J$9/100)</f>
        <v>0.27511718689192638</v>
      </c>
      <c r="Q29" s="7">
        <f>MAX(0,L29+'Statewide Votes'!$K$9/100)</f>
        <v>2.1985914071470894E-2</v>
      </c>
      <c r="R29" s="7">
        <f>MAX(0,M29+'Statewide Votes'!$L$9/100)</f>
        <v>1.662448207141779E-3</v>
      </c>
      <c r="S29" t="str">
        <f>IF(U29=0,"Tie",INDEX({"TVK","AIADMK+BJP+PMK+AMMK","DMK+INC+VCK","NTK","NOTA"},MATCH(MAX(N29:R29),N29:R29,0)))</f>
        <v>TVK</v>
      </c>
      <c r="T29" t="str">
        <f>INDEX({"TVK","AIADMK+BJP+PMK+AMMK","DMK+INC+VCK","NTK","NOTA"},MATCH(LARGE(N29:R29,2),N29:R29,0))</f>
        <v>AIADMK+BJP+PMK+AMMK</v>
      </c>
      <c r="U29">
        <f t="shared" si="6"/>
        <v>4</v>
      </c>
      <c r="V29" t="str">
        <f t="shared" si="7"/>
        <v>Toss-up</v>
      </c>
      <c r="W29" t="str">
        <f>IF(LARGE(I29:M29,1)=LARGE(I29:M29,2),"Tie",INDEX({"TVK","AIADMK+BJP+PMK+AMMK","DMK+INC+VCK","NTK","NOTA"},MATCH(MAX(I29:M29),I29:M29,0)))</f>
        <v>TVK</v>
      </c>
      <c r="X29" s="7">
        <f t="shared" si="8"/>
        <v>0.3707580212627119</v>
      </c>
      <c r="Y29" t="str">
        <f>IF(ISNUMBER(MATCH(A29,{"Maduravoyal","Ambattur","Madavaram","Thiruvottiyur","Sholinganallur","Alandur"},0)),"Chennai",B29)</f>
        <v>Chennai</v>
      </c>
    </row>
    <row r="30" spans="1:25" x14ac:dyDescent="0.2">
      <c r="A30" s="3" t="s">
        <v>92</v>
      </c>
      <c r="B30" t="s">
        <v>93</v>
      </c>
      <c r="C30" s="11">
        <v>38</v>
      </c>
      <c r="D30" s="11">
        <v>25</v>
      </c>
      <c r="E30" s="11">
        <v>16</v>
      </c>
      <c r="F30" s="11">
        <v>9</v>
      </c>
      <c r="G30" s="11">
        <v>1</v>
      </c>
      <c r="H30">
        <f t="shared" si="0"/>
        <v>89</v>
      </c>
      <c r="I30" s="7">
        <f t="shared" si="1"/>
        <v>0.42696629213483145</v>
      </c>
      <c r="J30" s="7">
        <f t="shared" si="2"/>
        <v>0.2808988764044944</v>
      </c>
      <c r="K30" s="7">
        <f t="shared" si="3"/>
        <v>0.1797752808988764</v>
      </c>
      <c r="L30" s="7">
        <f t="shared" si="4"/>
        <v>0.10112359550561797</v>
      </c>
      <c r="M30" s="7">
        <f t="shared" si="5"/>
        <v>1.1235955056179775E-2</v>
      </c>
      <c r="N30" s="7">
        <f>MAX(0,I30+'Statewide Votes'!$H$9/100)</f>
        <v>0.38233969801292794</v>
      </c>
      <c r="O30" s="7">
        <f>MAX(0,J30+'Statewide Votes'!$I$9/100)</f>
        <v>0.28829838289432047</v>
      </c>
      <c r="P30" s="7">
        <f>MAX(0,K30+'Statewide Votes'!$J$9/100)</f>
        <v>0.224123237021572</v>
      </c>
      <c r="Q30" s="7">
        <f>MAX(0,L30+'Statewide Votes'!$K$9/100)</f>
        <v>9.2340278807858098E-2</v>
      </c>
      <c r="R30" s="7">
        <f>MAX(0,M30+'Statewide Votes'!$L$9/100)</f>
        <v>1.2898403263321555E-2</v>
      </c>
      <c r="S30" t="str">
        <f>IF(U30=0,"Tie",INDEX({"TVK","AIADMK+BJP+PMK+AMMK","DMK+INC+VCK","NTK","NOTA"},MATCH(MAX(N30:R30),N30:R30,0)))</f>
        <v>TVK</v>
      </c>
      <c r="T30" t="str">
        <f>INDEX({"TVK","AIADMK+BJP+PMK+AMMK","DMK+INC+VCK","NTK","NOTA"},MATCH(LARGE(N30:R30,2),N30:R30,0))</f>
        <v>AIADMK+BJP+PMK+AMMK</v>
      </c>
      <c r="U30">
        <f t="shared" si="6"/>
        <v>9.4</v>
      </c>
      <c r="V30" t="str">
        <f t="shared" si="7"/>
        <v>Lean</v>
      </c>
      <c r="W30" t="str">
        <f>IF(LARGE(I30:M30,1)=LARGE(I30:M30,2),"Tie",INDEX({"TVK","AIADMK+BJP+PMK+AMMK","DMK+INC+VCK","NTK","NOTA"},MATCH(MAX(I30:M30),I30:M30,0)))</f>
        <v>TVK</v>
      </c>
      <c r="X30" s="7">
        <f t="shared" si="8"/>
        <v>0.38233969801292794</v>
      </c>
      <c r="Y30" t="str">
        <f>IF(ISNUMBER(MATCH(A30,{"Maduravoyal","Ambattur","Madavaram","Thiruvottiyur","Sholinganallur","Alandur"},0)),"Chennai",B30)</f>
        <v>Coimbatore</v>
      </c>
    </row>
    <row r="31" spans="1:25" x14ac:dyDescent="0.2">
      <c r="A31" s="3" t="s">
        <v>94</v>
      </c>
      <c r="B31" t="s">
        <v>93</v>
      </c>
      <c r="C31" s="11">
        <v>45</v>
      </c>
      <c r="D31" s="11">
        <v>18</v>
      </c>
      <c r="E31" s="11">
        <v>29</v>
      </c>
      <c r="F31" s="11">
        <v>4</v>
      </c>
      <c r="G31" s="11">
        <v>0</v>
      </c>
      <c r="H31">
        <f t="shared" si="0"/>
        <v>96</v>
      </c>
      <c r="I31" s="7">
        <f t="shared" si="1"/>
        <v>0.46875</v>
      </c>
      <c r="J31" s="7">
        <f t="shared" si="2"/>
        <v>0.1875</v>
      </c>
      <c r="K31" s="7">
        <f t="shared" si="3"/>
        <v>0.30208333333333331</v>
      </c>
      <c r="L31" s="7">
        <f t="shared" si="4"/>
        <v>4.1666666666666664E-2</v>
      </c>
      <c r="M31" s="7">
        <f t="shared" si="5"/>
        <v>0</v>
      </c>
      <c r="N31" s="7">
        <f>MAX(0,I31+'Statewide Votes'!$H$9/100)</f>
        <v>0.42412340587809649</v>
      </c>
      <c r="O31" s="7">
        <f>MAX(0,J31+'Statewide Votes'!$I$9/100)</f>
        <v>0.19489950648982607</v>
      </c>
      <c r="P31" s="7">
        <f>MAX(0,K31+'Statewide Votes'!$J$9/100)</f>
        <v>0.34643128945602891</v>
      </c>
      <c r="Q31" s="7">
        <f>MAX(0,L31+'Statewide Votes'!$K$9/100)</f>
        <v>3.2883349968906787E-2</v>
      </c>
      <c r="R31" s="7">
        <f>MAX(0,M31+'Statewide Votes'!$L$9/100)</f>
        <v>1.662448207141779E-3</v>
      </c>
      <c r="S31" t="str">
        <f>IF(U31=0,"Tie",INDEX({"TVK","AIADMK+BJP+PMK+AMMK","DMK+INC+VCK","NTK","NOTA"},MATCH(MAX(N31:R31),N31:R31,0)))</f>
        <v>TVK</v>
      </c>
      <c r="T31" t="str">
        <f>INDEX({"TVK","AIADMK+BJP+PMK+AMMK","DMK+INC+VCK","NTK","NOTA"},MATCH(LARGE(N31:R31,2),N31:R31,0))</f>
        <v>DMK+INC+VCK</v>
      </c>
      <c r="U31">
        <f t="shared" si="6"/>
        <v>7.8</v>
      </c>
      <c r="V31" t="str">
        <f t="shared" si="7"/>
        <v>Lean</v>
      </c>
      <c r="W31" t="str">
        <f>IF(LARGE(I31:M31,1)=LARGE(I31:M31,2),"Tie",INDEX({"TVK","AIADMK+BJP+PMK+AMMK","DMK+INC+VCK","NTK","NOTA"},MATCH(MAX(I31:M31),I31:M31,0)))</f>
        <v>TVK</v>
      </c>
      <c r="X31" s="7">
        <f t="shared" si="8"/>
        <v>0.42412340587809649</v>
      </c>
      <c r="Y31" t="str">
        <f>IF(ISNUMBER(MATCH(A31,{"Maduravoyal","Ambattur","Madavaram","Thiruvottiyur","Sholinganallur","Alandur"},0)),"Chennai",B31)</f>
        <v>Coimbatore</v>
      </c>
    </row>
    <row r="32" spans="1:25" x14ac:dyDescent="0.2">
      <c r="A32" s="3" t="s">
        <v>95</v>
      </c>
      <c r="B32" t="s">
        <v>93</v>
      </c>
      <c r="C32" s="11">
        <v>34</v>
      </c>
      <c r="D32" s="11">
        <v>25</v>
      </c>
      <c r="E32" s="11">
        <v>20</v>
      </c>
      <c r="F32" s="11">
        <v>4</v>
      </c>
      <c r="G32" s="11">
        <v>0</v>
      </c>
      <c r="H32">
        <f t="shared" si="0"/>
        <v>83</v>
      </c>
      <c r="I32" s="7">
        <f t="shared" si="1"/>
        <v>0.40963855421686746</v>
      </c>
      <c r="J32" s="7">
        <f t="shared" si="2"/>
        <v>0.30120481927710846</v>
      </c>
      <c r="K32" s="7">
        <f t="shared" si="3"/>
        <v>0.24096385542168675</v>
      </c>
      <c r="L32" s="7">
        <f t="shared" si="4"/>
        <v>4.8192771084337352E-2</v>
      </c>
      <c r="M32" s="7">
        <f t="shared" si="5"/>
        <v>0</v>
      </c>
      <c r="N32" s="7">
        <f>MAX(0,I32+'Statewide Votes'!$H$9/100)</f>
        <v>0.36501196009496395</v>
      </c>
      <c r="O32" s="7">
        <f>MAX(0,J32+'Statewide Votes'!$I$9/100)</f>
        <v>0.30860432576693453</v>
      </c>
      <c r="P32" s="7">
        <f>MAX(0,K32+'Statewide Votes'!$J$9/100)</f>
        <v>0.28531181154438234</v>
      </c>
      <c r="Q32" s="7">
        <f>MAX(0,L32+'Statewide Votes'!$K$9/100)</f>
        <v>3.9409454386577475E-2</v>
      </c>
      <c r="R32" s="7">
        <f>MAX(0,M32+'Statewide Votes'!$L$9/100)</f>
        <v>1.662448207141779E-3</v>
      </c>
      <c r="S32" t="str">
        <f>IF(U32=0,"Tie",INDEX({"TVK","AIADMK+BJP+PMK+AMMK","DMK+INC+VCK","NTK","NOTA"},MATCH(MAX(N32:R32),N32:R32,0)))</f>
        <v>TVK</v>
      </c>
      <c r="T32" t="str">
        <f>INDEX({"TVK","AIADMK+BJP+PMK+AMMK","DMK+INC+VCK","NTK","NOTA"},MATCH(LARGE(N32:R32,2),N32:R32,0))</f>
        <v>AIADMK+BJP+PMK+AMMK</v>
      </c>
      <c r="U32">
        <f t="shared" si="6"/>
        <v>5.6</v>
      </c>
      <c r="V32" t="str">
        <f t="shared" si="7"/>
        <v>Lean</v>
      </c>
      <c r="W32" t="str">
        <f>IF(LARGE(I32:M32,1)=LARGE(I32:M32,2),"Tie",INDEX({"TVK","AIADMK+BJP+PMK+AMMK","DMK+INC+VCK","NTK","NOTA"},MATCH(MAX(I32:M32),I32:M32,0)))</f>
        <v>TVK</v>
      </c>
      <c r="X32" s="7">
        <f t="shared" si="8"/>
        <v>0.36501196009496395</v>
      </c>
      <c r="Y32" t="str">
        <f>IF(ISNUMBER(MATCH(A32,{"Maduravoyal","Ambattur","Madavaram","Thiruvottiyur","Sholinganallur","Alandur"},0)),"Chennai",B32)</f>
        <v>Coimbatore</v>
      </c>
    </row>
    <row r="33" spans="1:25" x14ac:dyDescent="0.2">
      <c r="A33" s="3" t="s">
        <v>96</v>
      </c>
      <c r="B33" t="s">
        <v>93</v>
      </c>
      <c r="C33" s="11">
        <v>18</v>
      </c>
      <c r="D33" s="11">
        <v>15</v>
      </c>
      <c r="E33" s="11">
        <v>25</v>
      </c>
      <c r="F33" s="11">
        <v>3</v>
      </c>
      <c r="G33" s="11">
        <v>0</v>
      </c>
      <c r="H33">
        <f t="shared" si="0"/>
        <v>61</v>
      </c>
      <c r="I33" s="7">
        <f t="shared" si="1"/>
        <v>0.29508196721311475</v>
      </c>
      <c r="J33" s="7">
        <f t="shared" si="2"/>
        <v>0.24590163934426229</v>
      </c>
      <c r="K33" s="7">
        <f t="shared" si="3"/>
        <v>0.4098360655737705</v>
      </c>
      <c r="L33" s="7">
        <f t="shared" si="4"/>
        <v>4.9180327868852458E-2</v>
      </c>
      <c r="M33" s="7">
        <f t="shared" si="5"/>
        <v>0</v>
      </c>
      <c r="N33" s="7">
        <f>MAX(0,I33+'Statewide Votes'!$H$9/100)</f>
        <v>0.25045537309121124</v>
      </c>
      <c r="O33" s="7">
        <f>MAX(0,J33+'Statewide Votes'!$I$9/100)</f>
        <v>0.25330114583408836</v>
      </c>
      <c r="P33" s="7">
        <f>MAX(0,K33+'Statewide Votes'!$J$9/100)</f>
        <v>0.4541840216964661</v>
      </c>
      <c r="Q33" s="7">
        <f>MAX(0,L33+'Statewide Votes'!$K$9/100)</f>
        <v>4.0397011171092581E-2</v>
      </c>
      <c r="R33" s="7">
        <f>MAX(0,M33+'Statewide Votes'!$L$9/100)</f>
        <v>1.662448207141779E-3</v>
      </c>
      <c r="S33" t="str">
        <f>IF(U33=0,"Tie",INDEX({"TVK","AIADMK+BJP+PMK+AMMK","DMK+INC+VCK","NTK","NOTA"},MATCH(MAX(N33:R33),N33:R33,0)))</f>
        <v>DMK+INC+VCK</v>
      </c>
      <c r="T33" t="str">
        <f>INDEX({"TVK","AIADMK+BJP+PMK+AMMK","DMK+INC+VCK","NTK","NOTA"},MATCH(LARGE(N33:R33,2),N33:R33,0))</f>
        <v>AIADMK+BJP+PMK+AMMK</v>
      </c>
      <c r="U33">
        <f t="shared" si="6"/>
        <v>20.100000000000001</v>
      </c>
      <c r="V33" t="str">
        <f t="shared" si="7"/>
        <v>Strong</v>
      </c>
      <c r="W33" t="str">
        <f>IF(LARGE(I33:M33,1)=LARGE(I33:M33,2),"Tie",INDEX({"TVK","AIADMK+BJP+PMK+AMMK","DMK+INC+VCK","NTK","NOTA"},MATCH(MAX(I33:M33),I33:M33,0)))</f>
        <v>DMK+INC+VCK</v>
      </c>
      <c r="X33" s="7">
        <f t="shared" si="8"/>
        <v>0.4541840216964661</v>
      </c>
      <c r="Y33" t="str">
        <f>IF(ISNUMBER(MATCH(A33,{"Maduravoyal","Ambattur","Madavaram","Thiruvottiyur","Sholinganallur","Alandur"},0)),"Chennai",B33)</f>
        <v>Coimbatore</v>
      </c>
    </row>
    <row r="34" spans="1:25" x14ac:dyDescent="0.2">
      <c r="A34" s="3" t="s">
        <v>97</v>
      </c>
      <c r="B34" t="s">
        <v>93</v>
      </c>
      <c r="C34" s="11">
        <v>16</v>
      </c>
      <c r="D34" s="11">
        <v>12</v>
      </c>
      <c r="E34" s="11">
        <v>16</v>
      </c>
      <c r="F34" s="11">
        <v>6</v>
      </c>
      <c r="G34" s="11">
        <v>0</v>
      </c>
      <c r="H34">
        <f t="shared" si="0"/>
        <v>50</v>
      </c>
      <c r="I34" s="7">
        <f t="shared" si="1"/>
        <v>0.32</v>
      </c>
      <c r="J34" s="7">
        <f t="shared" si="2"/>
        <v>0.24</v>
      </c>
      <c r="K34" s="7">
        <f t="shared" si="3"/>
        <v>0.32</v>
      </c>
      <c r="L34" s="7">
        <f t="shared" si="4"/>
        <v>0.12</v>
      </c>
      <c r="M34" s="7">
        <f t="shared" si="5"/>
        <v>0</v>
      </c>
      <c r="N34" s="7">
        <f>MAX(0,I34+'Statewide Votes'!$H$9/100)</f>
        <v>0.2753734058780965</v>
      </c>
      <c r="O34" s="7">
        <f>MAX(0,J34+'Statewide Votes'!$I$9/100)</f>
        <v>0.24739950648982606</v>
      </c>
      <c r="P34" s="7">
        <f>MAX(0,K34+'Statewide Votes'!$J$9/100)</f>
        <v>0.3643479561226956</v>
      </c>
      <c r="Q34" s="7">
        <f>MAX(0,L34+'Statewide Votes'!$K$9/100)</f>
        <v>0.11121668330224012</v>
      </c>
      <c r="R34" s="7">
        <f>MAX(0,M34+'Statewide Votes'!$L$9/100)</f>
        <v>1.662448207141779E-3</v>
      </c>
      <c r="S34" t="str">
        <f>IF(U34=0,"Tie",INDEX({"TVK","AIADMK+BJP+PMK+AMMK","DMK+INC+VCK","NTK","NOTA"},MATCH(MAX(N34:R34),N34:R34,0)))</f>
        <v>DMK+INC+VCK</v>
      </c>
      <c r="T34" t="str">
        <f>INDEX({"TVK","AIADMK+BJP+PMK+AMMK","DMK+INC+VCK","NTK","NOTA"},MATCH(LARGE(N34:R34,2),N34:R34,0))</f>
        <v>TVK</v>
      </c>
      <c r="U34">
        <f t="shared" si="6"/>
        <v>8.9</v>
      </c>
      <c r="V34" t="str">
        <f t="shared" si="7"/>
        <v>Lean</v>
      </c>
      <c r="W34" t="str">
        <f>IF(LARGE(I34:M34,1)=LARGE(I34:M34,2),"Tie",INDEX({"TVK","AIADMK+BJP+PMK+AMMK","DMK+INC+VCK","NTK","NOTA"},MATCH(MAX(I34:M34),I34:M34,0)))</f>
        <v>Tie</v>
      </c>
      <c r="X34" s="7">
        <f t="shared" si="8"/>
        <v>0.3643479561226956</v>
      </c>
      <c r="Y34" t="str">
        <f>IF(ISNUMBER(MATCH(A34,{"Maduravoyal","Ambattur","Madavaram","Thiruvottiyur","Sholinganallur","Alandur"},0)),"Chennai",B34)</f>
        <v>Coimbatore</v>
      </c>
    </row>
    <row r="35" spans="1:25" x14ac:dyDescent="0.2">
      <c r="A35" s="3" t="s">
        <v>98</v>
      </c>
      <c r="B35" t="s">
        <v>93</v>
      </c>
      <c r="C35" s="11">
        <v>24</v>
      </c>
      <c r="D35" s="11">
        <v>18</v>
      </c>
      <c r="E35" s="11">
        <v>7</v>
      </c>
      <c r="F35" s="11">
        <v>2</v>
      </c>
      <c r="G35" s="11">
        <v>0</v>
      </c>
      <c r="H35">
        <f t="shared" si="0"/>
        <v>51</v>
      </c>
      <c r="I35" s="7">
        <f t="shared" si="1"/>
        <v>0.47058823529411764</v>
      </c>
      <c r="J35" s="7">
        <f t="shared" si="2"/>
        <v>0.35294117647058826</v>
      </c>
      <c r="K35" s="7">
        <f t="shared" si="3"/>
        <v>0.13725490196078433</v>
      </c>
      <c r="L35" s="7">
        <f t="shared" si="4"/>
        <v>3.9215686274509803E-2</v>
      </c>
      <c r="M35" s="7">
        <f t="shared" si="5"/>
        <v>0</v>
      </c>
      <c r="N35" s="7">
        <f>MAX(0,I35+'Statewide Votes'!$H$9/100)</f>
        <v>0.42596164117221413</v>
      </c>
      <c r="O35" s="7">
        <f>MAX(0,J35+'Statewide Votes'!$I$9/100)</f>
        <v>0.36034068296041433</v>
      </c>
      <c r="P35" s="7">
        <f>MAX(0,K35+'Statewide Votes'!$J$9/100)</f>
        <v>0.18160285808347992</v>
      </c>
      <c r="Q35" s="7">
        <f>MAX(0,L35+'Statewide Votes'!$K$9/100)</f>
        <v>3.0432369576749926E-2</v>
      </c>
      <c r="R35" s="7">
        <f>MAX(0,M35+'Statewide Votes'!$L$9/100)</f>
        <v>1.662448207141779E-3</v>
      </c>
      <c r="S35" t="str">
        <f>IF(U35=0,"Tie",INDEX({"TVK","AIADMK+BJP+PMK+AMMK","DMK+INC+VCK","NTK","NOTA"},MATCH(MAX(N35:R35),N35:R35,0)))</f>
        <v>TVK</v>
      </c>
      <c r="T35" t="str">
        <f>INDEX({"TVK","AIADMK+BJP+PMK+AMMK","DMK+INC+VCK","NTK","NOTA"},MATCH(LARGE(N35:R35,2),N35:R35,0))</f>
        <v>AIADMK+BJP+PMK+AMMK</v>
      </c>
      <c r="U35">
        <f t="shared" si="6"/>
        <v>6.6</v>
      </c>
      <c r="V35" t="str">
        <f t="shared" si="7"/>
        <v>Lean</v>
      </c>
      <c r="W35" t="str">
        <f>IF(LARGE(I35:M35,1)=LARGE(I35:M35,2),"Tie",INDEX({"TVK","AIADMK+BJP+PMK+AMMK","DMK+INC+VCK","NTK","NOTA"},MATCH(MAX(I35:M35),I35:M35,0)))</f>
        <v>TVK</v>
      </c>
      <c r="X35" s="7">
        <f t="shared" si="8"/>
        <v>0.42596164117221413</v>
      </c>
      <c r="Y35" t="str">
        <f>IF(ISNUMBER(MATCH(A35,{"Maduravoyal","Ambattur","Madavaram","Thiruvottiyur","Sholinganallur","Alandur"},0)),"Chennai",B35)</f>
        <v>Coimbatore</v>
      </c>
    </row>
    <row r="36" spans="1:25" x14ac:dyDescent="0.2">
      <c r="A36" s="3" t="s">
        <v>99</v>
      </c>
      <c r="B36" t="s">
        <v>93</v>
      </c>
      <c r="C36" s="11">
        <v>31</v>
      </c>
      <c r="D36" s="11">
        <v>22</v>
      </c>
      <c r="E36" s="11">
        <v>19</v>
      </c>
      <c r="F36" s="11">
        <v>2</v>
      </c>
      <c r="G36" s="11">
        <v>1</v>
      </c>
      <c r="H36">
        <f t="shared" si="0"/>
        <v>75</v>
      </c>
      <c r="I36" s="7">
        <f t="shared" si="1"/>
        <v>0.41333333333333333</v>
      </c>
      <c r="J36" s="7">
        <f t="shared" si="2"/>
        <v>0.29333333333333333</v>
      </c>
      <c r="K36" s="7">
        <f t="shared" si="3"/>
        <v>0.25333333333333335</v>
      </c>
      <c r="L36" s="7">
        <f t="shared" si="4"/>
        <v>2.6666666666666668E-2</v>
      </c>
      <c r="M36" s="7">
        <f t="shared" si="5"/>
        <v>1.3333333333333334E-2</v>
      </c>
      <c r="N36" s="7">
        <f>MAX(0,I36+'Statewide Votes'!$H$9/100)</f>
        <v>0.36870673921142982</v>
      </c>
      <c r="O36" s="7">
        <f>MAX(0,J36+'Statewide Votes'!$I$9/100)</f>
        <v>0.3007328398231594</v>
      </c>
      <c r="P36" s="7">
        <f>MAX(0,K36+'Statewide Votes'!$J$9/100)</f>
        <v>0.29768128945602895</v>
      </c>
      <c r="Q36" s="7">
        <f>MAX(0,L36+'Statewide Votes'!$K$9/100)</f>
        <v>1.7883349968906791E-2</v>
      </c>
      <c r="R36" s="7">
        <f>MAX(0,M36+'Statewide Votes'!$L$9/100)</f>
        <v>1.4995781540475112E-2</v>
      </c>
      <c r="S36" t="str">
        <f>IF(U36=0,"Tie",INDEX({"TVK","AIADMK+BJP+PMK+AMMK","DMK+INC+VCK","NTK","NOTA"},MATCH(MAX(N36:R36),N36:R36,0)))</f>
        <v>TVK</v>
      </c>
      <c r="T36" t="str">
        <f>INDEX({"TVK","AIADMK+BJP+PMK+AMMK","DMK+INC+VCK","NTK","NOTA"},MATCH(LARGE(N36:R36,2),N36:R36,0))</f>
        <v>AIADMK+BJP+PMK+AMMK</v>
      </c>
      <c r="U36">
        <f t="shared" si="6"/>
        <v>6.8</v>
      </c>
      <c r="V36" t="str">
        <f t="shared" si="7"/>
        <v>Lean</v>
      </c>
      <c r="W36" t="str">
        <f>IF(LARGE(I36:M36,1)=LARGE(I36:M36,2),"Tie",INDEX({"TVK","AIADMK+BJP+PMK+AMMK","DMK+INC+VCK","NTK","NOTA"},MATCH(MAX(I36:M36),I36:M36,0)))</f>
        <v>TVK</v>
      </c>
      <c r="X36" s="7">
        <f t="shared" si="8"/>
        <v>0.36870673921142982</v>
      </c>
      <c r="Y36" t="str">
        <f>IF(ISNUMBER(MATCH(A36,{"Maduravoyal","Ambattur","Madavaram","Thiruvottiyur","Sholinganallur","Alandur"},0)),"Chennai",B36)</f>
        <v>Coimbatore</v>
      </c>
    </row>
    <row r="37" spans="1:25" x14ac:dyDescent="0.2">
      <c r="A37" s="3" t="s">
        <v>100</v>
      </c>
      <c r="B37" t="s">
        <v>93</v>
      </c>
      <c r="C37" s="11">
        <v>22</v>
      </c>
      <c r="D37" s="11">
        <v>16</v>
      </c>
      <c r="E37" s="11">
        <v>17</v>
      </c>
      <c r="F37" s="11">
        <v>3</v>
      </c>
      <c r="G37" s="11">
        <v>1</v>
      </c>
      <c r="H37">
        <f t="shared" si="0"/>
        <v>59</v>
      </c>
      <c r="I37" s="7">
        <f t="shared" si="1"/>
        <v>0.3728813559322034</v>
      </c>
      <c r="J37" s="7">
        <f t="shared" si="2"/>
        <v>0.2711864406779661</v>
      </c>
      <c r="K37" s="7">
        <f t="shared" si="3"/>
        <v>0.28813559322033899</v>
      </c>
      <c r="L37" s="7">
        <f t="shared" si="4"/>
        <v>5.0847457627118647E-2</v>
      </c>
      <c r="M37" s="7">
        <f t="shared" si="5"/>
        <v>1.6949152542372881E-2</v>
      </c>
      <c r="N37" s="7">
        <f>MAX(0,I37+'Statewide Votes'!$H$9/100)</f>
        <v>0.32825476181029989</v>
      </c>
      <c r="O37" s="7">
        <f>MAX(0,J37+'Statewide Votes'!$I$9/100)</f>
        <v>0.27858594716779217</v>
      </c>
      <c r="P37" s="7">
        <f>MAX(0,K37+'Statewide Votes'!$J$9/100)</f>
        <v>0.33248354934303459</v>
      </c>
      <c r="Q37" s="7">
        <f>MAX(0,L37+'Statewide Votes'!$K$9/100)</f>
        <v>4.206414092935877E-2</v>
      </c>
      <c r="R37" s="7">
        <f>MAX(0,M37+'Statewide Votes'!$L$9/100)</f>
        <v>1.8611600749514661E-2</v>
      </c>
      <c r="S37" t="str">
        <f>IF(U37=0,"Tie",INDEX({"TVK","AIADMK+BJP+PMK+AMMK","DMK+INC+VCK","NTK","NOTA"},MATCH(MAX(N37:R37),N37:R37,0)))</f>
        <v>DMK+INC+VCK</v>
      </c>
      <c r="T37" t="str">
        <f>INDEX({"TVK","AIADMK+BJP+PMK+AMMK","DMK+INC+VCK","NTK","NOTA"},MATCH(LARGE(N37:R37,2),N37:R37,0))</f>
        <v>TVK</v>
      </c>
      <c r="U37">
        <f t="shared" si="6"/>
        <v>0.4</v>
      </c>
      <c r="V37" t="str">
        <f t="shared" si="7"/>
        <v>Toss-up</v>
      </c>
      <c r="W37" t="str">
        <f>IF(LARGE(I37:M37,1)=LARGE(I37:M37,2),"Tie",INDEX({"TVK","AIADMK+BJP+PMK+AMMK","DMK+INC+VCK","NTK","NOTA"},MATCH(MAX(I37:M37),I37:M37,0)))</f>
        <v>TVK</v>
      </c>
      <c r="X37" s="7">
        <f t="shared" si="8"/>
        <v>0.33248354934303459</v>
      </c>
      <c r="Y37" t="str">
        <f>IF(ISNUMBER(MATCH(A37,{"Maduravoyal","Ambattur","Madavaram","Thiruvottiyur","Sholinganallur","Alandur"},0)),"Chennai",B37)</f>
        <v>Coimbatore</v>
      </c>
    </row>
    <row r="38" spans="1:25" x14ac:dyDescent="0.2">
      <c r="A38" s="3" t="s">
        <v>101</v>
      </c>
      <c r="B38" t="s">
        <v>93</v>
      </c>
      <c r="C38" s="11">
        <v>24</v>
      </c>
      <c r="D38" s="11">
        <v>14</v>
      </c>
      <c r="E38" s="11">
        <v>16</v>
      </c>
      <c r="F38" s="11">
        <v>3</v>
      </c>
      <c r="G38" s="11">
        <v>0</v>
      </c>
      <c r="H38">
        <f t="shared" si="0"/>
        <v>57</v>
      </c>
      <c r="I38" s="7">
        <f t="shared" si="1"/>
        <v>0.42105263157894735</v>
      </c>
      <c r="J38" s="7">
        <f t="shared" si="2"/>
        <v>0.24561403508771928</v>
      </c>
      <c r="K38" s="7">
        <f t="shared" si="3"/>
        <v>0.2807017543859649</v>
      </c>
      <c r="L38" s="7">
        <f t="shared" si="4"/>
        <v>5.2631578947368418E-2</v>
      </c>
      <c r="M38" s="7">
        <f t="shared" si="5"/>
        <v>0</v>
      </c>
      <c r="N38" s="7">
        <f>MAX(0,I38+'Statewide Votes'!$H$9/100)</f>
        <v>0.37642603745704384</v>
      </c>
      <c r="O38" s="7">
        <f>MAX(0,J38+'Statewide Votes'!$I$9/100)</f>
        <v>0.25301354157754535</v>
      </c>
      <c r="P38" s="7">
        <f>MAX(0,K38+'Statewide Votes'!$J$9/100)</f>
        <v>0.32504971050866049</v>
      </c>
      <c r="Q38" s="7">
        <f>MAX(0,L38+'Statewide Votes'!$K$9/100)</f>
        <v>4.3848262249608541E-2</v>
      </c>
      <c r="R38" s="7">
        <f>MAX(0,M38+'Statewide Votes'!$L$9/100)</f>
        <v>1.662448207141779E-3</v>
      </c>
      <c r="S38" t="str">
        <f>IF(U38=0,"Tie",INDEX({"TVK","AIADMK+BJP+PMK+AMMK","DMK+INC+VCK","NTK","NOTA"},MATCH(MAX(N38:R38),N38:R38,0)))</f>
        <v>TVK</v>
      </c>
      <c r="T38" t="str">
        <f>INDEX({"TVK","AIADMK+BJP+PMK+AMMK","DMK+INC+VCK","NTK","NOTA"},MATCH(LARGE(N38:R38,2),N38:R38,0))</f>
        <v>DMK+INC+VCK</v>
      </c>
      <c r="U38">
        <f t="shared" si="6"/>
        <v>5.0999999999999996</v>
      </c>
      <c r="V38" t="str">
        <f t="shared" si="7"/>
        <v>Lean</v>
      </c>
      <c r="W38" t="str">
        <f>IF(LARGE(I38:M38,1)=LARGE(I38:M38,2),"Tie",INDEX({"TVK","AIADMK+BJP+PMK+AMMK","DMK+INC+VCK","NTK","NOTA"},MATCH(MAX(I38:M38),I38:M38,0)))</f>
        <v>TVK</v>
      </c>
      <c r="X38" s="7">
        <f t="shared" si="8"/>
        <v>0.37642603745704384</v>
      </c>
      <c r="Y38" t="str">
        <f>IF(ISNUMBER(MATCH(A38,{"Maduravoyal","Ambattur","Madavaram","Thiruvottiyur","Sholinganallur","Alandur"},0)),"Chennai",B38)</f>
        <v>Coimbatore</v>
      </c>
    </row>
    <row r="39" spans="1:25" x14ac:dyDescent="0.2">
      <c r="A39" s="3" t="s">
        <v>102</v>
      </c>
      <c r="B39" t="s">
        <v>93</v>
      </c>
      <c r="C39" s="11">
        <v>14</v>
      </c>
      <c r="D39" s="11">
        <v>4</v>
      </c>
      <c r="E39" s="11">
        <v>2</v>
      </c>
      <c r="F39" s="11">
        <v>1</v>
      </c>
      <c r="G39" s="11">
        <v>0</v>
      </c>
      <c r="H39">
        <f t="shared" si="0"/>
        <v>21</v>
      </c>
      <c r="I39" s="7">
        <f t="shared" si="1"/>
        <v>0.66666666666666663</v>
      </c>
      <c r="J39" s="7">
        <f t="shared" si="2"/>
        <v>0.19047619047619047</v>
      </c>
      <c r="K39" s="7">
        <f t="shared" si="3"/>
        <v>9.5238095238095233E-2</v>
      </c>
      <c r="L39" s="7">
        <f t="shared" si="4"/>
        <v>4.7619047619047616E-2</v>
      </c>
      <c r="M39" s="7">
        <f t="shared" si="5"/>
        <v>0</v>
      </c>
      <c r="N39" s="7">
        <f>MAX(0,I39+'Statewide Votes'!$H$9/100)</f>
        <v>0.62204007254476312</v>
      </c>
      <c r="O39" s="7">
        <f>MAX(0,J39+'Statewide Votes'!$I$9/100)</f>
        <v>0.19787569696601653</v>
      </c>
      <c r="P39" s="7">
        <f>MAX(0,K39+'Statewide Votes'!$J$9/100)</f>
        <v>0.13958605136079083</v>
      </c>
      <c r="Q39" s="7">
        <f>MAX(0,L39+'Statewide Votes'!$K$9/100)</f>
        <v>3.8835730921287739E-2</v>
      </c>
      <c r="R39" s="7">
        <f>MAX(0,M39+'Statewide Votes'!$L$9/100)</f>
        <v>1.662448207141779E-3</v>
      </c>
      <c r="S39" t="str">
        <f>IF(U39=0,"Tie",INDEX({"TVK","AIADMK+BJP+PMK+AMMK","DMK+INC+VCK","NTK","NOTA"},MATCH(MAX(N39:R39),N39:R39,0)))</f>
        <v>TVK</v>
      </c>
      <c r="T39" t="str">
        <f>INDEX({"TVK","AIADMK+BJP+PMK+AMMK","DMK+INC+VCK","NTK","NOTA"},MATCH(LARGE(N39:R39,2),N39:R39,0))</f>
        <v>AIADMK+BJP+PMK+AMMK</v>
      </c>
      <c r="U39">
        <f t="shared" si="6"/>
        <v>42.4</v>
      </c>
      <c r="V39" t="str">
        <f t="shared" si="7"/>
        <v>Lean</v>
      </c>
      <c r="W39" t="str">
        <f>IF(LARGE(I39:M39,1)=LARGE(I39:M39,2),"Tie",INDEX({"TVK","AIADMK+BJP+PMK+AMMK","DMK+INC+VCK","NTK","NOTA"},MATCH(MAX(I39:M39),I39:M39,0)))</f>
        <v>TVK</v>
      </c>
      <c r="X39" s="7">
        <f t="shared" si="8"/>
        <v>0.62204007254476312</v>
      </c>
      <c r="Y39" t="str">
        <f>IF(ISNUMBER(MATCH(A39,{"Maduravoyal","Ambattur","Madavaram","Thiruvottiyur","Sholinganallur","Alandur"},0)),"Chennai",B39)</f>
        <v>Coimbatore</v>
      </c>
    </row>
    <row r="40" spans="1:25" x14ac:dyDescent="0.2">
      <c r="A40" s="3" t="s">
        <v>103</v>
      </c>
      <c r="B40" t="s">
        <v>104</v>
      </c>
      <c r="C40" s="11">
        <v>6</v>
      </c>
      <c r="D40" s="11">
        <v>3</v>
      </c>
      <c r="E40" s="11">
        <v>7</v>
      </c>
      <c r="F40" s="11">
        <v>6</v>
      </c>
      <c r="G40" s="11">
        <v>0</v>
      </c>
      <c r="H40">
        <f t="shared" si="0"/>
        <v>22</v>
      </c>
      <c r="I40" s="7">
        <f t="shared" si="1"/>
        <v>0.27272727272727271</v>
      </c>
      <c r="J40" s="7">
        <f t="shared" si="2"/>
        <v>0.13636363636363635</v>
      </c>
      <c r="K40" s="7">
        <f t="shared" si="3"/>
        <v>0.31818181818181818</v>
      </c>
      <c r="L40" s="7">
        <f t="shared" si="4"/>
        <v>0.27272727272727271</v>
      </c>
      <c r="M40" s="7">
        <f t="shared" si="5"/>
        <v>0</v>
      </c>
      <c r="N40" s="7">
        <f>MAX(0,I40+'Statewide Votes'!$H$9/100)</f>
        <v>0.2281006786053692</v>
      </c>
      <c r="O40" s="7">
        <f>MAX(0,J40+'Statewide Votes'!$I$9/100)</f>
        <v>0.14376314285346242</v>
      </c>
      <c r="P40" s="7">
        <f>MAX(0,K40+'Statewide Votes'!$J$9/100)</f>
        <v>0.36252977430451377</v>
      </c>
      <c r="Q40" s="7">
        <f>MAX(0,L40+'Statewide Votes'!$K$9/100)</f>
        <v>0.26394395602951282</v>
      </c>
      <c r="R40" s="7">
        <f>MAX(0,M40+'Statewide Votes'!$L$9/100)</f>
        <v>1.662448207141779E-3</v>
      </c>
      <c r="S40" t="str">
        <f>IF(U40=0,"Tie",INDEX({"TVK","AIADMK+BJP+PMK+AMMK","DMK+INC+VCK","NTK","NOTA"},MATCH(MAX(N40:R40),N40:R40,0)))</f>
        <v>DMK+INC+VCK</v>
      </c>
      <c r="T40" t="str">
        <f>INDEX({"TVK","AIADMK+BJP+PMK+AMMK","DMK+INC+VCK","NTK","NOTA"},MATCH(LARGE(N40:R40,2),N40:R40,0))</f>
        <v>NTK</v>
      </c>
      <c r="U40">
        <f t="shared" si="6"/>
        <v>9.9</v>
      </c>
      <c r="V40" t="str">
        <f t="shared" si="7"/>
        <v>Lean</v>
      </c>
      <c r="W40" t="str">
        <f>IF(LARGE(I40:M40,1)=LARGE(I40:M40,2),"Tie",INDEX({"TVK","AIADMK+BJP+PMK+AMMK","DMK+INC+VCK","NTK","NOTA"},MATCH(MAX(I40:M40),I40:M40,0)))</f>
        <v>DMK+INC+VCK</v>
      </c>
      <c r="X40" s="7">
        <f t="shared" si="8"/>
        <v>0.36252977430451377</v>
      </c>
      <c r="Y40" t="str">
        <f>IF(ISNUMBER(MATCH(A40,{"Maduravoyal","Ambattur","Madavaram","Thiruvottiyur","Sholinganallur","Alandur"},0)),"Chennai",B40)</f>
        <v>Cuddalore</v>
      </c>
    </row>
    <row r="41" spans="1:25" x14ac:dyDescent="0.2">
      <c r="A41" s="3" t="s">
        <v>105</v>
      </c>
      <c r="B41" t="s">
        <v>104</v>
      </c>
      <c r="C41" s="11">
        <v>4</v>
      </c>
      <c r="D41" s="11">
        <v>7</v>
      </c>
      <c r="E41" s="11">
        <v>4</v>
      </c>
      <c r="F41" s="11">
        <v>1</v>
      </c>
      <c r="G41" s="11">
        <v>0</v>
      </c>
      <c r="H41">
        <f t="shared" si="0"/>
        <v>16</v>
      </c>
      <c r="I41" s="7">
        <f t="shared" si="1"/>
        <v>0.25</v>
      </c>
      <c r="J41" s="7">
        <f t="shared" si="2"/>
        <v>0.4375</v>
      </c>
      <c r="K41" s="7">
        <f t="shared" si="3"/>
        <v>0.25</v>
      </c>
      <c r="L41" s="7">
        <f t="shared" si="4"/>
        <v>6.25E-2</v>
      </c>
      <c r="M41" s="7">
        <f t="shared" si="5"/>
        <v>0</v>
      </c>
      <c r="N41" s="7">
        <f>MAX(0,I41+'Statewide Votes'!$H$9/100)</f>
        <v>0.20537340587809649</v>
      </c>
      <c r="O41" s="7">
        <f>MAX(0,J41+'Statewide Votes'!$I$9/100)</f>
        <v>0.44489950648982607</v>
      </c>
      <c r="P41" s="7">
        <f>MAX(0,K41+'Statewide Votes'!$J$9/100)</f>
        <v>0.2943479561226956</v>
      </c>
      <c r="Q41" s="7">
        <f>MAX(0,L41+'Statewide Votes'!$K$9/100)</f>
        <v>5.3716683302240123E-2</v>
      </c>
      <c r="R41" s="7">
        <f>MAX(0,M41+'Statewide Votes'!$L$9/100)</f>
        <v>1.662448207141779E-3</v>
      </c>
      <c r="S41" t="str">
        <f>IF(U41=0,"Tie",INDEX({"TVK","AIADMK+BJP+PMK+AMMK","DMK+INC+VCK","NTK","NOTA"},MATCH(MAX(N41:R41),N41:R41,0)))</f>
        <v>AIADMK+BJP+PMK+AMMK</v>
      </c>
      <c r="T41" t="str">
        <f>INDEX({"TVK","AIADMK+BJP+PMK+AMMK","DMK+INC+VCK","NTK","NOTA"},MATCH(LARGE(N41:R41,2),N41:R41,0))</f>
        <v>DMK+INC+VCK</v>
      </c>
      <c r="U41">
        <f t="shared" si="6"/>
        <v>15.1</v>
      </c>
      <c r="V41" t="str">
        <f t="shared" si="7"/>
        <v>Lean</v>
      </c>
      <c r="W41" t="str">
        <f>IF(LARGE(I41:M41,1)=LARGE(I41:M41,2),"Tie",INDEX({"TVK","AIADMK+BJP+PMK+AMMK","DMK+INC+VCK","NTK","NOTA"},MATCH(MAX(I41:M41),I41:M41,0)))</f>
        <v>AIADMK+BJP+PMK+AMMK</v>
      </c>
      <c r="X41" s="7">
        <f t="shared" si="8"/>
        <v>0.44489950648982607</v>
      </c>
      <c r="Y41" t="str">
        <f>IF(ISNUMBER(MATCH(A41,{"Maduravoyal","Ambattur","Madavaram","Thiruvottiyur","Sholinganallur","Alandur"},0)),"Chennai",B41)</f>
        <v>Cuddalore</v>
      </c>
    </row>
    <row r="42" spans="1:25" x14ac:dyDescent="0.2">
      <c r="A42" s="3" t="s">
        <v>104</v>
      </c>
      <c r="B42" t="s">
        <v>104</v>
      </c>
      <c r="C42" s="11">
        <v>17</v>
      </c>
      <c r="D42" s="11">
        <v>6</v>
      </c>
      <c r="E42" s="11">
        <v>11</v>
      </c>
      <c r="F42" s="11">
        <v>0</v>
      </c>
      <c r="G42" s="11">
        <v>0</v>
      </c>
      <c r="H42">
        <f t="shared" si="0"/>
        <v>34</v>
      </c>
      <c r="I42" s="7">
        <f t="shared" si="1"/>
        <v>0.5</v>
      </c>
      <c r="J42" s="7">
        <f t="shared" si="2"/>
        <v>0.17647058823529413</v>
      </c>
      <c r="K42" s="7">
        <f t="shared" si="3"/>
        <v>0.3235294117647059</v>
      </c>
      <c r="L42" s="7">
        <f t="shared" si="4"/>
        <v>0</v>
      </c>
      <c r="M42" s="7">
        <f t="shared" si="5"/>
        <v>0</v>
      </c>
      <c r="N42" s="7">
        <f>MAX(0,I42+'Statewide Votes'!$H$9/100)</f>
        <v>0.45537340587809649</v>
      </c>
      <c r="O42" s="7">
        <f>MAX(0,J42+'Statewide Votes'!$I$9/100)</f>
        <v>0.1838700947251202</v>
      </c>
      <c r="P42" s="7">
        <f>MAX(0,K42+'Statewide Votes'!$J$9/100)</f>
        <v>0.3678773678874015</v>
      </c>
      <c r="Q42" s="7">
        <f>MAX(0,L42+'Statewide Votes'!$K$9/100)</f>
        <v>0</v>
      </c>
      <c r="R42" s="7">
        <f>MAX(0,M42+'Statewide Votes'!$L$9/100)</f>
        <v>1.662448207141779E-3</v>
      </c>
      <c r="S42" t="str">
        <f>IF(U42=0,"Tie",INDEX({"TVK","AIADMK+BJP+PMK+AMMK","DMK+INC+VCK","NTK","NOTA"},MATCH(MAX(N42:R42),N42:R42,0)))</f>
        <v>TVK</v>
      </c>
      <c r="T42" t="str">
        <f>INDEX({"TVK","AIADMK+BJP+PMK+AMMK","DMK+INC+VCK","NTK","NOTA"},MATCH(LARGE(N42:R42,2),N42:R42,0))</f>
        <v>DMK+INC+VCK</v>
      </c>
      <c r="U42">
        <f t="shared" si="6"/>
        <v>8.6999999999999993</v>
      </c>
      <c r="V42" t="str">
        <f t="shared" si="7"/>
        <v>Lean</v>
      </c>
      <c r="W42" t="str">
        <f>IF(LARGE(I42:M42,1)=LARGE(I42:M42,2),"Tie",INDEX({"TVK","AIADMK+BJP+PMK+AMMK","DMK+INC+VCK","NTK","NOTA"},MATCH(MAX(I42:M42),I42:M42,0)))</f>
        <v>TVK</v>
      </c>
      <c r="X42" s="7">
        <f t="shared" si="8"/>
        <v>0.45537340587809649</v>
      </c>
      <c r="Y42" t="str">
        <f>IF(ISNUMBER(MATCH(A42,{"Maduravoyal","Ambattur","Madavaram","Thiruvottiyur","Sholinganallur","Alandur"},0)),"Chennai",B42)</f>
        <v>Cuddalore</v>
      </c>
    </row>
    <row r="43" spans="1:25" x14ac:dyDescent="0.2">
      <c r="A43" s="3" t="s">
        <v>106</v>
      </c>
      <c r="B43" t="s">
        <v>104</v>
      </c>
      <c r="C43" s="11">
        <v>2</v>
      </c>
      <c r="D43" s="11">
        <v>9</v>
      </c>
      <c r="E43" s="11">
        <v>3</v>
      </c>
      <c r="F43" s="11">
        <v>0</v>
      </c>
      <c r="G43" s="11">
        <v>0</v>
      </c>
      <c r="H43">
        <f t="shared" si="0"/>
        <v>14</v>
      </c>
      <c r="I43" s="7">
        <f t="shared" si="1"/>
        <v>0.14285714285714285</v>
      </c>
      <c r="J43" s="7">
        <f t="shared" si="2"/>
        <v>0.6428571428571429</v>
      </c>
      <c r="K43" s="7">
        <f t="shared" si="3"/>
        <v>0.21428571428571427</v>
      </c>
      <c r="L43" s="7">
        <f t="shared" si="4"/>
        <v>0</v>
      </c>
      <c r="M43" s="7">
        <f t="shared" si="5"/>
        <v>0</v>
      </c>
      <c r="N43" s="7">
        <f>MAX(0,I43+'Statewide Votes'!$H$9/100)</f>
        <v>9.8230548735239342E-2</v>
      </c>
      <c r="O43" s="7">
        <f>MAX(0,J43+'Statewide Votes'!$I$9/100)</f>
        <v>0.65025664934696903</v>
      </c>
      <c r="P43" s="7">
        <f>MAX(0,K43+'Statewide Votes'!$J$9/100)</f>
        <v>0.2586336704084099</v>
      </c>
      <c r="Q43" s="7">
        <f>MAX(0,L43+'Statewide Votes'!$K$9/100)</f>
        <v>0</v>
      </c>
      <c r="R43" s="7">
        <f>MAX(0,M43+'Statewide Votes'!$L$9/100)</f>
        <v>1.662448207141779E-3</v>
      </c>
      <c r="S43" t="str">
        <f>IF(U43=0,"Tie",INDEX({"TVK","AIADMK+BJP+PMK+AMMK","DMK+INC+VCK","NTK","NOTA"},MATCH(MAX(N43:R43),N43:R43,0)))</f>
        <v>AIADMK+BJP+PMK+AMMK</v>
      </c>
      <c r="T43" t="str">
        <f>INDEX({"TVK","AIADMK+BJP+PMK+AMMK","DMK+INC+VCK","NTK","NOTA"},MATCH(LARGE(N43:R43,2),N43:R43,0))</f>
        <v>DMK+INC+VCK</v>
      </c>
      <c r="U43">
        <f t="shared" si="6"/>
        <v>39.200000000000003</v>
      </c>
      <c r="V43" t="str">
        <f t="shared" si="7"/>
        <v>Lean</v>
      </c>
      <c r="W43" t="str">
        <f>IF(LARGE(I43:M43,1)=LARGE(I43:M43,2),"Tie",INDEX({"TVK","AIADMK+BJP+PMK+AMMK","DMK+INC+VCK","NTK","NOTA"},MATCH(MAX(I43:M43),I43:M43,0)))</f>
        <v>AIADMK+BJP+PMK+AMMK</v>
      </c>
      <c r="X43" s="7">
        <f t="shared" si="8"/>
        <v>0.65025664934696903</v>
      </c>
      <c r="Y43" t="str">
        <f>IF(ISNUMBER(MATCH(A43,{"Maduravoyal","Ambattur","Madavaram","Thiruvottiyur","Sholinganallur","Alandur"},0)),"Chennai",B43)</f>
        <v>Cuddalore</v>
      </c>
    </row>
    <row r="44" spans="1:25" x14ac:dyDescent="0.2">
      <c r="A44" s="3" t="s">
        <v>107</v>
      </c>
      <c r="B44" t="s">
        <v>104</v>
      </c>
      <c r="C44" s="11">
        <v>3</v>
      </c>
      <c r="D44" s="11">
        <v>6</v>
      </c>
      <c r="E44" s="11">
        <v>6</v>
      </c>
      <c r="F44" s="11">
        <v>2</v>
      </c>
      <c r="G44" s="11">
        <v>0</v>
      </c>
      <c r="H44">
        <f t="shared" si="0"/>
        <v>17</v>
      </c>
      <c r="I44" s="7">
        <f t="shared" si="1"/>
        <v>0.17647058823529413</v>
      </c>
      <c r="J44" s="7">
        <f t="shared" si="2"/>
        <v>0.35294117647058826</v>
      </c>
      <c r="K44" s="7">
        <f t="shared" si="3"/>
        <v>0.35294117647058826</v>
      </c>
      <c r="L44" s="7">
        <f t="shared" si="4"/>
        <v>0.11764705882352941</v>
      </c>
      <c r="M44" s="7">
        <f t="shared" si="5"/>
        <v>0</v>
      </c>
      <c r="N44" s="7">
        <f>MAX(0,I44+'Statewide Votes'!$H$9/100)</f>
        <v>0.13184399411339062</v>
      </c>
      <c r="O44" s="7">
        <f>MAX(0,J44+'Statewide Votes'!$I$9/100)</f>
        <v>0.36034068296041433</v>
      </c>
      <c r="P44" s="7">
        <f>MAX(0,K44+'Statewide Votes'!$J$9/100)</f>
        <v>0.39728913259328386</v>
      </c>
      <c r="Q44" s="7">
        <f>MAX(0,L44+'Statewide Votes'!$K$9/100)</f>
        <v>0.10886374212576953</v>
      </c>
      <c r="R44" s="7">
        <f>MAX(0,M44+'Statewide Votes'!$L$9/100)</f>
        <v>1.662448207141779E-3</v>
      </c>
      <c r="S44" t="str">
        <f>IF(U44=0,"Tie",INDEX({"TVK","AIADMK+BJP+PMK+AMMK","DMK+INC+VCK","NTK","NOTA"},MATCH(MAX(N44:R44),N44:R44,0)))</f>
        <v>DMK+INC+VCK</v>
      </c>
      <c r="T44" t="str">
        <f>INDEX({"TVK","AIADMK+BJP+PMK+AMMK","DMK+INC+VCK","NTK","NOTA"},MATCH(LARGE(N44:R44,2),N44:R44,0))</f>
        <v>AIADMK+BJP+PMK+AMMK</v>
      </c>
      <c r="U44">
        <f t="shared" si="6"/>
        <v>3.7</v>
      </c>
      <c r="V44" t="str">
        <f t="shared" si="7"/>
        <v>Toss-up</v>
      </c>
      <c r="W44" t="str">
        <f>IF(LARGE(I44:M44,1)=LARGE(I44:M44,2),"Tie",INDEX({"TVK","AIADMK+BJP+PMK+AMMK","DMK+INC+VCK","NTK","NOTA"},MATCH(MAX(I44:M44),I44:M44,0)))</f>
        <v>Tie</v>
      </c>
      <c r="X44" s="7">
        <f t="shared" si="8"/>
        <v>0.39728913259328386</v>
      </c>
      <c r="Y44" t="str">
        <f>IF(ISNUMBER(MATCH(A44,{"Maduravoyal","Ambattur","Madavaram","Thiruvottiyur","Sholinganallur","Alandur"},0)),"Chennai",B44)</f>
        <v>Cuddalore</v>
      </c>
    </row>
    <row r="45" spans="1:25" x14ac:dyDescent="0.2">
      <c r="A45" s="3" t="s">
        <v>108</v>
      </c>
      <c r="B45" t="s">
        <v>104</v>
      </c>
      <c r="C45" s="11">
        <v>2</v>
      </c>
      <c r="D45" s="11">
        <v>17</v>
      </c>
      <c r="E45" s="11">
        <v>5</v>
      </c>
      <c r="F45" s="11">
        <v>1</v>
      </c>
      <c r="G45" s="11">
        <v>0</v>
      </c>
      <c r="H45">
        <f t="shared" si="0"/>
        <v>25</v>
      </c>
      <c r="I45" s="7">
        <f t="shared" si="1"/>
        <v>0.08</v>
      </c>
      <c r="J45" s="7">
        <f t="shared" si="2"/>
        <v>0.68</v>
      </c>
      <c r="K45" s="7">
        <f t="shared" si="3"/>
        <v>0.2</v>
      </c>
      <c r="L45" s="7">
        <f t="shared" si="4"/>
        <v>0.04</v>
      </c>
      <c r="M45" s="7">
        <f t="shared" si="5"/>
        <v>0</v>
      </c>
      <c r="N45" s="7">
        <f>MAX(0,I45+'Statewide Votes'!$H$9/100)</f>
        <v>3.5373405878096495E-2</v>
      </c>
      <c r="O45" s="7">
        <f>MAX(0,J45+'Statewide Votes'!$I$9/100)</f>
        <v>0.68739950648982617</v>
      </c>
      <c r="P45" s="7">
        <f>MAX(0,K45+'Statewide Votes'!$J$9/100)</f>
        <v>0.24434795612269561</v>
      </c>
      <c r="Q45" s="7">
        <f>MAX(0,L45+'Statewide Votes'!$K$9/100)</f>
        <v>3.1216683302240124E-2</v>
      </c>
      <c r="R45" s="7">
        <f>MAX(0,M45+'Statewide Votes'!$L$9/100)</f>
        <v>1.662448207141779E-3</v>
      </c>
      <c r="S45" t="str">
        <f>IF(U45=0,"Tie",INDEX({"TVK","AIADMK+BJP+PMK+AMMK","DMK+INC+VCK","NTK","NOTA"},MATCH(MAX(N45:R45),N45:R45,0)))</f>
        <v>AIADMK+BJP+PMK+AMMK</v>
      </c>
      <c r="T45" t="str">
        <f>INDEX({"TVK","AIADMK+BJP+PMK+AMMK","DMK+INC+VCK","NTK","NOTA"},MATCH(LARGE(N45:R45,2),N45:R45,0))</f>
        <v>DMK+INC+VCK</v>
      </c>
      <c r="U45">
        <f t="shared" si="6"/>
        <v>44.3</v>
      </c>
      <c r="V45" t="str">
        <f t="shared" si="7"/>
        <v>Lean</v>
      </c>
      <c r="W45" t="str">
        <f>IF(LARGE(I45:M45,1)=LARGE(I45:M45,2),"Tie",INDEX({"TVK","AIADMK+BJP+PMK+AMMK","DMK+INC+VCK","NTK","NOTA"},MATCH(MAX(I45:M45),I45:M45,0)))</f>
        <v>AIADMK+BJP+PMK+AMMK</v>
      </c>
      <c r="X45" s="7">
        <f t="shared" si="8"/>
        <v>0.68739950648982617</v>
      </c>
      <c r="Y45" t="str">
        <f>IF(ISNUMBER(MATCH(A45,{"Maduravoyal","Ambattur","Madavaram","Thiruvottiyur","Sholinganallur","Alandur"},0)),"Chennai",B45)</f>
        <v>Cuddalore</v>
      </c>
    </row>
    <row r="46" spans="1:25" x14ac:dyDescent="0.2">
      <c r="A46" s="3" t="s">
        <v>109</v>
      </c>
      <c r="B46" t="s">
        <v>104</v>
      </c>
      <c r="C46" s="11">
        <v>6</v>
      </c>
      <c r="D46" s="11">
        <v>10</v>
      </c>
      <c r="E46" s="11">
        <v>8</v>
      </c>
      <c r="F46" s="11">
        <v>1</v>
      </c>
      <c r="G46" s="11">
        <v>0</v>
      </c>
      <c r="H46">
        <f t="shared" si="0"/>
        <v>25</v>
      </c>
      <c r="I46" s="7">
        <f t="shared" si="1"/>
        <v>0.24</v>
      </c>
      <c r="J46" s="7">
        <f t="shared" si="2"/>
        <v>0.4</v>
      </c>
      <c r="K46" s="7">
        <f t="shared" si="3"/>
        <v>0.32</v>
      </c>
      <c r="L46" s="7">
        <f t="shared" si="4"/>
        <v>0.04</v>
      </c>
      <c r="M46" s="7">
        <f t="shared" si="5"/>
        <v>0</v>
      </c>
      <c r="N46" s="7">
        <f>MAX(0,I46+'Statewide Votes'!$H$9/100)</f>
        <v>0.19537340587809648</v>
      </c>
      <c r="O46" s="7">
        <f>MAX(0,J46+'Statewide Votes'!$I$9/100)</f>
        <v>0.40739950648982609</v>
      </c>
      <c r="P46" s="7">
        <f>MAX(0,K46+'Statewide Votes'!$J$9/100)</f>
        <v>0.3643479561226956</v>
      </c>
      <c r="Q46" s="7">
        <f>MAX(0,L46+'Statewide Votes'!$K$9/100)</f>
        <v>3.1216683302240124E-2</v>
      </c>
      <c r="R46" s="7">
        <f>MAX(0,M46+'Statewide Votes'!$L$9/100)</f>
        <v>1.662448207141779E-3</v>
      </c>
      <c r="S46" t="str">
        <f>IF(U46=0,"Tie",INDEX({"TVK","AIADMK+BJP+PMK+AMMK","DMK+INC+VCK","NTK","NOTA"},MATCH(MAX(N46:R46),N46:R46,0)))</f>
        <v>AIADMK+BJP+PMK+AMMK</v>
      </c>
      <c r="T46" t="str">
        <f>INDEX({"TVK","AIADMK+BJP+PMK+AMMK","DMK+INC+VCK","NTK","NOTA"},MATCH(LARGE(N46:R46,2),N46:R46,0))</f>
        <v>DMK+INC+VCK</v>
      </c>
      <c r="U46">
        <f t="shared" si="6"/>
        <v>4.3</v>
      </c>
      <c r="V46" t="str">
        <f t="shared" si="7"/>
        <v>Toss-up</v>
      </c>
      <c r="W46" t="str">
        <f>IF(LARGE(I46:M46,1)=LARGE(I46:M46,2),"Tie",INDEX({"TVK","AIADMK+BJP+PMK+AMMK","DMK+INC+VCK","NTK","NOTA"},MATCH(MAX(I46:M46),I46:M46,0)))</f>
        <v>AIADMK+BJP+PMK+AMMK</v>
      </c>
      <c r="X46" s="7">
        <f t="shared" si="8"/>
        <v>0.40739950648982609</v>
      </c>
      <c r="Y46" t="str">
        <f>IF(ISNUMBER(MATCH(A46,{"Maduravoyal","Ambattur","Madavaram","Thiruvottiyur","Sholinganallur","Alandur"},0)),"Chennai",B46)</f>
        <v>Cuddalore</v>
      </c>
    </row>
    <row r="47" spans="1:25" x14ac:dyDescent="0.2">
      <c r="A47" s="3" t="s">
        <v>110</v>
      </c>
      <c r="B47" t="s">
        <v>104</v>
      </c>
      <c r="C47" s="11">
        <v>3</v>
      </c>
      <c r="D47" s="11">
        <v>4</v>
      </c>
      <c r="E47" s="11">
        <v>0</v>
      </c>
      <c r="F47" s="11">
        <v>1</v>
      </c>
      <c r="G47" s="11">
        <v>0</v>
      </c>
      <c r="H47">
        <f t="shared" si="0"/>
        <v>8</v>
      </c>
      <c r="I47" s="7">
        <f t="shared" si="1"/>
        <v>0.375</v>
      </c>
      <c r="J47" s="7">
        <f t="shared" si="2"/>
        <v>0.5</v>
      </c>
      <c r="K47" s="7">
        <f t="shared" si="3"/>
        <v>0</v>
      </c>
      <c r="L47" s="7">
        <f t="shared" si="4"/>
        <v>0.125</v>
      </c>
      <c r="M47" s="7">
        <f t="shared" si="5"/>
        <v>0</v>
      </c>
      <c r="N47" s="7">
        <f>MAX(0,I47+'Statewide Votes'!$H$9/100)</f>
        <v>0.33037340587809649</v>
      </c>
      <c r="O47" s="7">
        <f>MAX(0,J47+'Statewide Votes'!$I$9/100)</f>
        <v>0.50739950648982601</v>
      </c>
      <c r="P47" s="7">
        <f>MAX(0,K47+'Statewide Votes'!$J$9/100)</f>
        <v>4.4347956122695598E-2</v>
      </c>
      <c r="Q47" s="7">
        <f>MAX(0,L47+'Statewide Votes'!$K$9/100)</f>
        <v>0.11621668330224012</v>
      </c>
      <c r="R47" s="7">
        <f>MAX(0,M47+'Statewide Votes'!$L$9/100)</f>
        <v>1.662448207141779E-3</v>
      </c>
      <c r="S47" t="str">
        <f>IF(U47=0,"Tie",INDEX({"TVK","AIADMK+BJP+PMK+AMMK","DMK+INC+VCK","NTK","NOTA"},MATCH(MAX(N47:R47),N47:R47,0)))</f>
        <v>AIADMK+BJP+PMK+AMMK</v>
      </c>
      <c r="T47" t="str">
        <f>INDEX({"TVK","AIADMK+BJP+PMK+AMMK","DMK+INC+VCK","NTK","NOTA"},MATCH(LARGE(N47:R47,2),N47:R47,0))</f>
        <v>TVK</v>
      </c>
      <c r="U47">
        <f t="shared" si="6"/>
        <v>17.7</v>
      </c>
      <c r="V47" t="str">
        <f t="shared" si="7"/>
        <v>Low sample</v>
      </c>
      <c r="W47" t="str">
        <f>IF(LARGE(I47:M47,1)=LARGE(I47:M47,2),"Tie",INDEX({"TVK","AIADMK+BJP+PMK+AMMK","DMK+INC+VCK","NTK","NOTA"},MATCH(MAX(I47:M47),I47:M47,0)))</f>
        <v>AIADMK+BJP+PMK+AMMK</v>
      </c>
      <c r="X47" s="7">
        <f t="shared" si="8"/>
        <v>0.50739950648982601</v>
      </c>
      <c r="Y47" t="str">
        <f>IF(ISNUMBER(MATCH(A47,{"Maduravoyal","Ambattur","Madavaram","Thiruvottiyur","Sholinganallur","Alandur"},0)),"Chennai",B47)</f>
        <v>Cuddalore</v>
      </c>
    </row>
    <row r="48" spans="1:25" x14ac:dyDescent="0.2">
      <c r="A48" s="3" t="s">
        <v>111</v>
      </c>
      <c r="B48" t="s">
        <v>104</v>
      </c>
      <c r="C48" s="11">
        <v>8</v>
      </c>
      <c r="D48" s="11">
        <v>12</v>
      </c>
      <c r="E48" s="11">
        <v>2</v>
      </c>
      <c r="F48" s="11">
        <v>0</v>
      </c>
      <c r="G48" s="11">
        <v>0</v>
      </c>
      <c r="H48">
        <f t="shared" si="0"/>
        <v>22</v>
      </c>
      <c r="I48" s="7">
        <f t="shared" si="1"/>
        <v>0.36363636363636365</v>
      </c>
      <c r="J48" s="7">
        <f t="shared" si="2"/>
        <v>0.54545454545454541</v>
      </c>
      <c r="K48" s="7">
        <f t="shared" si="3"/>
        <v>9.0909090909090912E-2</v>
      </c>
      <c r="L48" s="7">
        <f t="shared" si="4"/>
        <v>0</v>
      </c>
      <c r="M48" s="7">
        <f t="shared" si="5"/>
        <v>0</v>
      </c>
      <c r="N48" s="7">
        <f>MAX(0,I48+'Statewide Votes'!$H$9/100)</f>
        <v>0.31900976951446014</v>
      </c>
      <c r="O48" s="7">
        <f>MAX(0,J48+'Statewide Votes'!$I$9/100)</f>
        <v>0.55285405194437143</v>
      </c>
      <c r="P48" s="7">
        <f>MAX(0,K48+'Statewide Votes'!$J$9/100)</f>
        <v>0.13525704703178651</v>
      </c>
      <c r="Q48" s="7">
        <f>MAX(0,L48+'Statewide Votes'!$K$9/100)</f>
        <v>0</v>
      </c>
      <c r="R48" s="7">
        <f>MAX(0,M48+'Statewide Votes'!$L$9/100)</f>
        <v>1.662448207141779E-3</v>
      </c>
      <c r="S48" t="str">
        <f>IF(U48=0,"Tie",INDEX({"TVK","AIADMK+BJP+PMK+AMMK","DMK+INC+VCK","NTK","NOTA"},MATCH(MAX(N48:R48),N48:R48,0)))</f>
        <v>AIADMK+BJP+PMK+AMMK</v>
      </c>
      <c r="T48" t="str">
        <f>INDEX({"TVK","AIADMK+BJP+PMK+AMMK","DMK+INC+VCK","NTK","NOTA"},MATCH(LARGE(N48:R48,2),N48:R48,0))</f>
        <v>TVK</v>
      </c>
      <c r="U48">
        <f t="shared" si="6"/>
        <v>23.4</v>
      </c>
      <c r="V48" t="str">
        <f t="shared" si="7"/>
        <v>Lean</v>
      </c>
      <c r="W48" t="str">
        <f>IF(LARGE(I48:M48,1)=LARGE(I48:M48,2),"Tie",INDEX({"TVK","AIADMK+BJP+PMK+AMMK","DMK+INC+VCK","NTK","NOTA"},MATCH(MAX(I48:M48),I48:M48,0)))</f>
        <v>AIADMK+BJP+PMK+AMMK</v>
      </c>
      <c r="X48" s="7">
        <f t="shared" si="8"/>
        <v>0.55285405194437143</v>
      </c>
      <c r="Y48" t="str">
        <f>IF(ISNUMBER(MATCH(A48,{"Maduravoyal","Ambattur","Madavaram","Thiruvottiyur","Sholinganallur","Alandur"},0)),"Chennai",B48)</f>
        <v>Cuddalore</v>
      </c>
    </row>
    <row r="49" spans="1:25" x14ac:dyDescent="0.2">
      <c r="A49" s="3" t="s">
        <v>112</v>
      </c>
      <c r="B49" t="s">
        <v>112</v>
      </c>
      <c r="C49" s="11">
        <v>25</v>
      </c>
      <c r="D49" s="11">
        <v>31</v>
      </c>
      <c r="E49" s="11">
        <v>14</v>
      </c>
      <c r="F49" s="11">
        <v>3</v>
      </c>
      <c r="G49" s="11">
        <v>0</v>
      </c>
      <c r="H49">
        <f t="shared" si="0"/>
        <v>73</v>
      </c>
      <c r="I49" s="7">
        <f t="shared" si="1"/>
        <v>0.34246575342465752</v>
      </c>
      <c r="J49" s="7">
        <f t="shared" si="2"/>
        <v>0.42465753424657532</v>
      </c>
      <c r="K49" s="7">
        <f t="shared" si="3"/>
        <v>0.19178082191780821</v>
      </c>
      <c r="L49" s="7">
        <f t="shared" si="4"/>
        <v>4.1095890410958902E-2</v>
      </c>
      <c r="M49" s="7">
        <f t="shared" si="5"/>
        <v>0</v>
      </c>
      <c r="N49" s="7">
        <f>MAX(0,I49+'Statewide Votes'!$H$9/100)</f>
        <v>0.29783915930275401</v>
      </c>
      <c r="O49" s="7">
        <f>MAX(0,J49+'Statewide Votes'!$I$9/100)</f>
        <v>0.43205704073640139</v>
      </c>
      <c r="P49" s="7">
        <f>MAX(0,K49+'Statewide Votes'!$J$9/100)</f>
        <v>0.23612877804050381</v>
      </c>
      <c r="Q49" s="7">
        <f>MAX(0,L49+'Statewide Votes'!$K$9/100)</f>
        <v>3.2312573713199025E-2</v>
      </c>
      <c r="R49" s="7">
        <f>MAX(0,M49+'Statewide Votes'!$L$9/100)</f>
        <v>1.662448207141779E-3</v>
      </c>
      <c r="S49" t="str">
        <f>IF(U49=0,"Tie",INDEX({"TVK","AIADMK+BJP+PMK+AMMK","DMK+INC+VCK","NTK","NOTA"},MATCH(MAX(N49:R49),N49:R49,0)))</f>
        <v>AIADMK+BJP+PMK+AMMK</v>
      </c>
      <c r="T49" t="str">
        <f>INDEX({"TVK","AIADMK+BJP+PMK+AMMK","DMK+INC+VCK","NTK","NOTA"},MATCH(LARGE(N49:R49,2),N49:R49,0))</f>
        <v>TVK</v>
      </c>
      <c r="U49">
        <f t="shared" si="6"/>
        <v>13.4</v>
      </c>
      <c r="V49" t="str">
        <f t="shared" si="7"/>
        <v>Strong</v>
      </c>
      <c r="W49" t="str">
        <f>IF(LARGE(I49:M49,1)=LARGE(I49:M49,2),"Tie",INDEX({"TVK","AIADMK+BJP+PMK+AMMK","DMK+INC+VCK","NTK","NOTA"},MATCH(MAX(I49:M49),I49:M49,0)))</f>
        <v>AIADMK+BJP+PMK+AMMK</v>
      </c>
      <c r="X49" s="7">
        <f t="shared" si="8"/>
        <v>0.43205704073640139</v>
      </c>
      <c r="Y49" t="str">
        <f>IF(ISNUMBER(MATCH(A49,{"Maduravoyal","Ambattur","Madavaram","Thiruvottiyur","Sholinganallur","Alandur"},0)),"Chennai",B49)</f>
        <v>Dharmapuri</v>
      </c>
    </row>
    <row r="50" spans="1:25" x14ac:dyDescent="0.2">
      <c r="A50" s="3" t="s">
        <v>113</v>
      </c>
      <c r="B50" t="s">
        <v>112</v>
      </c>
      <c r="C50" s="11">
        <v>16</v>
      </c>
      <c r="D50" s="11">
        <v>16</v>
      </c>
      <c r="E50" s="11">
        <v>7</v>
      </c>
      <c r="F50" s="11">
        <v>3</v>
      </c>
      <c r="G50" s="11">
        <v>0</v>
      </c>
      <c r="H50">
        <f t="shared" si="0"/>
        <v>42</v>
      </c>
      <c r="I50" s="7">
        <f t="shared" si="1"/>
        <v>0.38095238095238093</v>
      </c>
      <c r="J50" s="7">
        <f t="shared" si="2"/>
        <v>0.38095238095238093</v>
      </c>
      <c r="K50" s="7">
        <f t="shared" si="3"/>
        <v>0.16666666666666666</v>
      </c>
      <c r="L50" s="7">
        <f t="shared" si="4"/>
        <v>7.1428571428571425E-2</v>
      </c>
      <c r="M50" s="7">
        <f t="shared" si="5"/>
        <v>0</v>
      </c>
      <c r="N50" s="7">
        <f>MAX(0,I50+'Statewide Votes'!$H$9/100)</f>
        <v>0.33632578683047742</v>
      </c>
      <c r="O50" s="7">
        <f>MAX(0,J50+'Statewide Votes'!$I$9/100)</f>
        <v>0.388351887442207</v>
      </c>
      <c r="P50" s="7">
        <f>MAX(0,K50+'Statewide Votes'!$J$9/100)</f>
        <v>0.21101462278936226</v>
      </c>
      <c r="Q50" s="7">
        <f>MAX(0,L50+'Statewide Votes'!$K$9/100)</f>
        <v>6.2645254730811548E-2</v>
      </c>
      <c r="R50" s="7">
        <f>MAX(0,M50+'Statewide Votes'!$L$9/100)</f>
        <v>1.662448207141779E-3</v>
      </c>
      <c r="S50" t="str">
        <f>IF(U50=0,"Tie",INDEX({"TVK","AIADMK+BJP+PMK+AMMK","DMK+INC+VCK","NTK","NOTA"},MATCH(MAX(N50:R50),N50:R50,0)))</f>
        <v>AIADMK+BJP+PMK+AMMK</v>
      </c>
      <c r="T50" t="str">
        <f>INDEX({"TVK","AIADMK+BJP+PMK+AMMK","DMK+INC+VCK","NTK","NOTA"},MATCH(LARGE(N50:R50,2),N50:R50,0))</f>
        <v>TVK</v>
      </c>
      <c r="U50">
        <f t="shared" si="6"/>
        <v>5.2</v>
      </c>
      <c r="V50" t="str">
        <f t="shared" si="7"/>
        <v>Lean</v>
      </c>
      <c r="W50" t="str">
        <f>IF(LARGE(I50:M50,1)=LARGE(I50:M50,2),"Tie",INDEX({"TVK","AIADMK+BJP+PMK+AMMK","DMK+INC+VCK","NTK","NOTA"},MATCH(MAX(I50:M50),I50:M50,0)))</f>
        <v>Tie</v>
      </c>
      <c r="X50" s="7">
        <f t="shared" si="8"/>
        <v>0.388351887442207</v>
      </c>
      <c r="Y50" t="str">
        <f>IF(ISNUMBER(MATCH(A50,{"Maduravoyal","Ambattur","Madavaram","Thiruvottiyur","Sholinganallur","Alandur"},0)),"Chennai",B50)</f>
        <v>Dharmapuri</v>
      </c>
    </row>
    <row r="51" spans="1:25" x14ac:dyDescent="0.2">
      <c r="A51" s="3" t="s">
        <v>114</v>
      </c>
      <c r="B51" t="s">
        <v>112</v>
      </c>
      <c r="C51" s="11">
        <v>12</v>
      </c>
      <c r="D51" s="11">
        <v>12</v>
      </c>
      <c r="E51" s="11">
        <v>7</v>
      </c>
      <c r="F51" s="11">
        <v>4</v>
      </c>
      <c r="G51" s="11">
        <v>1</v>
      </c>
      <c r="H51">
        <f t="shared" si="0"/>
        <v>36</v>
      </c>
      <c r="I51" s="7">
        <f t="shared" si="1"/>
        <v>0.33333333333333331</v>
      </c>
      <c r="J51" s="7">
        <f t="shared" si="2"/>
        <v>0.33333333333333331</v>
      </c>
      <c r="K51" s="7">
        <f t="shared" si="3"/>
        <v>0.19444444444444445</v>
      </c>
      <c r="L51" s="7">
        <f t="shared" si="4"/>
        <v>0.1111111111111111</v>
      </c>
      <c r="M51" s="7">
        <f t="shared" si="5"/>
        <v>2.7777777777777776E-2</v>
      </c>
      <c r="N51" s="7">
        <f>MAX(0,I51+'Statewide Votes'!$H$9/100)</f>
        <v>0.28870673921142981</v>
      </c>
      <c r="O51" s="7">
        <f>MAX(0,J51+'Statewide Votes'!$I$9/100)</f>
        <v>0.34073283982315938</v>
      </c>
      <c r="P51" s="7">
        <f>MAX(0,K51+'Statewide Votes'!$J$9/100)</f>
        <v>0.23879240056714005</v>
      </c>
      <c r="Q51" s="7">
        <f>MAX(0,L51+'Statewide Votes'!$K$9/100)</f>
        <v>0.10232779441335123</v>
      </c>
      <c r="R51" s="7">
        <f>MAX(0,M51+'Statewide Votes'!$L$9/100)</f>
        <v>2.9440225984919556E-2</v>
      </c>
      <c r="S51" t="str">
        <f>IF(U51=0,"Tie",INDEX({"TVK","AIADMK+BJP+PMK+AMMK","DMK+INC+VCK","NTK","NOTA"},MATCH(MAX(N51:R51),N51:R51,0)))</f>
        <v>AIADMK+BJP+PMK+AMMK</v>
      </c>
      <c r="T51" t="str">
        <f>INDEX({"TVK","AIADMK+BJP+PMK+AMMK","DMK+INC+VCK","NTK","NOTA"},MATCH(LARGE(N51:R51,2),N51:R51,0))</f>
        <v>TVK</v>
      </c>
      <c r="U51">
        <f t="shared" si="6"/>
        <v>5.2</v>
      </c>
      <c r="V51" t="str">
        <f t="shared" si="7"/>
        <v>Lean</v>
      </c>
      <c r="W51" t="str">
        <f>IF(LARGE(I51:M51,1)=LARGE(I51:M51,2),"Tie",INDEX({"TVK","AIADMK+BJP+PMK+AMMK","DMK+INC+VCK","NTK","NOTA"},MATCH(MAX(I51:M51),I51:M51,0)))</f>
        <v>Tie</v>
      </c>
      <c r="X51" s="7">
        <f t="shared" si="8"/>
        <v>0.34073283982315938</v>
      </c>
      <c r="Y51" t="str">
        <f>IF(ISNUMBER(MATCH(A51,{"Maduravoyal","Ambattur","Madavaram","Thiruvottiyur","Sholinganallur","Alandur"},0)),"Chennai",B51)</f>
        <v>Dharmapuri</v>
      </c>
    </row>
    <row r="52" spans="1:25" x14ac:dyDescent="0.2">
      <c r="A52" s="3" t="s">
        <v>115</v>
      </c>
      <c r="B52" t="s">
        <v>112</v>
      </c>
      <c r="C52" s="11">
        <v>10</v>
      </c>
      <c r="D52" s="11">
        <v>24</v>
      </c>
      <c r="E52" s="11">
        <v>7</v>
      </c>
      <c r="F52" s="11">
        <v>2</v>
      </c>
      <c r="G52" s="11">
        <v>1</v>
      </c>
      <c r="H52">
        <f t="shared" si="0"/>
        <v>44</v>
      </c>
      <c r="I52" s="7">
        <f t="shared" si="1"/>
        <v>0.22727272727272727</v>
      </c>
      <c r="J52" s="7">
        <f t="shared" si="2"/>
        <v>0.54545454545454541</v>
      </c>
      <c r="K52" s="7">
        <f t="shared" si="3"/>
        <v>0.15909090909090909</v>
      </c>
      <c r="L52" s="7">
        <f t="shared" si="4"/>
        <v>4.5454545454545456E-2</v>
      </c>
      <c r="M52" s="7">
        <f t="shared" si="5"/>
        <v>2.2727272727272728E-2</v>
      </c>
      <c r="N52" s="7">
        <f>MAX(0,I52+'Statewide Votes'!$H$9/100)</f>
        <v>0.18264613315082376</v>
      </c>
      <c r="O52" s="7">
        <f>MAX(0,J52+'Statewide Votes'!$I$9/100)</f>
        <v>0.55285405194437143</v>
      </c>
      <c r="P52" s="7">
        <f>MAX(0,K52+'Statewide Votes'!$J$9/100)</f>
        <v>0.20343886521360469</v>
      </c>
      <c r="Q52" s="7">
        <f>MAX(0,L52+'Statewide Votes'!$K$9/100)</f>
        <v>3.6671228756785579E-2</v>
      </c>
      <c r="R52" s="7">
        <f>MAX(0,M52+'Statewide Votes'!$L$9/100)</f>
        <v>2.4389720934414508E-2</v>
      </c>
      <c r="S52" t="str">
        <f>IF(U52=0,"Tie",INDEX({"TVK","AIADMK+BJP+PMK+AMMK","DMK+INC+VCK","NTK","NOTA"},MATCH(MAX(N52:R52),N52:R52,0)))</f>
        <v>AIADMK+BJP+PMK+AMMK</v>
      </c>
      <c r="T52" t="str">
        <f>INDEX({"TVK","AIADMK+BJP+PMK+AMMK","DMK+INC+VCK","NTK","NOTA"},MATCH(LARGE(N52:R52,2),N52:R52,0))</f>
        <v>DMK+INC+VCK</v>
      </c>
      <c r="U52">
        <f t="shared" si="6"/>
        <v>34.9</v>
      </c>
      <c r="V52" t="str">
        <f t="shared" si="7"/>
        <v>Strong</v>
      </c>
      <c r="W52" t="str">
        <f>IF(LARGE(I52:M52,1)=LARGE(I52:M52,2),"Tie",INDEX({"TVK","AIADMK+BJP+PMK+AMMK","DMK+INC+VCK","NTK","NOTA"},MATCH(MAX(I52:M52),I52:M52,0)))</f>
        <v>AIADMK+BJP+PMK+AMMK</v>
      </c>
      <c r="X52" s="7">
        <f t="shared" si="8"/>
        <v>0.55285405194437143</v>
      </c>
      <c r="Y52" t="str">
        <f>IF(ISNUMBER(MATCH(A52,{"Maduravoyal","Ambattur","Madavaram","Thiruvottiyur","Sholinganallur","Alandur"},0)),"Chennai",B52)</f>
        <v>Dharmapuri</v>
      </c>
    </row>
    <row r="53" spans="1:25" x14ac:dyDescent="0.2">
      <c r="A53" s="3" t="s">
        <v>116</v>
      </c>
      <c r="B53" t="s">
        <v>112</v>
      </c>
      <c r="C53" s="11">
        <v>16</v>
      </c>
      <c r="D53" s="11">
        <v>12</v>
      </c>
      <c r="E53" s="11">
        <v>10</v>
      </c>
      <c r="F53" s="11">
        <v>4</v>
      </c>
      <c r="G53" s="11">
        <v>0</v>
      </c>
      <c r="H53">
        <f t="shared" si="0"/>
        <v>42</v>
      </c>
      <c r="I53" s="7">
        <f t="shared" si="1"/>
        <v>0.38095238095238093</v>
      </c>
      <c r="J53" s="7">
        <f t="shared" si="2"/>
        <v>0.2857142857142857</v>
      </c>
      <c r="K53" s="7">
        <f t="shared" si="3"/>
        <v>0.23809523809523808</v>
      </c>
      <c r="L53" s="7">
        <f t="shared" si="4"/>
        <v>9.5238095238095233E-2</v>
      </c>
      <c r="M53" s="7">
        <f t="shared" si="5"/>
        <v>0</v>
      </c>
      <c r="N53" s="7">
        <f>MAX(0,I53+'Statewide Votes'!$H$9/100)</f>
        <v>0.33632578683047742</v>
      </c>
      <c r="O53" s="7">
        <f>MAX(0,J53+'Statewide Votes'!$I$9/100)</f>
        <v>0.29311379220411177</v>
      </c>
      <c r="P53" s="7">
        <f>MAX(0,K53+'Statewide Votes'!$J$9/100)</f>
        <v>0.28244319421793368</v>
      </c>
      <c r="Q53" s="7">
        <f>MAX(0,L53+'Statewide Votes'!$K$9/100)</f>
        <v>8.6454778540335356E-2</v>
      </c>
      <c r="R53" s="7">
        <f>MAX(0,M53+'Statewide Votes'!$L$9/100)</f>
        <v>1.662448207141779E-3</v>
      </c>
      <c r="S53" t="str">
        <f>IF(U53=0,"Tie",INDEX({"TVK","AIADMK+BJP+PMK+AMMK","DMK+INC+VCK","NTK","NOTA"},MATCH(MAX(N53:R53),N53:R53,0)))</f>
        <v>TVK</v>
      </c>
      <c r="T53" t="str">
        <f>INDEX({"TVK","AIADMK+BJP+PMK+AMMK","DMK+INC+VCK","NTK","NOTA"},MATCH(LARGE(N53:R53,2),N53:R53,0))</f>
        <v>AIADMK+BJP+PMK+AMMK</v>
      </c>
      <c r="U53">
        <f t="shared" si="6"/>
        <v>4.3</v>
      </c>
      <c r="V53" t="str">
        <f t="shared" si="7"/>
        <v>Toss-up</v>
      </c>
      <c r="W53" t="str">
        <f>IF(LARGE(I53:M53,1)=LARGE(I53:M53,2),"Tie",INDEX({"TVK","AIADMK+BJP+PMK+AMMK","DMK+INC+VCK","NTK","NOTA"},MATCH(MAX(I53:M53),I53:M53,0)))</f>
        <v>TVK</v>
      </c>
      <c r="X53" s="7">
        <f t="shared" si="8"/>
        <v>0.33632578683047742</v>
      </c>
      <c r="Y53" t="str">
        <f>IF(ISNUMBER(MATCH(A53,{"Maduravoyal","Ambattur","Madavaram","Thiruvottiyur","Sholinganallur","Alandur"},0)),"Chennai",B53)</f>
        <v>Dharmapuri</v>
      </c>
    </row>
    <row r="54" spans="1:25" x14ac:dyDescent="0.2">
      <c r="A54" s="3" t="s">
        <v>117</v>
      </c>
      <c r="B54" t="s">
        <v>118</v>
      </c>
      <c r="C54" s="11">
        <v>22</v>
      </c>
      <c r="D54" s="11">
        <v>9</v>
      </c>
      <c r="E54" s="11">
        <v>16</v>
      </c>
      <c r="F54" s="11">
        <v>4</v>
      </c>
      <c r="G54" s="11">
        <v>0</v>
      </c>
      <c r="H54">
        <f t="shared" si="0"/>
        <v>51</v>
      </c>
      <c r="I54" s="7">
        <f t="shared" si="1"/>
        <v>0.43137254901960786</v>
      </c>
      <c r="J54" s="7">
        <f t="shared" si="2"/>
        <v>0.17647058823529413</v>
      </c>
      <c r="K54" s="7">
        <f t="shared" si="3"/>
        <v>0.31372549019607843</v>
      </c>
      <c r="L54" s="7">
        <f t="shared" si="4"/>
        <v>7.8431372549019607E-2</v>
      </c>
      <c r="M54" s="7">
        <f t="shared" si="5"/>
        <v>0</v>
      </c>
      <c r="N54" s="7">
        <f>MAX(0,I54+'Statewide Votes'!$H$9/100)</f>
        <v>0.38674595489770436</v>
      </c>
      <c r="O54" s="7">
        <f>MAX(0,J54+'Statewide Votes'!$I$9/100)</f>
        <v>0.1838700947251202</v>
      </c>
      <c r="P54" s="7">
        <f>MAX(0,K54+'Statewide Votes'!$J$9/100)</f>
        <v>0.35807344631877402</v>
      </c>
      <c r="Q54" s="7">
        <f>MAX(0,L54+'Statewide Votes'!$K$9/100)</f>
        <v>6.964805585125973E-2</v>
      </c>
      <c r="R54" s="7">
        <f>MAX(0,M54+'Statewide Votes'!$L$9/100)</f>
        <v>1.662448207141779E-3</v>
      </c>
      <c r="S54" t="str">
        <f>IF(U54=0,"Tie",INDEX({"TVK","AIADMK+BJP+PMK+AMMK","DMK+INC+VCK","NTK","NOTA"},MATCH(MAX(N54:R54),N54:R54,0)))</f>
        <v>TVK</v>
      </c>
      <c r="T54" t="str">
        <f>INDEX({"TVK","AIADMK+BJP+PMK+AMMK","DMK+INC+VCK","NTK","NOTA"},MATCH(LARGE(N54:R54,2),N54:R54,0))</f>
        <v>DMK+INC+VCK</v>
      </c>
      <c r="U54">
        <f t="shared" si="6"/>
        <v>2.9</v>
      </c>
      <c r="V54" t="str">
        <f t="shared" si="7"/>
        <v>Toss-up</v>
      </c>
      <c r="W54" t="str">
        <f>IF(LARGE(I54:M54,1)=LARGE(I54:M54,2),"Tie",INDEX({"TVK","AIADMK+BJP+PMK+AMMK","DMK+INC+VCK","NTK","NOTA"},MATCH(MAX(I54:M54),I54:M54,0)))</f>
        <v>TVK</v>
      </c>
      <c r="X54" s="7">
        <f t="shared" si="8"/>
        <v>0.38674595489770436</v>
      </c>
      <c r="Y54" t="str">
        <f>IF(ISNUMBER(MATCH(A54,{"Maduravoyal","Ambattur","Madavaram","Thiruvottiyur","Sholinganallur","Alandur"},0)),"Chennai",B54)</f>
        <v>Dindigul</v>
      </c>
    </row>
    <row r="55" spans="1:25" x14ac:dyDescent="0.2">
      <c r="A55" s="3" t="s">
        <v>118</v>
      </c>
      <c r="B55" t="s">
        <v>118</v>
      </c>
      <c r="C55" s="11">
        <v>34</v>
      </c>
      <c r="D55" s="11">
        <v>17</v>
      </c>
      <c r="E55" s="11">
        <v>14</v>
      </c>
      <c r="F55" s="11">
        <v>2</v>
      </c>
      <c r="G55" s="11">
        <v>1</v>
      </c>
      <c r="H55">
        <f t="shared" si="0"/>
        <v>68</v>
      </c>
      <c r="I55" s="7">
        <f t="shared" si="1"/>
        <v>0.5</v>
      </c>
      <c r="J55" s="7">
        <f t="shared" si="2"/>
        <v>0.25</v>
      </c>
      <c r="K55" s="7">
        <f t="shared" si="3"/>
        <v>0.20588235294117646</v>
      </c>
      <c r="L55" s="7">
        <f t="shared" si="4"/>
        <v>2.9411764705882353E-2</v>
      </c>
      <c r="M55" s="7">
        <f t="shared" si="5"/>
        <v>1.4705882352941176E-2</v>
      </c>
      <c r="N55" s="7">
        <f>MAX(0,I55+'Statewide Votes'!$H$9/100)</f>
        <v>0.45537340587809649</v>
      </c>
      <c r="O55" s="7">
        <f>MAX(0,J55+'Statewide Votes'!$I$9/100)</f>
        <v>0.25739950648982607</v>
      </c>
      <c r="P55" s="7">
        <f>MAX(0,K55+'Statewide Votes'!$J$9/100)</f>
        <v>0.25023030906387206</v>
      </c>
      <c r="Q55" s="7">
        <f>MAX(0,L55+'Statewide Votes'!$K$9/100)</f>
        <v>2.0628448008122476E-2</v>
      </c>
      <c r="R55" s="7">
        <f>MAX(0,M55+'Statewide Votes'!$L$9/100)</f>
        <v>1.6368330560082956E-2</v>
      </c>
      <c r="S55" t="str">
        <f>IF(U55=0,"Tie",INDEX({"TVK","AIADMK+BJP+PMK+AMMK","DMK+INC+VCK","NTK","NOTA"},MATCH(MAX(N55:R55),N55:R55,0)))</f>
        <v>TVK</v>
      </c>
      <c r="T55" t="str">
        <f>INDEX({"TVK","AIADMK+BJP+PMK+AMMK","DMK+INC+VCK","NTK","NOTA"},MATCH(LARGE(N55:R55,2),N55:R55,0))</f>
        <v>AIADMK+BJP+PMK+AMMK</v>
      </c>
      <c r="U55">
        <f t="shared" si="6"/>
        <v>19.8</v>
      </c>
      <c r="V55" t="str">
        <f t="shared" si="7"/>
        <v>Strong</v>
      </c>
      <c r="W55" t="str">
        <f>IF(LARGE(I55:M55,1)=LARGE(I55:M55,2),"Tie",INDEX({"TVK","AIADMK+BJP+PMK+AMMK","DMK+INC+VCK","NTK","NOTA"},MATCH(MAX(I55:M55),I55:M55,0)))</f>
        <v>TVK</v>
      </c>
      <c r="X55" s="7">
        <f t="shared" si="8"/>
        <v>0.45537340587809649</v>
      </c>
      <c r="Y55" t="str">
        <f>IF(ISNUMBER(MATCH(A55,{"Maduravoyal","Ambattur","Madavaram","Thiruvottiyur","Sholinganallur","Alandur"},0)),"Chennai",B55)</f>
        <v>Dindigul</v>
      </c>
    </row>
    <row r="56" spans="1:25" x14ac:dyDescent="0.2">
      <c r="A56" s="3" t="s">
        <v>119</v>
      </c>
      <c r="B56" t="s">
        <v>118</v>
      </c>
      <c r="C56" s="11">
        <v>10</v>
      </c>
      <c r="D56" s="11">
        <v>3</v>
      </c>
      <c r="E56" s="11">
        <v>11</v>
      </c>
      <c r="F56" s="11">
        <v>4</v>
      </c>
      <c r="G56" s="11">
        <v>0</v>
      </c>
      <c r="H56">
        <f t="shared" si="0"/>
        <v>28</v>
      </c>
      <c r="I56" s="7">
        <f t="shared" si="1"/>
        <v>0.35714285714285715</v>
      </c>
      <c r="J56" s="7">
        <f t="shared" si="2"/>
        <v>0.10714285714285714</v>
      </c>
      <c r="K56" s="7">
        <f t="shared" si="3"/>
        <v>0.39285714285714285</v>
      </c>
      <c r="L56" s="7">
        <f t="shared" si="4"/>
        <v>0.14285714285714285</v>
      </c>
      <c r="M56" s="7">
        <f t="shared" si="5"/>
        <v>0</v>
      </c>
      <c r="N56" s="7">
        <f>MAX(0,I56+'Statewide Votes'!$H$9/100)</f>
        <v>0.31251626302095364</v>
      </c>
      <c r="O56" s="7">
        <f>MAX(0,J56+'Statewide Votes'!$I$9/100)</f>
        <v>0.11454236363268321</v>
      </c>
      <c r="P56" s="7">
        <f>MAX(0,K56+'Statewide Votes'!$J$9/100)</f>
        <v>0.43720509897983845</v>
      </c>
      <c r="Q56" s="7">
        <f>MAX(0,L56+'Statewide Votes'!$K$9/100)</f>
        <v>0.13407382615938296</v>
      </c>
      <c r="R56" s="7">
        <f>MAX(0,M56+'Statewide Votes'!$L$9/100)</f>
        <v>1.662448207141779E-3</v>
      </c>
      <c r="S56" t="str">
        <f>IF(U56=0,"Tie",INDEX({"TVK","AIADMK+BJP+PMK+AMMK","DMK+INC+VCK","NTK","NOTA"},MATCH(MAX(N56:R56),N56:R56,0)))</f>
        <v>DMK+INC+VCK</v>
      </c>
      <c r="T56" t="str">
        <f>INDEX({"TVK","AIADMK+BJP+PMK+AMMK","DMK+INC+VCK","NTK","NOTA"},MATCH(LARGE(N56:R56,2),N56:R56,0))</f>
        <v>TVK</v>
      </c>
      <c r="U56">
        <f t="shared" si="6"/>
        <v>12.5</v>
      </c>
      <c r="V56" t="str">
        <f t="shared" si="7"/>
        <v>Lean</v>
      </c>
      <c r="W56" t="str">
        <f>IF(LARGE(I56:M56,1)=LARGE(I56:M56,2),"Tie",INDEX({"TVK","AIADMK+BJP+PMK+AMMK","DMK+INC+VCK","NTK","NOTA"},MATCH(MAX(I56:M56),I56:M56,0)))</f>
        <v>DMK+INC+VCK</v>
      </c>
      <c r="X56" s="7">
        <f t="shared" si="8"/>
        <v>0.43720509897983845</v>
      </c>
      <c r="Y56" t="str">
        <f>IF(ISNUMBER(MATCH(A56,{"Maduravoyal","Ambattur","Madavaram","Thiruvottiyur","Sholinganallur","Alandur"},0)),"Chennai",B56)</f>
        <v>Dindigul</v>
      </c>
    </row>
    <row r="57" spans="1:25" x14ac:dyDescent="0.2">
      <c r="A57" s="3" t="s">
        <v>120</v>
      </c>
      <c r="B57" t="s">
        <v>118</v>
      </c>
      <c r="C57" s="11">
        <v>16</v>
      </c>
      <c r="D57" s="11">
        <v>6</v>
      </c>
      <c r="E57" s="11">
        <v>7</v>
      </c>
      <c r="F57" s="11">
        <v>3</v>
      </c>
      <c r="G57" s="11">
        <v>0</v>
      </c>
      <c r="H57">
        <f t="shared" si="0"/>
        <v>32</v>
      </c>
      <c r="I57" s="7">
        <f t="shared" si="1"/>
        <v>0.5</v>
      </c>
      <c r="J57" s="7">
        <f t="shared" si="2"/>
        <v>0.1875</v>
      </c>
      <c r="K57" s="7">
        <f t="shared" si="3"/>
        <v>0.21875</v>
      </c>
      <c r="L57" s="7">
        <f t="shared" si="4"/>
        <v>9.375E-2</v>
      </c>
      <c r="M57" s="7">
        <f t="shared" si="5"/>
        <v>0</v>
      </c>
      <c r="N57" s="7">
        <f>MAX(0,I57+'Statewide Votes'!$H$9/100)</f>
        <v>0.45537340587809649</v>
      </c>
      <c r="O57" s="7">
        <f>MAX(0,J57+'Statewide Votes'!$I$9/100)</f>
        <v>0.19489950648982607</v>
      </c>
      <c r="P57" s="7">
        <f>MAX(0,K57+'Statewide Votes'!$J$9/100)</f>
        <v>0.2630979561226956</v>
      </c>
      <c r="Q57" s="7">
        <f>MAX(0,L57+'Statewide Votes'!$K$9/100)</f>
        <v>8.4966683302240123E-2</v>
      </c>
      <c r="R57" s="7">
        <f>MAX(0,M57+'Statewide Votes'!$L$9/100)</f>
        <v>1.662448207141779E-3</v>
      </c>
      <c r="S57" t="str">
        <f>IF(U57=0,"Tie",INDEX({"TVK","AIADMK+BJP+PMK+AMMK","DMK+INC+VCK","NTK","NOTA"},MATCH(MAX(N57:R57),N57:R57,0)))</f>
        <v>TVK</v>
      </c>
      <c r="T57" t="str">
        <f>INDEX({"TVK","AIADMK+BJP+PMK+AMMK","DMK+INC+VCK","NTK","NOTA"},MATCH(LARGE(N57:R57,2),N57:R57,0))</f>
        <v>DMK+INC+VCK</v>
      </c>
      <c r="U57">
        <f t="shared" si="6"/>
        <v>19.2</v>
      </c>
      <c r="V57" t="str">
        <f t="shared" si="7"/>
        <v>Strong</v>
      </c>
      <c r="W57" t="str">
        <f>IF(LARGE(I57:M57,1)=LARGE(I57:M57,2),"Tie",INDEX({"TVK","AIADMK+BJP+PMK+AMMK","DMK+INC+VCK","NTK","NOTA"},MATCH(MAX(I57:M57),I57:M57,0)))</f>
        <v>TVK</v>
      </c>
      <c r="X57" s="7">
        <f t="shared" si="8"/>
        <v>0.45537340587809649</v>
      </c>
      <c r="Y57" t="str">
        <f>IF(ISNUMBER(MATCH(A57,{"Maduravoyal","Ambattur","Madavaram","Thiruvottiyur","Sholinganallur","Alandur"},0)),"Chennai",B57)</f>
        <v>Dindigul</v>
      </c>
    </row>
    <row r="58" spans="1:25" x14ac:dyDescent="0.2">
      <c r="A58" s="3" t="s">
        <v>121</v>
      </c>
      <c r="B58" t="s">
        <v>118</v>
      </c>
      <c r="C58" s="11">
        <v>20</v>
      </c>
      <c r="D58" s="11">
        <v>17</v>
      </c>
      <c r="E58" s="11">
        <v>11</v>
      </c>
      <c r="F58" s="11">
        <v>0</v>
      </c>
      <c r="G58" s="11">
        <v>1</v>
      </c>
      <c r="H58">
        <f t="shared" si="0"/>
        <v>49</v>
      </c>
      <c r="I58" s="7">
        <f t="shared" si="1"/>
        <v>0.40816326530612246</v>
      </c>
      <c r="J58" s="7">
        <f t="shared" si="2"/>
        <v>0.34693877551020408</v>
      </c>
      <c r="K58" s="7">
        <f t="shared" si="3"/>
        <v>0.22448979591836735</v>
      </c>
      <c r="L58" s="7">
        <f t="shared" si="4"/>
        <v>0</v>
      </c>
      <c r="M58" s="7">
        <f t="shared" si="5"/>
        <v>2.0408163265306121E-2</v>
      </c>
      <c r="N58" s="7">
        <f>MAX(0,I58+'Statewide Votes'!$H$9/100)</f>
        <v>0.36353667118421895</v>
      </c>
      <c r="O58" s="7">
        <f>MAX(0,J58+'Statewide Votes'!$I$9/100)</f>
        <v>0.35433828200003015</v>
      </c>
      <c r="P58" s="7">
        <f>MAX(0,K58+'Statewide Votes'!$J$9/100)</f>
        <v>0.26883775204106297</v>
      </c>
      <c r="Q58" s="7">
        <f>MAX(0,L58+'Statewide Votes'!$K$9/100)</f>
        <v>0</v>
      </c>
      <c r="R58" s="7">
        <f>MAX(0,M58+'Statewide Votes'!$L$9/100)</f>
        <v>2.2070611472447901E-2</v>
      </c>
      <c r="S58" t="str">
        <f>IF(U58=0,"Tie",INDEX({"TVK","AIADMK+BJP+PMK+AMMK","DMK+INC+VCK","NTK","NOTA"},MATCH(MAX(N58:R58),N58:R58,0)))</f>
        <v>TVK</v>
      </c>
      <c r="T58" t="str">
        <f>INDEX({"TVK","AIADMK+BJP+PMK+AMMK","DMK+INC+VCK","NTK","NOTA"},MATCH(LARGE(N58:R58,2),N58:R58,0))</f>
        <v>AIADMK+BJP+PMK+AMMK</v>
      </c>
      <c r="U58">
        <f t="shared" si="6"/>
        <v>0.9</v>
      </c>
      <c r="V58" t="str">
        <f t="shared" si="7"/>
        <v>Toss-up</v>
      </c>
      <c r="W58" t="str">
        <f>IF(LARGE(I58:M58,1)=LARGE(I58:M58,2),"Tie",INDEX({"TVK","AIADMK+BJP+PMK+AMMK","DMK+INC+VCK","NTK","NOTA"},MATCH(MAX(I58:M58),I58:M58,0)))</f>
        <v>TVK</v>
      </c>
      <c r="X58" s="7">
        <f t="shared" si="8"/>
        <v>0.36353667118421895</v>
      </c>
      <c r="Y58" t="str">
        <f>IF(ISNUMBER(MATCH(A58,{"Maduravoyal","Ambattur","Madavaram","Thiruvottiyur","Sholinganallur","Alandur"},0)),"Chennai",B58)</f>
        <v>Dindigul</v>
      </c>
    </row>
    <row r="59" spans="1:25" x14ac:dyDescent="0.2">
      <c r="A59" s="3" t="s">
        <v>122</v>
      </c>
      <c r="B59" t="s">
        <v>118</v>
      </c>
      <c r="C59" s="11">
        <v>25</v>
      </c>
      <c r="D59" s="11">
        <v>8</v>
      </c>
      <c r="E59" s="11">
        <v>5</v>
      </c>
      <c r="F59" s="11">
        <v>4</v>
      </c>
      <c r="G59" s="11">
        <v>0</v>
      </c>
      <c r="H59">
        <f t="shared" si="0"/>
        <v>42</v>
      </c>
      <c r="I59" s="7">
        <f t="shared" si="1"/>
        <v>0.59523809523809523</v>
      </c>
      <c r="J59" s="7">
        <f t="shared" si="2"/>
        <v>0.19047619047619047</v>
      </c>
      <c r="K59" s="7">
        <f t="shared" si="3"/>
        <v>0.11904761904761904</v>
      </c>
      <c r="L59" s="7">
        <f t="shared" si="4"/>
        <v>9.5238095238095233E-2</v>
      </c>
      <c r="M59" s="7">
        <f t="shared" si="5"/>
        <v>0</v>
      </c>
      <c r="N59" s="7">
        <f>MAX(0,I59+'Statewide Votes'!$H$9/100)</f>
        <v>0.55061150111619173</v>
      </c>
      <c r="O59" s="7">
        <f>MAX(0,J59+'Statewide Votes'!$I$9/100)</f>
        <v>0.19787569696601653</v>
      </c>
      <c r="P59" s="7">
        <f>MAX(0,K59+'Statewide Votes'!$J$9/100)</f>
        <v>0.16339557517031464</v>
      </c>
      <c r="Q59" s="7">
        <f>MAX(0,L59+'Statewide Votes'!$K$9/100)</f>
        <v>8.6454778540335356E-2</v>
      </c>
      <c r="R59" s="7">
        <f>MAX(0,M59+'Statewide Votes'!$L$9/100)</f>
        <v>1.662448207141779E-3</v>
      </c>
      <c r="S59" t="str">
        <f>IF(U59=0,"Tie",INDEX({"TVK","AIADMK+BJP+PMK+AMMK","DMK+INC+VCK","NTK","NOTA"},MATCH(MAX(N59:R59),N59:R59,0)))</f>
        <v>TVK</v>
      </c>
      <c r="T59" t="str">
        <f>INDEX({"TVK","AIADMK+BJP+PMK+AMMK","DMK+INC+VCK","NTK","NOTA"},MATCH(LARGE(N59:R59,2),N59:R59,0))</f>
        <v>AIADMK+BJP+PMK+AMMK</v>
      </c>
      <c r="U59">
        <f t="shared" si="6"/>
        <v>35.299999999999997</v>
      </c>
      <c r="V59" t="str">
        <f t="shared" si="7"/>
        <v>Strong</v>
      </c>
      <c r="W59" t="str">
        <f>IF(LARGE(I59:M59,1)=LARGE(I59:M59,2),"Tie",INDEX({"TVK","AIADMK+BJP+PMK+AMMK","DMK+INC+VCK","NTK","NOTA"},MATCH(MAX(I59:M59),I59:M59,0)))</f>
        <v>TVK</v>
      </c>
      <c r="X59" s="7">
        <f t="shared" si="8"/>
        <v>0.55061150111619173</v>
      </c>
      <c r="Y59" t="str">
        <f>IF(ISNUMBER(MATCH(A59,{"Maduravoyal","Ambattur","Madavaram","Thiruvottiyur","Sholinganallur","Alandur"},0)),"Chennai",B59)</f>
        <v>Dindigul</v>
      </c>
    </row>
    <row r="60" spans="1:25" x14ac:dyDescent="0.2">
      <c r="A60" s="3" t="s">
        <v>123</v>
      </c>
      <c r="B60" t="s">
        <v>118</v>
      </c>
      <c r="C60" s="11">
        <v>18</v>
      </c>
      <c r="D60" s="11">
        <v>9</v>
      </c>
      <c r="E60" s="11">
        <v>13</v>
      </c>
      <c r="F60" s="11">
        <v>4</v>
      </c>
      <c r="G60" s="11">
        <v>0</v>
      </c>
      <c r="H60">
        <f t="shared" si="0"/>
        <v>44</v>
      </c>
      <c r="I60" s="7">
        <f t="shared" si="1"/>
        <v>0.40909090909090912</v>
      </c>
      <c r="J60" s="7">
        <f t="shared" si="2"/>
        <v>0.20454545454545456</v>
      </c>
      <c r="K60" s="7">
        <f t="shared" si="3"/>
        <v>0.29545454545454547</v>
      </c>
      <c r="L60" s="7">
        <f t="shared" si="4"/>
        <v>9.0909090909090912E-2</v>
      </c>
      <c r="M60" s="7">
        <f t="shared" si="5"/>
        <v>0</v>
      </c>
      <c r="N60" s="7">
        <f>MAX(0,I60+'Statewide Votes'!$H$9/100)</f>
        <v>0.36446431496900561</v>
      </c>
      <c r="O60" s="7">
        <f>MAX(0,J60+'Statewide Votes'!$I$9/100)</f>
        <v>0.21194496103528063</v>
      </c>
      <c r="P60" s="7">
        <f>MAX(0,K60+'Statewide Votes'!$J$9/100)</f>
        <v>0.33980250157724107</v>
      </c>
      <c r="Q60" s="7">
        <f>MAX(0,L60+'Statewide Votes'!$K$9/100)</f>
        <v>8.2125774211331035E-2</v>
      </c>
      <c r="R60" s="7">
        <f>MAX(0,M60+'Statewide Votes'!$L$9/100)</f>
        <v>1.662448207141779E-3</v>
      </c>
      <c r="S60" t="str">
        <f>IF(U60=0,"Tie",INDEX({"TVK","AIADMK+BJP+PMK+AMMK","DMK+INC+VCK","NTK","NOTA"},MATCH(MAX(N60:R60),N60:R60,0)))</f>
        <v>TVK</v>
      </c>
      <c r="T60" t="str">
        <f>INDEX({"TVK","AIADMK+BJP+PMK+AMMK","DMK+INC+VCK","NTK","NOTA"},MATCH(LARGE(N60:R60,2),N60:R60,0))</f>
        <v>DMK+INC+VCK</v>
      </c>
      <c r="U60">
        <f t="shared" si="6"/>
        <v>2.5</v>
      </c>
      <c r="V60" t="str">
        <f t="shared" si="7"/>
        <v>Toss-up</v>
      </c>
      <c r="W60" t="str">
        <f>IF(LARGE(I60:M60,1)=LARGE(I60:M60,2),"Tie",INDEX({"TVK","AIADMK+BJP+PMK+AMMK","DMK+INC+VCK","NTK","NOTA"},MATCH(MAX(I60:M60),I60:M60,0)))</f>
        <v>TVK</v>
      </c>
      <c r="X60" s="7">
        <f t="shared" si="8"/>
        <v>0.36446431496900561</v>
      </c>
      <c r="Y60" t="str">
        <f>IF(ISNUMBER(MATCH(A60,{"Maduravoyal","Ambattur","Madavaram","Thiruvottiyur","Sholinganallur","Alandur"},0)),"Chennai",B60)</f>
        <v>Dindigul</v>
      </c>
    </row>
    <row r="61" spans="1:25" x14ac:dyDescent="0.2">
      <c r="A61" s="3" t="s">
        <v>124</v>
      </c>
      <c r="B61" t="s">
        <v>125</v>
      </c>
      <c r="C61" s="11">
        <v>13</v>
      </c>
      <c r="D61" s="11">
        <v>16</v>
      </c>
      <c r="E61" s="11">
        <v>5</v>
      </c>
      <c r="F61" s="11">
        <v>4</v>
      </c>
      <c r="G61" s="11">
        <v>0</v>
      </c>
      <c r="H61">
        <f t="shared" si="0"/>
        <v>38</v>
      </c>
      <c r="I61" s="7">
        <f t="shared" si="1"/>
        <v>0.34210526315789475</v>
      </c>
      <c r="J61" s="7">
        <f t="shared" si="2"/>
        <v>0.42105263157894735</v>
      </c>
      <c r="K61" s="7">
        <f t="shared" si="3"/>
        <v>0.13157894736842105</v>
      </c>
      <c r="L61" s="7">
        <f t="shared" si="4"/>
        <v>0.10526315789473684</v>
      </c>
      <c r="M61" s="7">
        <f t="shared" si="5"/>
        <v>0</v>
      </c>
      <c r="N61" s="7">
        <f>MAX(0,I61+'Statewide Votes'!$H$9/100)</f>
        <v>0.29747866903599124</v>
      </c>
      <c r="O61" s="7">
        <f>MAX(0,J61+'Statewide Votes'!$I$9/100)</f>
        <v>0.42845213806877341</v>
      </c>
      <c r="P61" s="7">
        <f>MAX(0,K61+'Statewide Votes'!$J$9/100)</f>
        <v>0.17592690349111664</v>
      </c>
      <c r="Q61" s="7">
        <f>MAX(0,L61+'Statewide Votes'!$K$9/100)</f>
        <v>9.6479841196976959E-2</v>
      </c>
      <c r="R61" s="7">
        <f>MAX(0,M61+'Statewide Votes'!$L$9/100)</f>
        <v>1.662448207141779E-3</v>
      </c>
      <c r="S61" t="str">
        <f>IF(U61=0,"Tie",INDEX({"TVK","AIADMK+BJP+PMK+AMMK","DMK+INC+VCK","NTK","NOTA"},MATCH(MAX(N61:R61),N61:R61,0)))</f>
        <v>AIADMK+BJP+PMK+AMMK</v>
      </c>
      <c r="T61" t="str">
        <f>INDEX({"TVK","AIADMK+BJP+PMK+AMMK","DMK+INC+VCK","NTK","NOTA"},MATCH(LARGE(N61:R61,2),N61:R61,0))</f>
        <v>TVK</v>
      </c>
      <c r="U61">
        <f t="shared" si="6"/>
        <v>13.1</v>
      </c>
      <c r="V61" t="str">
        <f t="shared" si="7"/>
        <v>Strong</v>
      </c>
      <c r="W61" t="str">
        <f>IF(LARGE(I61:M61,1)=LARGE(I61:M61,2),"Tie",INDEX({"TVK","AIADMK+BJP+PMK+AMMK","DMK+INC+VCK","NTK","NOTA"},MATCH(MAX(I61:M61),I61:M61,0)))</f>
        <v>AIADMK+BJP+PMK+AMMK</v>
      </c>
      <c r="X61" s="7">
        <f t="shared" si="8"/>
        <v>0.42845213806877341</v>
      </c>
      <c r="Y61" t="str">
        <f>IF(ISNUMBER(MATCH(A61,{"Maduravoyal","Ambattur","Madavaram","Thiruvottiyur","Sholinganallur","Alandur"},0)),"Chennai",B61)</f>
        <v>Erode</v>
      </c>
    </row>
    <row r="62" spans="1:25" x14ac:dyDescent="0.2">
      <c r="A62" s="3" t="s">
        <v>126</v>
      </c>
      <c r="B62" t="s">
        <v>125</v>
      </c>
      <c r="C62" s="11">
        <v>16</v>
      </c>
      <c r="D62" s="11">
        <v>13</v>
      </c>
      <c r="E62" s="11">
        <v>16</v>
      </c>
      <c r="F62" s="11">
        <v>1</v>
      </c>
      <c r="G62" s="11">
        <v>1</v>
      </c>
      <c r="H62">
        <f t="shared" si="0"/>
        <v>47</v>
      </c>
      <c r="I62" s="7">
        <f t="shared" si="1"/>
        <v>0.34042553191489361</v>
      </c>
      <c r="J62" s="7">
        <f t="shared" si="2"/>
        <v>0.27659574468085107</v>
      </c>
      <c r="K62" s="7">
        <f t="shared" si="3"/>
        <v>0.34042553191489361</v>
      </c>
      <c r="L62" s="7">
        <f t="shared" si="4"/>
        <v>2.1276595744680851E-2</v>
      </c>
      <c r="M62" s="7">
        <f t="shared" si="5"/>
        <v>2.1276595744680851E-2</v>
      </c>
      <c r="N62" s="7">
        <f>MAX(0,I62+'Statewide Votes'!$H$9/100)</f>
        <v>0.2957989377929901</v>
      </c>
      <c r="O62" s="7">
        <f>MAX(0,J62+'Statewide Votes'!$I$9/100)</f>
        <v>0.28399525117067714</v>
      </c>
      <c r="P62" s="7">
        <f>MAX(0,K62+'Statewide Votes'!$J$9/100)</f>
        <v>0.38477348803758921</v>
      </c>
      <c r="Q62" s="7">
        <f>MAX(0,L62+'Statewide Votes'!$K$9/100)</f>
        <v>1.2493279046920974E-2</v>
      </c>
      <c r="R62" s="7">
        <f>MAX(0,M62+'Statewide Votes'!$L$9/100)</f>
        <v>2.293904395182263E-2</v>
      </c>
      <c r="S62" t="str">
        <f>IF(U62=0,"Tie",INDEX({"TVK","AIADMK+BJP+PMK+AMMK","DMK+INC+VCK","NTK","NOTA"},MATCH(MAX(N62:R62),N62:R62,0)))</f>
        <v>DMK+INC+VCK</v>
      </c>
      <c r="T62" t="str">
        <f>INDEX({"TVK","AIADMK+BJP+PMK+AMMK","DMK+INC+VCK","NTK","NOTA"},MATCH(LARGE(N62:R62,2),N62:R62,0))</f>
        <v>TVK</v>
      </c>
      <c r="U62">
        <f t="shared" si="6"/>
        <v>8.9</v>
      </c>
      <c r="V62" t="str">
        <f t="shared" si="7"/>
        <v>Lean</v>
      </c>
      <c r="W62" t="str">
        <f>IF(LARGE(I62:M62,1)=LARGE(I62:M62,2),"Tie",INDEX({"TVK","AIADMK+BJP+PMK+AMMK","DMK+INC+VCK","NTK","NOTA"},MATCH(MAX(I62:M62),I62:M62,0)))</f>
        <v>Tie</v>
      </c>
      <c r="X62" s="7">
        <f t="shared" si="8"/>
        <v>0.38477348803758921</v>
      </c>
      <c r="Y62" t="str">
        <f>IF(ISNUMBER(MATCH(A62,{"Maduravoyal","Ambattur","Madavaram","Thiruvottiyur","Sholinganallur","Alandur"},0)),"Chennai",B62)</f>
        <v>Erode</v>
      </c>
    </row>
    <row r="63" spans="1:25" x14ac:dyDescent="0.2">
      <c r="A63" s="3" t="s">
        <v>127</v>
      </c>
      <c r="B63" t="s">
        <v>125</v>
      </c>
      <c r="C63" s="11">
        <v>11</v>
      </c>
      <c r="D63" s="11">
        <v>10</v>
      </c>
      <c r="E63" s="11">
        <v>6</v>
      </c>
      <c r="F63" s="11">
        <v>3</v>
      </c>
      <c r="G63" s="11">
        <v>0</v>
      </c>
      <c r="H63">
        <f t="shared" si="0"/>
        <v>30</v>
      </c>
      <c r="I63" s="7">
        <f t="shared" si="1"/>
        <v>0.36666666666666664</v>
      </c>
      <c r="J63" s="7">
        <f t="shared" si="2"/>
        <v>0.33333333333333331</v>
      </c>
      <c r="K63" s="7">
        <f t="shared" si="3"/>
        <v>0.2</v>
      </c>
      <c r="L63" s="7">
        <f t="shared" si="4"/>
        <v>0.1</v>
      </c>
      <c r="M63" s="7">
        <f t="shared" si="5"/>
        <v>0</v>
      </c>
      <c r="N63" s="7">
        <f>MAX(0,I63+'Statewide Votes'!$H$9/100)</f>
        <v>0.32204007254476313</v>
      </c>
      <c r="O63" s="7">
        <f>MAX(0,J63+'Statewide Votes'!$I$9/100)</f>
        <v>0.34073283982315938</v>
      </c>
      <c r="P63" s="7">
        <f>MAX(0,K63+'Statewide Votes'!$J$9/100)</f>
        <v>0.24434795612269561</v>
      </c>
      <c r="Q63" s="7">
        <f>MAX(0,L63+'Statewide Votes'!$K$9/100)</f>
        <v>9.1216683302240129E-2</v>
      </c>
      <c r="R63" s="7">
        <f>MAX(0,M63+'Statewide Votes'!$L$9/100)</f>
        <v>1.662448207141779E-3</v>
      </c>
      <c r="S63" t="str">
        <f>IF(U63=0,"Tie",INDEX({"TVK","AIADMK+BJP+PMK+AMMK","DMK+INC+VCK","NTK","NOTA"},MATCH(MAX(N63:R63),N63:R63,0)))</f>
        <v>AIADMK+BJP+PMK+AMMK</v>
      </c>
      <c r="T63" t="str">
        <f>INDEX({"TVK","AIADMK+BJP+PMK+AMMK","DMK+INC+VCK","NTK","NOTA"},MATCH(LARGE(N63:R63,2),N63:R63,0))</f>
        <v>TVK</v>
      </c>
      <c r="U63">
        <f t="shared" si="6"/>
        <v>1.9</v>
      </c>
      <c r="V63" t="str">
        <f t="shared" si="7"/>
        <v>Toss-up</v>
      </c>
      <c r="W63" t="str">
        <f>IF(LARGE(I63:M63,1)=LARGE(I63:M63,2),"Tie",INDEX({"TVK","AIADMK+BJP+PMK+AMMK","DMK+INC+VCK","NTK","NOTA"},MATCH(MAX(I63:M63),I63:M63,0)))</f>
        <v>TVK</v>
      </c>
      <c r="X63" s="7">
        <f t="shared" si="8"/>
        <v>0.34073283982315938</v>
      </c>
      <c r="Y63" t="str">
        <f>IF(ISNUMBER(MATCH(A63,{"Maduravoyal","Ambattur","Madavaram","Thiruvottiyur","Sholinganallur","Alandur"},0)),"Chennai",B63)</f>
        <v>Erode</v>
      </c>
    </row>
    <row r="64" spans="1:25" x14ac:dyDescent="0.2">
      <c r="A64" s="3" t="s">
        <v>128</v>
      </c>
      <c r="B64" t="s">
        <v>125</v>
      </c>
      <c r="C64" s="11">
        <v>27</v>
      </c>
      <c r="D64" s="11">
        <v>18</v>
      </c>
      <c r="E64" s="11">
        <v>6</v>
      </c>
      <c r="F64" s="11">
        <v>1</v>
      </c>
      <c r="G64" s="11">
        <v>0</v>
      </c>
      <c r="H64">
        <f t="shared" si="0"/>
        <v>52</v>
      </c>
      <c r="I64" s="7">
        <f t="shared" si="1"/>
        <v>0.51923076923076927</v>
      </c>
      <c r="J64" s="7">
        <f t="shared" si="2"/>
        <v>0.34615384615384615</v>
      </c>
      <c r="K64" s="7">
        <f t="shared" si="3"/>
        <v>0.11538461538461539</v>
      </c>
      <c r="L64" s="7">
        <f t="shared" si="4"/>
        <v>1.9230769230769232E-2</v>
      </c>
      <c r="M64" s="7">
        <f t="shared" si="5"/>
        <v>0</v>
      </c>
      <c r="N64" s="7">
        <f>MAX(0,I64+'Statewide Votes'!$H$9/100)</f>
        <v>0.47460417510886577</v>
      </c>
      <c r="O64" s="7">
        <f>MAX(0,J64+'Statewide Votes'!$I$9/100)</f>
        <v>0.35355335264367221</v>
      </c>
      <c r="P64" s="7">
        <f>MAX(0,K64+'Statewide Votes'!$J$9/100)</f>
        <v>0.15973257150731099</v>
      </c>
      <c r="Q64" s="7">
        <f>MAX(0,L64+'Statewide Votes'!$K$9/100)</f>
        <v>1.0447452533009355E-2</v>
      </c>
      <c r="R64" s="7">
        <f>MAX(0,M64+'Statewide Votes'!$L$9/100)</f>
        <v>1.662448207141779E-3</v>
      </c>
      <c r="S64" t="str">
        <f>IF(U64=0,"Tie",INDEX({"TVK","AIADMK+BJP+PMK+AMMK","DMK+INC+VCK","NTK","NOTA"},MATCH(MAX(N64:R64),N64:R64,0)))</f>
        <v>TVK</v>
      </c>
      <c r="T64" t="str">
        <f>INDEX({"TVK","AIADMK+BJP+PMK+AMMK","DMK+INC+VCK","NTK","NOTA"},MATCH(LARGE(N64:R64,2),N64:R64,0))</f>
        <v>AIADMK+BJP+PMK+AMMK</v>
      </c>
      <c r="U64">
        <f t="shared" si="6"/>
        <v>12.1</v>
      </c>
      <c r="V64" t="str">
        <f t="shared" si="7"/>
        <v>Strong</v>
      </c>
      <c r="W64" t="str">
        <f>IF(LARGE(I64:M64,1)=LARGE(I64:M64,2),"Tie",INDEX({"TVK","AIADMK+BJP+PMK+AMMK","DMK+INC+VCK","NTK","NOTA"},MATCH(MAX(I64:M64),I64:M64,0)))</f>
        <v>TVK</v>
      </c>
      <c r="X64" s="7">
        <f t="shared" si="8"/>
        <v>0.47460417510886577</v>
      </c>
      <c r="Y64" t="str">
        <f>IF(ISNUMBER(MATCH(A64,{"Maduravoyal","Ambattur","Madavaram","Thiruvottiyur","Sholinganallur","Alandur"},0)),"Chennai",B64)</f>
        <v>Erode</v>
      </c>
    </row>
    <row r="65" spans="1:25" x14ac:dyDescent="0.2">
      <c r="A65" s="3" t="s">
        <v>129</v>
      </c>
      <c r="B65" t="s">
        <v>125</v>
      </c>
      <c r="C65" s="11">
        <v>16</v>
      </c>
      <c r="D65" s="11">
        <v>31</v>
      </c>
      <c r="E65" s="11">
        <v>21</v>
      </c>
      <c r="F65" s="11">
        <v>2</v>
      </c>
      <c r="G65" s="11">
        <v>0</v>
      </c>
      <c r="H65">
        <f t="shared" si="0"/>
        <v>70</v>
      </c>
      <c r="I65" s="7">
        <f t="shared" si="1"/>
        <v>0.22857142857142856</v>
      </c>
      <c r="J65" s="7">
        <f t="shared" si="2"/>
        <v>0.44285714285714284</v>
      </c>
      <c r="K65" s="7">
        <f t="shared" si="3"/>
        <v>0.3</v>
      </c>
      <c r="L65" s="7">
        <f t="shared" si="4"/>
        <v>2.8571428571428571E-2</v>
      </c>
      <c r="M65" s="7">
        <f t="shared" si="5"/>
        <v>0</v>
      </c>
      <c r="N65" s="7">
        <f>MAX(0,I65+'Statewide Votes'!$H$9/100)</f>
        <v>0.18394483444952506</v>
      </c>
      <c r="O65" s="7">
        <f>MAX(0,J65+'Statewide Votes'!$I$9/100)</f>
        <v>0.45025664934696891</v>
      </c>
      <c r="P65" s="7">
        <f>MAX(0,K65+'Statewide Votes'!$J$9/100)</f>
        <v>0.34434795612269559</v>
      </c>
      <c r="Q65" s="7">
        <f>MAX(0,L65+'Statewide Votes'!$K$9/100)</f>
        <v>1.9788111873668694E-2</v>
      </c>
      <c r="R65" s="7">
        <f>MAX(0,M65+'Statewide Votes'!$L$9/100)</f>
        <v>1.662448207141779E-3</v>
      </c>
      <c r="S65" t="str">
        <f>IF(U65=0,"Tie",INDEX({"TVK","AIADMK+BJP+PMK+AMMK","DMK+INC+VCK","NTK","NOTA"},MATCH(MAX(N65:R65),N65:R65,0)))</f>
        <v>AIADMK+BJP+PMK+AMMK</v>
      </c>
      <c r="T65" t="str">
        <f>INDEX({"TVK","AIADMK+BJP+PMK+AMMK","DMK+INC+VCK","NTK","NOTA"},MATCH(LARGE(N65:R65,2),N65:R65,0))</f>
        <v>DMK+INC+VCK</v>
      </c>
      <c r="U65">
        <f t="shared" si="6"/>
        <v>10.6</v>
      </c>
      <c r="V65" t="str">
        <f t="shared" si="7"/>
        <v>Strong</v>
      </c>
      <c r="W65" t="str">
        <f>IF(LARGE(I65:M65,1)=LARGE(I65:M65,2),"Tie",INDEX({"TVK","AIADMK+BJP+PMK+AMMK","DMK+INC+VCK","NTK","NOTA"},MATCH(MAX(I65:M65),I65:M65,0)))</f>
        <v>AIADMK+BJP+PMK+AMMK</v>
      </c>
      <c r="X65" s="7">
        <f t="shared" si="8"/>
        <v>0.45025664934696891</v>
      </c>
      <c r="Y65" t="str">
        <f>IF(ISNUMBER(MATCH(A65,{"Maduravoyal","Ambattur","Madavaram","Thiruvottiyur","Sholinganallur","Alandur"},0)),"Chennai",B65)</f>
        <v>Erode</v>
      </c>
    </row>
    <row r="66" spans="1:25" x14ac:dyDescent="0.2">
      <c r="A66" s="3" t="s">
        <v>130</v>
      </c>
      <c r="B66" t="s">
        <v>125</v>
      </c>
      <c r="C66" s="11">
        <v>22</v>
      </c>
      <c r="D66" s="11">
        <v>23</v>
      </c>
      <c r="E66" s="11">
        <v>3</v>
      </c>
      <c r="F66" s="11">
        <v>4</v>
      </c>
      <c r="G66" s="11">
        <v>0</v>
      </c>
      <c r="H66">
        <f t="shared" si="0"/>
        <v>52</v>
      </c>
      <c r="I66" s="7">
        <f t="shared" si="1"/>
        <v>0.42307692307692307</v>
      </c>
      <c r="J66" s="7">
        <f t="shared" si="2"/>
        <v>0.44230769230769229</v>
      </c>
      <c r="K66" s="7">
        <f t="shared" si="3"/>
        <v>5.7692307692307696E-2</v>
      </c>
      <c r="L66" s="7">
        <f t="shared" si="4"/>
        <v>7.6923076923076927E-2</v>
      </c>
      <c r="M66" s="7">
        <f t="shared" si="5"/>
        <v>0</v>
      </c>
      <c r="N66" s="7">
        <f>MAX(0,I66+'Statewide Votes'!$H$9/100)</f>
        <v>0.37845032895501957</v>
      </c>
      <c r="O66" s="7">
        <f>MAX(0,J66+'Statewide Votes'!$I$9/100)</f>
        <v>0.44970719879751836</v>
      </c>
      <c r="P66" s="7">
        <f>MAX(0,K66+'Statewide Votes'!$J$9/100)</f>
        <v>0.10204026381500329</v>
      </c>
      <c r="Q66" s="7">
        <f>MAX(0,L66+'Statewide Votes'!$K$9/100)</f>
        <v>6.813976022531705E-2</v>
      </c>
      <c r="R66" s="7">
        <f>MAX(0,M66+'Statewide Votes'!$L$9/100)</f>
        <v>1.662448207141779E-3</v>
      </c>
      <c r="S66" t="str">
        <f>IF(U66=0,"Tie",INDEX({"TVK","AIADMK+BJP+PMK+AMMK","DMK+INC+VCK","NTK","NOTA"},MATCH(MAX(N66:R66),N66:R66,0)))</f>
        <v>AIADMK+BJP+PMK+AMMK</v>
      </c>
      <c r="T66" t="str">
        <f>INDEX({"TVK","AIADMK+BJP+PMK+AMMK","DMK+INC+VCK","NTK","NOTA"},MATCH(LARGE(N66:R66,2),N66:R66,0))</f>
        <v>TVK</v>
      </c>
      <c r="U66">
        <f t="shared" si="6"/>
        <v>7.1</v>
      </c>
      <c r="V66" t="str">
        <f t="shared" si="7"/>
        <v>Lean</v>
      </c>
      <c r="W66" t="str">
        <f>IF(LARGE(I66:M66,1)=LARGE(I66:M66,2),"Tie",INDEX({"TVK","AIADMK+BJP+PMK+AMMK","DMK+INC+VCK","NTK","NOTA"},MATCH(MAX(I66:M66),I66:M66,0)))</f>
        <v>AIADMK+BJP+PMK+AMMK</v>
      </c>
      <c r="X66" s="7">
        <f t="shared" si="8"/>
        <v>0.44970719879751836</v>
      </c>
      <c r="Y66" t="str">
        <f>IF(ISNUMBER(MATCH(A66,{"Maduravoyal","Ambattur","Madavaram","Thiruvottiyur","Sholinganallur","Alandur"},0)),"Chennai",B66)</f>
        <v>Erode</v>
      </c>
    </row>
    <row r="67" spans="1:25" x14ac:dyDescent="0.2">
      <c r="A67" s="3" t="s">
        <v>131</v>
      </c>
      <c r="B67" t="s">
        <v>125</v>
      </c>
      <c r="C67" s="11">
        <v>5</v>
      </c>
      <c r="D67" s="11">
        <v>14</v>
      </c>
      <c r="E67" s="11">
        <v>6</v>
      </c>
      <c r="F67" s="11">
        <v>6</v>
      </c>
      <c r="G67" s="11">
        <v>0</v>
      </c>
      <c r="H67">
        <f t="shared" si="0"/>
        <v>31</v>
      </c>
      <c r="I67" s="7">
        <f t="shared" si="1"/>
        <v>0.16129032258064516</v>
      </c>
      <c r="J67" s="7">
        <f t="shared" si="2"/>
        <v>0.45161290322580644</v>
      </c>
      <c r="K67" s="7">
        <f t="shared" si="3"/>
        <v>0.19354838709677419</v>
      </c>
      <c r="L67" s="7">
        <f t="shared" si="4"/>
        <v>0.19354838709677419</v>
      </c>
      <c r="M67" s="7">
        <f t="shared" si="5"/>
        <v>0</v>
      </c>
      <c r="N67" s="7">
        <f>MAX(0,I67+'Statewide Votes'!$H$9/100)</f>
        <v>0.11666372845874165</v>
      </c>
      <c r="O67" s="7">
        <f>MAX(0,J67+'Statewide Votes'!$I$9/100)</f>
        <v>0.45901240971563251</v>
      </c>
      <c r="P67" s="7">
        <f>MAX(0,K67+'Statewide Votes'!$J$9/100)</f>
        <v>0.23789634321946979</v>
      </c>
      <c r="Q67" s="7">
        <f>MAX(0,L67+'Statewide Votes'!$K$9/100)</f>
        <v>0.1847650703990143</v>
      </c>
      <c r="R67" s="7">
        <f>MAX(0,M67+'Statewide Votes'!$L$9/100)</f>
        <v>1.662448207141779E-3</v>
      </c>
      <c r="S67" t="str">
        <f>IF(U67=0,"Tie",INDEX({"TVK","AIADMK+BJP+PMK+AMMK","DMK+INC+VCK","NTK","NOTA"},MATCH(MAX(N67:R67),N67:R67,0)))</f>
        <v>AIADMK+BJP+PMK+AMMK</v>
      </c>
      <c r="T67" t="str">
        <f>INDEX({"TVK","AIADMK+BJP+PMK+AMMK","DMK+INC+VCK","NTK","NOTA"},MATCH(LARGE(N67:R67,2),N67:R67,0))</f>
        <v>DMK+INC+VCK</v>
      </c>
      <c r="U67">
        <f t="shared" si="6"/>
        <v>22.1</v>
      </c>
      <c r="V67" t="str">
        <f t="shared" si="7"/>
        <v>Strong</v>
      </c>
      <c r="W67" t="str">
        <f>IF(LARGE(I67:M67,1)=LARGE(I67:M67,2),"Tie",INDEX({"TVK","AIADMK+BJP+PMK+AMMK","DMK+INC+VCK","NTK","NOTA"},MATCH(MAX(I67:M67),I67:M67,0)))</f>
        <v>AIADMK+BJP+PMK+AMMK</v>
      </c>
      <c r="X67" s="7">
        <f t="shared" si="8"/>
        <v>0.45901240971563251</v>
      </c>
      <c r="Y67" t="str">
        <f>IF(ISNUMBER(MATCH(A67,{"Maduravoyal","Ambattur","Madavaram","Thiruvottiyur","Sholinganallur","Alandur"},0)),"Chennai",B67)</f>
        <v>Erode</v>
      </c>
    </row>
    <row r="68" spans="1:25" x14ac:dyDescent="0.2">
      <c r="A68" s="3" t="s">
        <v>132</v>
      </c>
      <c r="B68" t="s">
        <v>125</v>
      </c>
      <c r="C68" s="11">
        <v>10</v>
      </c>
      <c r="D68" s="11">
        <v>13</v>
      </c>
      <c r="E68" s="11">
        <v>3</v>
      </c>
      <c r="F68" s="11">
        <v>0</v>
      </c>
      <c r="G68" s="11">
        <v>1</v>
      </c>
      <c r="H68">
        <f t="shared" si="0"/>
        <v>27</v>
      </c>
      <c r="I68" s="7">
        <f t="shared" si="1"/>
        <v>0.37037037037037035</v>
      </c>
      <c r="J68" s="7">
        <f t="shared" si="2"/>
        <v>0.48148148148148145</v>
      </c>
      <c r="K68" s="7">
        <f t="shared" si="3"/>
        <v>0.1111111111111111</v>
      </c>
      <c r="L68" s="7">
        <f t="shared" si="4"/>
        <v>0</v>
      </c>
      <c r="M68" s="7">
        <f t="shared" si="5"/>
        <v>3.7037037037037035E-2</v>
      </c>
      <c r="N68" s="7">
        <f>MAX(0,I68+'Statewide Votes'!$H$9/100)</f>
        <v>0.32574377624846684</v>
      </c>
      <c r="O68" s="7">
        <f>MAX(0,J68+'Statewide Votes'!$I$9/100)</f>
        <v>0.48888098797130752</v>
      </c>
      <c r="P68" s="7">
        <f>MAX(0,K68+'Statewide Votes'!$J$9/100)</f>
        <v>0.1554590672338067</v>
      </c>
      <c r="Q68" s="7">
        <f>MAX(0,L68+'Statewide Votes'!$K$9/100)</f>
        <v>0</v>
      </c>
      <c r="R68" s="7">
        <f>MAX(0,M68+'Statewide Votes'!$L$9/100)</f>
        <v>3.8699485244178815E-2</v>
      </c>
      <c r="S68" t="str">
        <f>IF(U68=0,"Tie",INDEX({"TVK","AIADMK+BJP+PMK+AMMK","DMK+INC+VCK","NTK","NOTA"},MATCH(MAX(N68:R68),N68:R68,0)))</f>
        <v>AIADMK+BJP+PMK+AMMK</v>
      </c>
      <c r="T68" t="str">
        <f>INDEX({"TVK","AIADMK+BJP+PMK+AMMK","DMK+INC+VCK","NTK","NOTA"},MATCH(LARGE(N68:R68,2),N68:R68,0))</f>
        <v>TVK</v>
      </c>
      <c r="U68">
        <f t="shared" si="6"/>
        <v>16.3</v>
      </c>
      <c r="V68" t="str">
        <f t="shared" si="7"/>
        <v>Lean</v>
      </c>
      <c r="W68" t="str">
        <f>IF(LARGE(I68:M68,1)=LARGE(I68:M68,2),"Tie",INDEX({"TVK","AIADMK+BJP+PMK+AMMK","DMK+INC+VCK","NTK","NOTA"},MATCH(MAX(I68:M68),I68:M68,0)))</f>
        <v>AIADMK+BJP+PMK+AMMK</v>
      </c>
      <c r="X68" s="7">
        <f t="shared" si="8"/>
        <v>0.48888098797130752</v>
      </c>
      <c r="Y68" t="str">
        <f>IF(ISNUMBER(MATCH(A68,{"Maduravoyal","Ambattur","Madavaram","Thiruvottiyur","Sholinganallur","Alandur"},0)),"Chennai",B68)</f>
        <v>Erode</v>
      </c>
    </row>
    <row r="69" spans="1:25" x14ac:dyDescent="0.2">
      <c r="A69" s="3" t="s">
        <v>133</v>
      </c>
      <c r="B69" t="s">
        <v>133</v>
      </c>
      <c r="C69" s="11">
        <v>17</v>
      </c>
      <c r="D69" s="11">
        <v>4</v>
      </c>
      <c r="E69" s="11">
        <v>7</v>
      </c>
      <c r="F69" s="11">
        <v>4</v>
      </c>
      <c r="G69" s="11">
        <v>0</v>
      </c>
      <c r="H69">
        <f t="shared" ref="H69:H132" si="9">SUM(C69:G69)</f>
        <v>32</v>
      </c>
      <c r="I69" s="7">
        <f t="shared" ref="I69:I132" si="10">IF($H69=0,0,C69/$H69)</f>
        <v>0.53125</v>
      </c>
      <c r="J69" s="7">
        <f t="shared" ref="J69:J132" si="11">IF($H69=0,0,D69/$H69)</f>
        <v>0.125</v>
      </c>
      <c r="K69" s="7">
        <f t="shared" ref="K69:K132" si="12">IF($H69=0,0,E69/$H69)</f>
        <v>0.21875</v>
      </c>
      <c r="L69" s="7">
        <f t="shared" ref="L69:L132" si="13">IF($H69=0,0,F69/$H69)</f>
        <v>0.125</v>
      </c>
      <c r="M69" s="7">
        <f t="shared" ref="M69:M132" si="14">IF($H69=0,0,G69/$H69)</f>
        <v>0</v>
      </c>
      <c r="N69" s="7">
        <f>MAX(0,I69+'Statewide Votes'!$H$9/100)</f>
        <v>0.48662340587809649</v>
      </c>
      <c r="O69" s="7">
        <f>MAX(0,J69+'Statewide Votes'!$I$9/100)</f>
        <v>0.13239950648982607</v>
      </c>
      <c r="P69" s="7">
        <f>MAX(0,K69+'Statewide Votes'!$J$9/100)</f>
        <v>0.2630979561226956</v>
      </c>
      <c r="Q69" s="7">
        <f>MAX(0,L69+'Statewide Votes'!$K$9/100)</f>
        <v>0.11621668330224012</v>
      </c>
      <c r="R69" s="7">
        <f>MAX(0,M69+'Statewide Votes'!$L$9/100)</f>
        <v>1.662448207141779E-3</v>
      </c>
      <c r="S69" t="str">
        <f>IF(U69=0,"Tie",INDEX({"TVK","AIADMK+BJP+PMK+AMMK","DMK+INC+VCK","NTK","NOTA"},MATCH(MAX(N69:R69),N69:R69,0)))</f>
        <v>TVK</v>
      </c>
      <c r="T69" t="str">
        <f>INDEX({"TVK","AIADMK+BJP+PMK+AMMK","DMK+INC+VCK","NTK","NOTA"},MATCH(LARGE(N69:R69,2),N69:R69,0))</f>
        <v>DMK+INC+VCK</v>
      </c>
      <c r="U69">
        <f t="shared" ref="U69:U132" si="15">ROUND((LARGE(N69:R69,1)-LARGE(N69:R69,2))*100,1)</f>
        <v>22.4</v>
      </c>
      <c r="V69" t="str">
        <f t="shared" ref="V69:V132" si="16">IF(U69=0,"Tie",IF(H69&lt;10,"Low sample",IF(AND(H69&gt;=30,U69&gt;=10),"Strong",IF(U69&gt;=5,"Lean","Toss-up"))))</f>
        <v>Strong</v>
      </c>
      <c r="W69" t="str">
        <f>IF(LARGE(I69:M69,1)=LARGE(I69:M69,2),"Tie",INDEX({"TVK","AIADMK+BJP+PMK+AMMK","DMK+INC+VCK","NTK","NOTA"},MATCH(MAX(I69:M69),I69:M69,0)))</f>
        <v>TVK</v>
      </c>
      <c r="X69" s="7">
        <f t="shared" ref="X69:X132" si="17">MAX(N69:R69)</f>
        <v>0.48662340587809649</v>
      </c>
      <c r="Y69" t="str">
        <f>IF(ISNUMBER(MATCH(A69,{"Maduravoyal","Ambattur","Madavaram","Thiruvottiyur","Sholinganallur","Alandur"},0)),"Chennai",B69)</f>
        <v>Kallakurichi</v>
      </c>
    </row>
    <row r="70" spans="1:25" x14ac:dyDescent="0.2">
      <c r="A70" s="3" t="s">
        <v>134</v>
      </c>
      <c r="B70" t="s">
        <v>133</v>
      </c>
      <c r="C70" s="11">
        <v>11</v>
      </c>
      <c r="D70" s="11">
        <v>2</v>
      </c>
      <c r="E70" s="11">
        <v>7</v>
      </c>
      <c r="F70" s="11">
        <v>3</v>
      </c>
      <c r="G70" s="11">
        <v>0</v>
      </c>
      <c r="H70">
        <f t="shared" si="9"/>
        <v>23</v>
      </c>
      <c r="I70" s="7">
        <f t="shared" si="10"/>
        <v>0.47826086956521741</v>
      </c>
      <c r="J70" s="7">
        <f t="shared" si="11"/>
        <v>8.6956521739130432E-2</v>
      </c>
      <c r="K70" s="7">
        <f t="shared" si="12"/>
        <v>0.30434782608695654</v>
      </c>
      <c r="L70" s="7">
        <f t="shared" si="13"/>
        <v>0.13043478260869565</v>
      </c>
      <c r="M70" s="7">
        <f t="shared" si="14"/>
        <v>0</v>
      </c>
      <c r="N70" s="7">
        <f>MAX(0,I70+'Statewide Votes'!$H$9/100)</f>
        <v>0.4336342754433139</v>
      </c>
      <c r="O70" s="7">
        <f>MAX(0,J70+'Statewide Votes'!$I$9/100)</f>
        <v>9.4356028228956501E-2</v>
      </c>
      <c r="P70" s="7">
        <f>MAX(0,K70+'Statewide Votes'!$J$9/100)</f>
        <v>0.34869578220965214</v>
      </c>
      <c r="Q70" s="7">
        <f>MAX(0,L70+'Statewide Votes'!$K$9/100)</f>
        <v>0.12165146591093577</v>
      </c>
      <c r="R70" s="7">
        <f>MAX(0,M70+'Statewide Votes'!$L$9/100)</f>
        <v>1.662448207141779E-3</v>
      </c>
      <c r="S70" t="str">
        <f>IF(U70=0,"Tie",INDEX({"TVK","AIADMK+BJP+PMK+AMMK","DMK+INC+VCK","NTK","NOTA"},MATCH(MAX(N70:R70),N70:R70,0)))</f>
        <v>TVK</v>
      </c>
      <c r="T70" t="str">
        <f>INDEX({"TVK","AIADMK+BJP+PMK+AMMK","DMK+INC+VCK","NTK","NOTA"},MATCH(LARGE(N70:R70,2),N70:R70,0))</f>
        <v>DMK+INC+VCK</v>
      </c>
      <c r="U70">
        <f t="shared" si="15"/>
        <v>8.5</v>
      </c>
      <c r="V70" t="str">
        <f t="shared" si="16"/>
        <v>Lean</v>
      </c>
      <c r="W70" t="str">
        <f>IF(LARGE(I70:M70,1)=LARGE(I70:M70,2),"Tie",INDEX({"TVK","AIADMK+BJP+PMK+AMMK","DMK+INC+VCK","NTK","NOTA"},MATCH(MAX(I70:M70),I70:M70,0)))</f>
        <v>TVK</v>
      </c>
      <c r="X70" s="7">
        <f t="shared" si="17"/>
        <v>0.4336342754433139</v>
      </c>
      <c r="Y70" t="str">
        <f>IF(ISNUMBER(MATCH(A70,{"Maduravoyal","Ambattur","Madavaram","Thiruvottiyur","Sholinganallur","Alandur"},0)),"Chennai",B70)</f>
        <v>Kallakurichi</v>
      </c>
    </row>
    <row r="71" spans="1:25" x14ac:dyDescent="0.2">
      <c r="A71" s="3" t="s">
        <v>135</v>
      </c>
      <c r="B71" t="s">
        <v>133</v>
      </c>
      <c r="C71" s="11">
        <v>16</v>
      </c>
      <c r="D71" s="11">
        <v>4</v>
      </c>
      <c r="E71" s="11">
        <v>4</v>
      </c>
      <c r="F71" s="11">
        <v>1</v>
      </c>
      <c r="G71" s="11">
        <v>0</v>
      </c>
      <c r="H71">
        <f t="shared" si="9"/>
        <v>25</v>
      </c>
      <c r="I71" s="7">
        <f t="shared" si="10"/>
        <v>0.64</v>
      </c>
      <c r="J71" s="7">
        <f t="shared" si="11"/>
        <v>0.16</v>
      </c>
      <c r="K71" s="7">
        <f t="shared" si="12"/>
        <v>0.16</v>
      </c>
      <c r="L71" s="7">
        <f t="shared" si="13"/>
        <v>0.04</v>
      </c>
      <c r="M71" s="7">
        <f t="shared" si="14"/>
        <v>0</v>
      </c>
      <c r="N71" s="7">
        <f>MAX(0,I71+'Statewide Votes'!$H$9/100)</f>
        <v>0.59537340587809651</v>
      </c>
      <c r="O71" s="7">
        <f>MAX(0,J71+'Statewide Votes'!$I$9/100)</f>
        <v>0.16739950648982607</v>
      </c>
      <c r="P71" s="7">
        <f>MAX(0,K71+'Statewide Votes'!$J$9/100)</f>
        <v>0.2043479561226956</v>
      </c>
      <c r="Q71" s="7">
        <f>MAX(0,L71+'Statewide Votes'!$K$9/100)</f>
        <v>3.1216683302240124E-2</v>
      </c>
      <c r="R71" s="7">
        <f>MAX(0,M71+'Statewide Votes'!$L$9/100)</f>
        <v>1.662448207141779E-3</v>
      </c>
      <c r="S71" t="str">
        <f>IF(U71=0,"Tie",INDEX({"TVK","AIADMK+BJP+PMK+AMMK","DMK+INC+VCK","NTK","NOTA"},MATCH(MAX(N71:R71),N71:R71,0)))</f>
        <v>TVK</v>
      </c>
      <c r="T71" t="str">
        <f>INDEX({"TVK","AIADMK+BJP+PMK+AMMK","DMK+INC+VCK","NTK","NOTA"},MATCH(LARGE(N71:R71,2),N71:R71,0))</f>
        <v>DMK+INC+VCK</v>
      </c>
      <c r="U71">
        <f t="shared" si="15"/>
        <v>39.1</v>
      </c>
      <c r="V71" t="str">
        <f t="shared" si="16"/>
        <v>Lean</v>
      </c>
      <c r="W71" t="str">
        <f>IF(LARGE(I71:M71,1)=LARGE(I71:M71,2),"Tie",INDEX({"TVK","AIADMK+BJP+PMK+AMMK","DMK+INC+VCK","NTK","NOTA"},MATCH(MAX(I71:M71),I71:M71,0)))</f>
        <v>TVK</v>
      </c>
      <c r="X71" s="7">
        <f t="shared" si="17"/>
        <v>0.59537340587809651</v>
      </c>
      <c r="Y71" t="str">
        <f>IF(ISNUMBER(MATCH(A71,{"Maduravoyal","Ambattur","Madavaram","Thiruvottiyur","Sholinganallur","Alandur"},0)),"Chennai",B71)</f>
        <v>Kallakurichi</v>
      </c>
    </row>
    <row r="72" spans="1:25" x14ac:dyDescent="0.2">
      <c r="A72" s="3" t="s">
        <v>136</v>
      </c>
      <c r="B72" t="s">
        <v>133</v>
      </c>
      <c r="C72" s="11">
        <v>12</v>
      </c>
      <c r="D72" s="11">
        <v>5</v>
      </c>
      <c r="E72" s="11">
        <v>6</v>
      </c>
      <c r="F72" s="11">
        <v>2</v>
      </c>
      <c r="G72" s="11">
        <v>0</v>
      </c>
      <c r="H72">
        <f t="shared" si="9"/>
        <v>25</v>
      </c>
      <c r="I72" s="7">
        <f t="shared" si="10"/>
        <v>0.48</v>
      </c>
      <c r="J72" s="7">
        <f t="shared" si="11"/>
        <v>0.2</v>
      </c>
      <c r="K72" s="7">
        <f t="shared" si="12"/>
        <v>0.24</v>
      </c>
      <c r="L72" s="7">
        <f t="shared" si="13"/>
        <v>0.08</v>
      </c>
      <c r="M72" s="7">
        <f t="shared" si="14"/>
        <v>0</v>
      </c>
      <c r="N72" s="7">
        <f>MAX(0,I72+'Statewide Votes'!$H$9/100)</f>
        <v>0.43537340587809648</v>
      </c>
      <c r="O72" s="7">
        <f>MAX(0,J72+'Statewide Votes'!$I$9/100)</f>
        <v>0.20739950648982608</v>
      </c>
      <c r="P72" s="7">
        <f>MAX(0,K72+'Statewide Votes'!$J$9/100)</f>
        <v>0.28434795612269559</v>
      </c>
      <c r="Q72" s="7">
        <f>MAX(0,L72+'Statewide Votes'!$K$9/100)</f>
        <v>7.1216683302240125E-2</v>
      </c>
      <c r="R72" s="7">
        <f>MAX(0,M72+'Statewide Votes'!$L$9/100)</f>
        <v>1.662448207141779E-3</v>
      </c>
      <c r="S72" t="str">
        <f>IF(U72=0,"Tie",INDEX({"TVK","AIADMK+BJP+PMK+AMMK","DMK+INC+VCK","NTK","NOTA"},MATCH(MAX(N72:R72),N72:R72,0)))</f>
        <v>TVK</v>
      </c>
      <c r="T72" t="str">
        <f>INDEX({"TVK","AIADMK+BJP+PMK+AMMK","DMK+INC+VCK","NTK","NOTA"},MATCH(LARGE(N72:R72,2),N72:R72,0))</f>
        <v>DMK+INC+VCK</v>
      </c>
      <c r="U72">
        <f t="shared" si="15"/>
        <v>15.1</v>
      </c>
      <c r="V72" t="str">
        <f t="shared" si="16"/>
        <v>Lean</v>
      </c>
      <c r="W72" t="str">
        <f>IF(LARGE(I72:M72,1)=LARGE(I72:M72,2),"Tie",INDEX({"TVK","AIADMK+BJP+PMK+AMMK","DMK+INC+VCK","NTK","NOTA"},MATCH(MAX(I72:M72),I72:M72,0)))</f>
        <v>TVK</v>
      </c>
      <c r="X72" s="7">
        <f t="shared" si="17"/>
        <v>0.43537340587809648</v>
      </c>
      <c r="Y72" t="str">
        <f>IF(ISNUMBER(MATCH(A72,{"Maduravoyal","Ambattur","Madavaram","Thiruvottiyur","Sholinganallur","Alandur"},0)),"Chennai",B72)</f>
        <v>Kallakurichi</v>
      </c>
    </row>
    <row r="73" spans="1:25" x14ac:dyDescent="0.2">
      <c r="A73" s="3" t="s">
        <v>137</v>
      </c>
      <c r="B73" t="s">
        <v>138</v>
      </c>
      <c r="C73" s="11">
        <v>16</v>
      </c>
      <c r="D73" s="11">
        <v>23</v>
      </c>
      <c r="E73" s="11">
        <v>14</v>
      </c>
      <c r="F73" s="11">
        <v>3</v>
      </c>
      <c r="G73" s="11">
        <v>0</v>
      </c>
      <c r="H73">
        <f t="shared" si="9"/>
        <v>56</v>
      </c>
      <c r="I73" s="7">
        <f t="shared" si="10"/>
        <v>0.2857142857142857</v>
      </c>
      <c r="J73" s="7">
        <f t="shared" si="11"/>
        <v>0.4107142857142857</v>
      </c>
      <c r="K73" s="7">
        <f t="shared" si="12"/>
        <v>0.25</v>
      </c>
      <c r="L73" s="7">
        <f t="shared" si="13"/>
        <v>5.3571428571428568E-2</v>
      </c>
      <c r="M73" s="7">
        <f t="shared" si="14"/>
        <v>0</v>
      </c>
      <c r="N73" s="7">
        <f>MAX(0,I73+'Statewide Votes'!$H$9/100)</f>
        <v>0.24108769159238219</v>
      </c>
      <c r="O73" s="7">
        <f>MAX(0,J73+'Statewide Votes'!$I$9/100)</f>
        <v>0.41811379220411177</v>
      </c>
      <c r="P73" s="7">
        <f>MAX(0,K73+'Statewide Votes'!$J$9/100)</f>
        <v>0.2943479561226956</v>
      </c>
      <c r="Q73" s="7">
        <f>MAX(0,L73+'Statewide Votes'!$K$9/100)</f>
        <v>4.4788111873668691E-2</v>
      </c>
      <c r="R73" s="7">
        <f>MAX(0,M73+'Statewide Votes'!$L$9/100)</f>
        <v>1.662448207141779E-3</v>
      </c>
      <c r="S73" t="str">
        <f>IF(U73=0,"Tie",INDEX({"TVK","AIADMK+BJP+PMK+AMMK","DMK+INC+VCK","NTK","NOTA"},MATCH(MAX(N73:R73),N73:R73,0)))</f>
        <v>AIADMK+BJP+PMK+AMMK</v>
      </c>
      <c r="T73" t="str">
        <f>INDEX({"TVK","AIADMK+BJP+PMK+AMMK","DMK+INC+VCK","NTK","NOTA"},MATCH(LARGE(N73:R73,2),N73:R73,0))</f>
        <v>DMK+INC+VCK</v>
      </c>
      <c r="U73">
        <f t="shared" si="15"/>
        <v>12.4</v>
      </c>
      <c r="V73" t="str">
        <f t="shared" si="16"/>
        <v>Strong</v>
      </c>
      <c r="W73" t="str">
        <f>IF(LARGE(I73:M73,1)=LARGE(I73:M73,2),"Tie",INDEX({"TVK","AIADMK+BJP+PMK+AMMK","DMK+INC+VCK","NTK","NOTA"},MATCH(MAX(I73:M73),I73:M73,0)))</f>
        <v>AIADMK+BJP+PMK+AMMK</v>
      </c>
      <c r="X73" s="7">
        <f t="shared" si="17"/>
        <v>0.41811379220411177</v>
      </c>
      <c r="Y73" t="str">
        <f>IF(ISNUMBER(MATCH(A73,{"Maduravoyal","Ambattur","Madavaram","Thiruvottiyur","Sholinganallur","Alandur"},0)),"Chennai",B73)</f>
        <v>Chennai</v>
      </c>
    </row>
    <row r="74" spans="1:25" x14ac:dyDescent="0.2">
      <c r="A74" s="3" t="s">
        <v>138</v>
      </c>
      <c r="B74" t="s">
        <v>138</v>
      </c>
      <c r="C74" s="11">
        <v>34</v>
      </c>
      <c r="D74" s="11">
        <v>11</v>
      </c>
      <c r="E74" s="11">
        <v>12</v>
      </c>
      <c r="F74" s="11">
        <v>5</v>
      </c>
      <c r="G74" s="11">
        <v>0</v>
      </c>
      <c r="H74">
        <f t="shared" si="9"/>
        <v>62</v>
      </c>
      <c r="I74" s="7">
        <f t="shared" si="10"/>
        <v>0.54838709677419351</v>
      </c>
      <c r="J74" s="7">
        <f t="shared" si="11"/>
        <v>0.17741935483870969</v>
      </c>
      <c r="K74" s="7">
        <f t="shared" si="12"/>
        <v>0.19354838709677419</v>
      </c>
      <c r="L74" s="7">
        <f t="shared" si="13"/>
        <v>8.0645161290322578E-2</v>
      </c>
      <c r="M74" s="7">
        <f t="shared" si="14"/>
        <v>0</v>
      </c>
      <c r="N74" s="7">
        <f>MAX(0,I74+'Statewide Votes'!$H$9/100)</f>
        <v>0.50376050265229</v>
      </c>
      <c r="O74" s="7">
        <f>MAX(0,J74+'Statewide Votes'!$I$9/100)</f>
        <v>0.18481886132853576</v>
      </c>
      <c r="P74" s="7">
        <f>MAX(0,K74+'Statewide Votes'!$J$9/100)</f>
        <v>0.23789634321946979</v>
      </c>
      <c r="Q74" s="7">
        <f>MAX(0,L74+'Statewide Votes'!$K$9/100)</f>
        <v>7.1861844592562701E-2</v>
      </c>
      <c r="R74" s="7">
        <f>MAX(0,M74+'Statewide Votes'!$L$9/100)</f>
        <v>1.662448207141779E-3</v>
      </c>
      <c r="S74" t="str">
        <f>IF(U74=0,"Tie",INDEX({"TVK","AIADMK+BJP+PMK+AMMK","DMK+INC+VCK","NTK","NOTA"},MATCH(MAX(N74:R74),N74:R74,0)))</f>
        <v>TVK</v>
      </c>
      <c r="T74" t="str">
        <f>INDEX({"TVK","AIADMK+BJP+PMK+AMMK","DMK+INC+VCK","NTK","NOTA"},MATCH(LARGE(N74:R74,2),N74:R74,0))</f>
        <v>DMK+INC+VCK</v>
      </c>
      <c r="U74">
        <f t="shared" si="15"/>
        <v>26.6</v>
      </c>
      <c r="V74" t="str">
        <f t="shared" si="16"/>
        <v>Strong</v>
      </c>
      <c r="W74" t="str">
        <f>IF(LARGE(I74:M74,1)=LARGE(I74:M74,2),"Tie",INDEX({"TVK","AIADMK+BJP+PMK+AMMK","DMK+INC+VCK","NTK","NOTA"},MATCH(MAX(I74:M74),I74:M74,0)))</f>
        <v>TVK</v>
      </c>
      <c r="X74" s="7">
        <f t="shared" si="17"/>
        <v>0.50376050265229</v>
      </c>
      <c r="Y74" t="str">
        <f>IF(ISNUMBER(MATCH(A74,{"Maduravoyal","Ambattur","Madavaram","Thiruvottiyur","Sholinganallur","Alandur"},0)),"Chennai",B74)</f>
        <v>Kancheepuram</v>
      </c>
    </row>
    <row r="75" spans="1:25" x14ac:dyDescent="0.2">
      <c r="A75" s="3" t="s">
        <v>139</v>
      </c>
      <c r="B75" t="s">
        <v>138</v>
      </c>
      <c r="C75" s="11">
        <v>17</v>
      </c>
      <c r="D75" s="11">
        <v>12</v>
      </c>
      <c r="E75" s="11">
        <v>16</v>
      </c>
      <c r="F75" s="11">
        <v>3</v>
      </c>
      <c r="G75" s="11">
        <v>0</v>
      </c>
      <c r="H75">
        <f t="shared" si="9"/>
        <v>48</v>
      </c>
      <c r="I75" s="7">
        <f t="shared" si="10"/>
        <v>0.35416666666666669</v>
      </c>
      <c r="J75" s="7">
        <f t="shared" si="11"/>
        <v>0.25</v>
      </c>
      <c r="K75" s="7">
        <f t="shared" si="12"/>
        <v>0.33333333333333331</v>
      </c>
      <c r="L75" s="7">
        <f t="shared" si="13"/>
        <v>6.25E-2</v>
      </c>
      <c r="M75" s="7">
        <f t="shared" si="14"/>
        <v>0</v>
      </c>
      <c r="N75" s="7">
        <f>MAX(0,I75+'Statewide Votes'!$H$9/100)</f>
        <v>0.30954007254476318</v>
      </c>
      <c r="O75" s="7">
        <f>MAX(0,J75+'Statewide Votes'!$I$9/100)</f>
        <v>0.25739950648982607</v>
      </c>
      <c r="P75" s="7">
        <f>MAX(0,K75+'Statewide Votes'!$J$9/100)</f>
        <v>0.37768128945602891</v>
      </c>
      <c r="Q75" s="7">
        <f>MAX(0,L75+'Statewide Votes'!$K$9/100)</f>
        <v>5.3716683302240123E-2</v>
      </c>
      <c r="R75" s="7">
        <f>MAX(0,M75+'Statewide Votes'!$L$9/100)</f>
        <v>1.662448207141779E-3</v>
      </c>
      <c r="S75" t="str">
        <f>IF(U75=0,"Tie",INDEX({"TVK","AIADMK+BJP+PMK+AMMK","DMK+INC+VCK","NTK","NOTA"},MATCH(MAX(N75:R75),N75:R75,0)))</f>
        <v>DMK+INC+VCK</v>
      </c>
      <c r="T75" t="str">
        <f>INDEX({"TVK","AIADMK+BJP+PMK+AMMK","DMK+INC+VCK","NTK","NOTA"},MATCH(LARGE(N75:R75,2),N75:R75,0))</f>
        <v>TVK</v>
      </c>
      <c r="U75">
        <f t="shared" si="15"/>
        <v>6.8</v>
      </c>
      <c r="V75" t="str">
        <f t="shared" si="16"/>
        <v>Lean</v>
      </c>
      <c r="W75" t="str">
        <f>IF(LARGE(I75:M75,1)=LARGE(I75:M75,2),"Tie",INDEX({"TVK","AIADMK+BJP+PMK+AMMK","DMK+INC+VCK","NTK","NOTA"},MATCH(MAX(I75:M75),I75:M75,0)))</f>
        <v>TVK</v>
      </c>
      <c r="X75" s="7">
        <f t="shared" si="17"/>
        <v>0.37768128945602891</v>
      </c>
      <c r="Y75" t="str">
        <f>IF(ISNUMBER(MATCH(A75,{"Maduravoyal","Ambattur","Madavaram","Thiruvottiyur","Sholinganallur","Alandur"},0)),"Chennai",B75)</f>
        <v>Kancheepuram</v>
      </c>
    </row>
    <row r="76" spans="1:25" x14ac:dyDescent="0.2">
      <c r="A76" s="3" t="s">
        <v>140</v>
      </c>
      <c r="B76" t="s">
        <v>138</v>
      </c>
      <c r="C76" s="11">
        <v>3</v>
      </c>
      <c r="D76" s="11">
        <v>11</v>
      </c>
      <c r="E76" s="11">
        <v>11</v>
      </c>
      <c r="F76" s="11">
        <v>0</v>
      </c>
      <c r="G76" s="11">
        <v>0</v>
      </c>
      <c r="H76">
        <f t="shared" si="9"/>
        <v>25</v>
      </c>
      <c r="I76" s="7">
        <f t="shared" si="10"/>
        <v>0.12</v>
      </c>
      <c r="J76" s="7">
        <f t="shared" si="11"/>
        <v>0.44</v>
      </c>
      <c r="K76" s="7">
        <f t="shared" si="12"/>
        <v>0.44</v>
      </c>
      <c r="L76" s="7">
        <f t="shared" si="13"/>
        <v>0</v>
      </c>
      <c r="M76" s="7">
        <f t="shared" si="14"/>
        <v>0</v>
      </c>
      <c r="N76" s="7">
        <f>MAX(0,I76+'Statewide Votes'!$H$9/100)</f>
        <v>7.5373405878096489E-2</v>
      </c>
      <c r="O76" s="7">
        <f>MAX(0,J76+'Statewide Votes'!$I$9/100)</f>
        <v>0.44739950648982607</v>
      </c>
      <c r="P76" s="7">
        <f>MAX(0,K76+'Statewide Votes'!$J$9/100)</f>
        <v>0.4843479561226956</v>
      </c>
      <c r="Q76" s="7">
        <f>MAX(0,L76+'Statewide Votes'!$K$9/100)</f>
        <v>0</v>
      </c>
      <c r="R76" s="7">
        <f>MAX(0,M76+'Statewide Votes'!$L$9/100)</f>
        <v>1.662448207141779E-3</v>
      </c>
      <c r="S76" t="str">
        <f>IF(U76=0,"Tie",INDEX({"TVK","AIADMK+BJP+PMK+AMMK","DMK+INC+VCK","NTK","NOTA"},MATCH(MAX(N76:R76),N76:R76,0)))</f>
        <v>DMK+INC+VCK</v>
      </c>
      <c r="T76" t="str">
        <f>INDEX({"TVK","AIADMK+BJP+PMK+AMMK","DMK+INC+VCK","NTK","NOTA"},MATCH(LARGE(N76:R76,2),N76:R76,0))</f>
        <v>AIADMK+BJP+PMK+AMMK</v>
      </c>
      <c r="U76">
        <f t="shared" si="15"/>
        <v>3.7</v>
      </c>
      <c r="V76" t="str">
        <f t="shared" si="16"/>
        <v>Toss-up</v>
      </c>
      <c r="W76" t="str">
        <f>IF(LARGE(I76:M76,1)=LARGE(I76:M76,2),"Tie",INDEX({"TVK","AIADMK+BJP+PMK+AMMK","DMK+INC+VCK","NTK","NOTA"},MATCH(MAX(I76:M76),I76:M76,0)))</f>
        <v>Tie</v>
      </c>
      <c r="X76" s="7">
        <f t="shared" si="17"/>
        <v>0.4843479561226956</v>
      </c>
      <c r="Y76" t="str">
        <f>IF(ISNUMBER(MATCH(A76,{"Maduravoyal","Ambattur","Madavaram","Thiruvottiyur","Sholinganallur","Alandur"},0)),"Chennai",B76)</f>
        <v>Kancheepuram</v>
      </c>
    </row>
    <row r="77" spans="1:25" x14ac:dyDescent="0.2">
      <c r="A77" s="3" t="s">
        <v>141</v>
      </c>
      <c r="B77" t="s">
        <v>142</v>
      </c>
      <c r="C77" s="11">
        <v>24</v>
      </c>
      <c r="D77" s="11">
        <v>17</v>
      </c>
      <c r="E77" s="11">
        <v>17</v>
      </c>
      <c r="F77" s="11">
        <v>4</v>
      </c>
      <c r="G77" s="11">
        <v>0</v>
      </c>
      <c r="H77">
        <f t="shared" si="9"/>
        <v>62</v>
      </c>
      <c r="I77" s="7">
        <f t="shared" si="10"/>
        <v>0.38709677419354838</v>
      </c>
      <c r="J77" s="7">
        <f t="shared" si="11"/>
        <v>0.27419354838709675</v>
      </c>
      <c r="K77" s="7">
        <f t="shared" si="12"/>
        <v>0.27419354838709675</v>
      </c>
      <c r="L77" s="7">
        <f t="shared" si="13"/>
        <v>6.4516129032258063E-2</v>
      </c>
      <c r="M77" s="7">
        <f t="shared" si="14"/>
        <v>0</v>
      </c>
      <c r="N77" s="7">
        <f>MAX(0,I77+'Statewide Votes'!$H$9/100)</f>
        <v>0.34247018007164487</v>
      </c>
      <c r="O77" s="7">
        <f>MAX(0,J77+'Statewide Votes'!$I$9/100)</f>
        <v>0.28159305487692282</v>
      </c>
      <c r="P77" s="7">
        <f>MAX(0,K77+'Statewide Votes'!$J$9/100)</f>
        <v>0.31854150450979235</v>
      </c>
      <c r="Q77" s="7">
        <f>MAX(0,L77+'Statewide Votes'!$K$9/100)</f>
        <v>5.5732812334498186E-2</v>
      </c>
      <c r="R77" s="7">
        <f>MAX(0,M77+'Statewide Votes'!$L$9/100)</f>
        <v>1.662448207141779E-3</v>
      </c>
      <c r="S77" t="str">
        <f>IF(U77=0,"Tie",INDEX({"TVK","AIADMK+BJP+PMK+AMMK","DMK+INC+VCK","NTK","NOTA"},MATCH(MAX(N77:R77),N77:R77,0)))</f>
        <v>TVK</v>
      </c>
      <c r="T77" t="str">
        <f>INDEX({"TVK","AIADMK+BJP+PMK+AMMK","DMK+INC+VCK","NTK","NOTA"},MATCH(LARGE(N77:R77,2),N77:R77,0))</f>
        <v>DMK+INC+VCK</v>
      </c>
      <c r="U77">
        <f t="shared" si="15"/>
        <v>2.4</v>
      </c>
      <c r="V77" t="str">
        <f t="shared" si="16"/>
        <v>Toss-up</v>
      </c>
      <c r="W77" t="str">
        <f>IF(LARGE(I77:M77,1)=LARGE(I77:M77,2),"Tie",INDEX({"TVK","AIADMK+BJP+PMK+AMMK","DMK+INC+VCK","NTK","NOTA"},MATCH(MAX(I77:M77),I77:M77,0)))</f>
        <v>TVK</v>
      </c>
      <c r="X77" s="7">
        <f t="shared" si="17"/>
        <v>0.34247018007164487</v>
      </c>
      <c r="Y77" t="str">
        <f>IF(ISNUMBER(MATCH(A77,{"Maduravoyal","Ambattur","Madavaram","Thiruvottiyur","Sholinganallur","Alandur"},0)),"Chennai",B77)</f>
        <v>Kanniyakumari</v>
      </c>
    </row>
    <row r="78" spans="1:25" x14ac:dyDescent="0.2">
      <c r="A78" s="3" t="s">
        <v>142</v>
      </c>
      <c r="B78" t="s">
        <v>142</v>
      </c>
      <c r="C78" s="11">
        <v>21</v>
      </c>
      <c r="D78" s="11">
        <v>30</v>
      </c>
      <c r="E78" s="11">
        <v>20</v>
      </c>
      <c r="F78" s="11">
        <v>7</v>
      </c>
      <c r="G78" s="11">
        <v>1</v>
      </c>
      <c r="H78">
        <f t="shared" si="9"/>
        <v>79</v>
      </c>
      <c r="I78" s="7">
        <f t="shared" si="10"/>
        <v>0.26582278481012656</v>
      </c>
      <c r="J78" s="7">
        <f t="shared" si="11"/>
        <v>0.379746835443038</v>
      </c>
      <c r="K78" s="7">
        <f t="shared" si="12"/>
        <v>0.25316455696202533</v>
      </c>
      <c r="L78" s="7">
        <f t="shared" si="13"/>
        <v>8.8607594936708861E-2</v>
      </c>
      <c r="M78" s="7">
        <f t="shared" si="14"/>
        <v>1.2658227848101266E-2</v>
      </c>
      <c r="N78" s="7">
        <f>MAX(0,I78+'Statewide Votes'!$H$9/100)</f>
        <v>0.22119619068822305</v>
      </c>
      <c r="O78" s="7">
        <f>MAX(0,J78+'Statewide Votes'!$I$9/100)</f>
        <v>0.38714634193286407</v>
      </c>
      <c r="P78" s="7">
        <f>MAX(0,K78+'Statewide Votes'!$J$9/100)</f>
        <v>0.29751251308472093</v>
      </c>
      <c r="Q78" s="7">
        <f>MAX(0,L78+'Statewide Votes'!$K$9/100)</f>
        <v>7.9824278238948984E-2</v>
      </c>
      <c r="R78" s="7">
        <f>MAX(0,M78+'Statewide Votes'!$L$9/100)</f>
        <v>1.4320676055243044E-2</v>
      </c>
      <c r="S78" t="str">
        <f>IF(U78=0,"Tie",INDEX({"TVK","AIADMK+BJP+PMK+AMMK","DMK+INC+VCK","NTK","NOTA"},MATCH(MAX(N78:R78),N78:R78,0)))</f>
        <v>AIADMK+BJP+PMK+AMMK</v>
      </c>
      <c r="T78" t="str">
        <f>INDEX({"TVK","AIADMK+BJP+PMK+AMMK","DMK+INC+VCK","NTK","NOTA"},MATCH(LARGE(N78:R78,2),N78:R78,0))</f>
        <v>DMK+INC+VCK</v>
      </c>
      <c r="U78">
        <f t="shared" si="15"/>
        <v>9</v>
      </c>
      <c r="V78" t="str">
        <f t="shared" si="16"/>
        <v>Lean</v>
      </c>
      <c r="W78" t="str">
        <f>IF(LARGE(I78:M78,1)=LARGE(I78:M78,2),"Tie",INDEX({"TVK","AIADMK+BJP+PMK+AMMK","DMK+INC+VCK","NTK","NOTA"},MATCH(MAX(I78:M78),I78:M78,0)))</f>
        <v>AIADMK+BJP+PMK+AMMK</v>
      </c>
      <c r="X78" s="7">
        <f t="shared" si="17"/>
        <v>0.38714634193286407</v>
      </c>
      <c r="Y78" t="str">
        <f>IF(ISNUMBER(MATCH(A78,{"Maduravoyal","Ambattur","Madavaram","Thiruvottiyur","Sholinganallur","Alandur"},0)),"Chennai",B78)</f>
        <v>Kanniyakumari</v>
      </c>
    </row>
    <row r="79" spans="1:25" x14ac:dyDescent="0.2">
      <c r="A79" s="3" t="s">
        <v>143</v>
      </c>
      <c r="B79" t="s">
        <v>142</v>
      </c>
      <c r="C79" s="11">
        <v>23</v>
      </c>
      <c r="D79" s="11">
        <v>8</v>
      </c>
      <c r="E79" s="11">
        <v>10</v>
      </c>
      <c r="F79" s="11">
        <v>3</v>
      </c>
      <c r="G79" s="11">
        <v>0</v>
      </c>
      <c r="H79">
        <f t="shared" si="9"/>
        <v>44</v>
      </c>
      <c r="I79" s="7">
        <f t="shared" si="10"/>
        <v>0.52272727272727271</v>
      </c>
      <c r="J79" s="7">
        <f t="shared" si="11"/>
        <v>0.18181818181818182</v>
      </c>
      <c r="K79" s="7">
        <f t="shared" si="12"/>
        <v>0.22727272727272727</v>
      </c>
      <c r="L79" s="7">
        <f t="shared" si="13"/>
        <v>6.8181818181818177E-2</v>
      </c>
      <c r="M79" s="7">
        <f t="shared" si="14"/>
        <v>0</v>
      </c>
      <c r="N79" s="7">
        <f>MAX(0,I79+'Statewide Votes'!$H$9/100)</f>
        <v>0.4781006786053692</v>
      </c>
      <c r="O79" s="7">
        <f>MAX(0,J79+'Statewide Votes'!$I$9/100)</f>
        <v>0.18921768830800789</v>
      </c>
      <c r="P79" s="7">
        <f>MAX(0,K79+'Statewide Votes'!$J$9/100)</f>
        <v>0.27162068339542289</v>
      </c>
      <c r="Q79" s="7">
        <f>MAX(0,L79+'Statewide Votes'!$K$9/100)</f>
        <v>5.93985014840583E-2</v>
      </c>
      <c r="R79" s="7">
        <f>MAX(0,M79+'Statewide Votes'!$L$9/100)</f>
        <v>1.662448207141779E-3</v>
      </c>
      <c r="S79" t="str">
        <f>IF(U79=0,"Tie",INDEX({"TVK","AIADMK+BJP+PMK+AMMK","DMK+INC+VCK","NTK","NOTA"},MATCH(MAX(N79:R79),N79:R79,0)))</f>
        <v>TVK</v>
      </c>
      <c r="T79" t="str">
        <f>INDEX({"TVK","AIADMK+BJP+PMK+AMMK","DMK+INC+VCK","NTK","NOTA"},MATCH(LARGE(N79:R79,2),N79:R79,0))</f>
        <v>DMK+INC+VCK</v>
      </c>
      <c r="U79">
        <f t="shared" si="15"/>
        <v>20.6</v>
      </c>
      <c r="V79" t="str">
        <f t="shared" si="16"/>
        <v>Strong</v>
      </c>
      <c r="W79" t="str">
        <f>IF(LARGE(I79:M79,1)=LARGE(I79:M79,2),"Tie",INDEX({"TVK","AIADMK+BJP+PMK+AMMK","DMK+INC+VCK","NTK","NOTA"},MATCH(MAX(I79:M79),I79:M79,0)))</f>
        <v>TVK</v>
      </c>
      <c r="X79" s="7">
        <f t="shared" si="17"/>
        <v>0.4781006786053692</v>
      </c>
      <c r="Y79" t="str">
        <f>IF(ISNUMBER(MATCH(A79,{"Maduravoyal","Ambattur","Madavaram","Thiruvottiyur","Sholinganallur","Alandur"},0)),"Chennai",B79)</f>
        <v>Kanniyakumari</v>
      </c>
    </row>
    <row r="80" spans="1:25" x14ac:dyDescent="0.2">
      <c r="A80" s="3" t="s">
        <v>144</v>
      </c>
      <c r="B80" t="s">
        <v>142</v>
      </c>
      <c r="C80" s="11">
        <v>32</v>
      </c>
      <c r="D80" s="11">
        <v>36</v>
      </c>
      <c r="E80" s="11">
        <v>32</v>
      </c>
      <c r="F80" s="11">
        <v>2</v>
      </c>
      <c r="G80" s="11">
        <v>1</v>
      </c>
      <c r="H80">
        <f t="shared" si="9"/>
        <v>103</v>
      </c>
      <c r="I80" s="7">
        <f t="shared" si="10"/>
        <v>0.31067961165048541</v>
      </c>
      <c r="J80" s="7">
        <f t="shared" si="11"/>
        <v>0.34951456310679613</v>
      </c>
      <c r="K80" s="7">
        <f t="shared" si="12"/>
        <v>0.31067961165048541</v>
      </c>
      <c r="L80" s="7">
        <f t="shared" si="13"/>
        <v>1.9417475728155338E-2</v>
      </c>
      <c r="M80" s="7">
        <f t="shared" si="14"/>
        <v>9.7087378640776691E-3</v>
      </c>
      <c r="N80" s="7">
        <f>MAX(0,I80+'Statewide Votes'!$H$9/100)</f>
        <v>0.2660530175285819</v>
      </c>
      <c r="O80" s="7">
        <f>MAX(0,J80+'Statewide Votes'!$I$9/100)</f>
        <v>0.3569140695966222</v>
      </c>
      <c r="P80" s="7">
        <f>MAX(0,K80+'Statewide Votes'!$J$9/100)</f>
        <v>0.35502756777318101</v>
      </c>
      <c r="Q80" s="7">
        <f>MAX(0,L80+'Statewide Votes'!$K$9/100)</f>
        <v>1.0634159030395461E-2</v>
      </c>
      <c r="R80" s="7">
        <f>MAX(0,M80+'Statewide Votes'!$L$9/100)</f>
        <v>1.1371186071219449E-2</v>
      </c>
      <c r="S80" t="str">
        <f>IF(U80=0,"Tie",INDEX({"TVK","AIADMK+BJP+PMK+AMMK","DMK+INC+VCK","NTK","NOTA"},MATCH(MAX(N80:R80),N80:R80,0)))</f>
        <v>AIADMK+BJP+PMK+AMMK</v>
      </c>
      <c r="T80" t="str">
        <f>INDEX({"TVK","AIADMK+BJP+PMK+AMMK","DMK+INC+VCK","NTK","NOTA"},MATCH(LARGE(N80:R80,2),N80:R80,0))</f>
        <v>DMK+INC+VCK</v>
      </c>
      <c r="U80">
        <f t="shared" si="15"/>
        <v>0.2</v>
      </c>
      <c r="V80" t="str">
        <f t="shared" si="16"/>
        <v>Toss-up</v>
      </c>
      <c r="W80" t="str">
        <f>IF(LARGE(I80:M80,1)=LARGE(I80:M80,2),"Tie",INDEX({"TVK","AIADMK+BJP+PMK+AMMK","DMK+INC+VCK","NTK","NOTA"},MATCH(MAX(I80:M80),I80:M80,0)))</f>
        <v>AIADMK+BJP+PMK+AMMK</v>
      </c>
      <c r="X80" s="7">
        <f t="shared" si="17"/>
        <v>0.3569140695966222</v>
      </c>
      <c r="Y80" t="str">
        <f>IF(ISNUMBER(MATCH(A80,{"Maduravoyal","Ambattur","Madavaram","Thiruvottiyur","Sholinganallur","Alandur"},0)),"Chennai",B80)</f>
        <v>Kanniyakumari</v>
      </c>
    </row>
    <row r="81" spans="1:25" x14ac:dyDescent="0.2">
      <c r="A81" s="3" t="s">
        <v>145</v>
      </c>
      <c r="B81" t="s">
        <v>142</v>
      </c>
      <c r="C81" s="11">
        <v>19</v>
      </c>
      <c r="D81" s="11">
        <v>15</v>
      </c>
      <c r="E81" s="11">
        <v>14</v>
      </c>
      <c r="F81" s="11">
        <v>3</v>
      </c>
      <c r="G81" s="11">
        <v>0</v>
      </c>
      <c r="H81">
        <f t="shared" si="9"/>
        <v>51</v>
      </c>
      <c r="I81" s="7">
        <f t="shared" si="10"/>
        <v>0.37254901960784315</v>
      </c>
      <c r="J81" s="7">
        <f t="shared" si="11"/>
        <v>0.29411764705882354</v>
      </c>
      <c r="K81" s="7">
        <f t="shared" si="12"/>
        <v>0.27450980392156865</v>
      </c>
      <c r="L81" s="7">
        <f t="shared" si="13"/>
        <v>5.8823529411764705E-2</v>
      </c>
      <c r="M81" s="7">
        <f t="shared" si="14"/>
        <v>0</v>
      </c>
      <c r="N81" s="7">
        <f>MAX(0,I81+'Statewide Votes'!$H$9/100)</f>
        <v>0.32792242548593964</v>
      </c>
      <c r="O81" s="7">
        <f>MAX(0,J81+'Statewide Votes'!$I$9/100)</f>
        <v>0.30151715354864961</v>
      </c>
      <c r="P81" s="7">
        <f>MAX(0,K81+'Statewide Votes'!$J$9/100)</f>
        <v>0.31885776004426425</v>
      </c>
      <c r="Q81" s="7">
        <f>MAX(0,L81+'Statewide Votes'!$K$9/100)</f>
        <v>5.0040212714004828E-2</v>
      </c>
      <c r="R81" s="7">
        <f>MAX(0,M81+'Statewide Votes'!$L$9/100)</f>
        <v>1.662448207141779E-3</v>
      </c>
      <c r="S81" t="str">
        <f>IF(U81=0,"Tie",INDEX({"TVK","AIADMK+BJP+PMK+AMMK","DMK+INC+VCK","NTK","NOTA"},MATCH(MAX(N81:R81),N81:R81,0)))</f>
        <v>TVK</v>
      </c>
      <c r="T81" t="str">
        <f>INDEX({"TVK","AIADMK+BJP+PMK+AMMK","DMK+INC+VCK","NTK","NOTA"},MATCH(LARGE(N81:R81,2),N81:R81,0))</f>
        <v>DMK+INC+VCK</v>
      </c>
      <c r="U81">
        <f t="shared" si="15"/>
        <v>0.9</v>
      </c>
      <c r="V81" t="str">
        <f t="shared" si="16"/>
        <v>Toss-up</v>
      </c>
      <c r="W81" t="str">
        <f>IF(LARGE(I81:M81,1)=LARGE(I81:M81,2),"Tie",INDEX({"TVK","AIADMK+BJP+PMK+AMMK","DMK+INC+VCK","NTK","NOTA"},MATCH(MAX(I81:M81),I81:M81,0)))</f>
        <v>TVK</v>
      </c>
      <c r="X81" s="7">
        <f t="shared" si="17"/>
        <v>0.32792242548593964</v>
      </c>
      <c r="Y81" t="str">
        <f>IF(ISNUMBER(MATCH(A81,{"Maduravoyal","Ambattur","Madavaram","Thiruvottiyur","Sholinganallur","Alandur"},0)),"Chennai",B81)</f>
        <v>Kanniyakumari</v>
      </c>
    </row>
    <row r="82" spans="1:25" x14ac:dyDescent="0.2">
      <c r="A82" s="3" t="s">
        <v>146</v>
      </c>
      <c r="B82" t="s">
        <v>142</v>
      </c>
      <c r="C82" s="11">
        <v>13</v>
      </c>
      <c r="D82" s="11">
        <v>16</v>
      </c>
      <c r="E82" s="11">
        <v>23</v>
      </c>
      <c r="F82" s="11">
        <v>2</v>
      </c>
      <c r="G82" s="11">
        <v>0</v>
      </c>
      <c r="H82">
        <f t="shared" si="9"/>
        <v>54</v>
      </c>
      <c r="I82" s="7">
        <f t="shared" si="10"/>
        <v>0.24074074074074073</v>
      </c>
      <c r="J82" s="7">
        <f t="shared" si="11"/>
        <v>0.29629629629629628</v>
      </c>
      <c r="K82" s="7">
        <f t="shared" si="12"/>
        <v>0.42592592592592593</v>
      </c>
      <c r="L82" s="7">
        <f t="shared" si="13"/>
        <v>3.7037037037037035E-2</v>
      </c>
      <c r="M82" s="7">
        <f t="shared" si="14"/>
        <v>0</v>
      </c>
      <c r="N82" s="7">
        <f>MAX(0,I82+'Statewide Votes'!$H$9/100)</f>
        <v>0.19611414661883722</v>
      </c>
      <c r="O82" s="7">
        <f>MAX(0,J82+'Statewide Votes'!$I$9/100)</f>
        <v>0.30369580278612235</v>
      </c>
      <c r="P82" s="7">
        <f>MAX(0,K82+'Statewide Votes'!$J$9/100)</f>
        <v>0.47027388204862153</v>
      </c>
      <c r="Q82" s="7">
        <f>MAX(0,L82+'Statewide Votes'!$K$9/100)</f>
        <v>2.8253720339277158E-2</v>
      </c>
      <c r="R82" s="7">
        <f>MAX(0,M82+'Statewide Votes'!$L$9/100)</f>
        <v>1.662448207141779E-3</v>
      </c>
      <c r="S82" t="str">
        <f>IF(U82=0,"Tie",INDEX({"TVK","AIADMK+BJP+PMK+AMMK","DMK+INC+VCK","NTK","NOTA"},MATCH(MAX(N82:R82),N82:R82,0)))</f>
        <v>DMK+INC+VCK</v>
      </c>
      <c r="T82" t="str">
        <f>INDEX({"TVK","AIADMK+BJP+PMK+AMMK","DMK+INC+VCK","NTK","NOTA"},MATCH(LARGE(N82:R82,2),N82:R82,0))</f>
        <v>AIADMK+BJP+PMK+AMMK</v>
      </c>
      <c r="U82">
        <f t="shared" si="15"/>
        <v>16.7</v>
      </c>
      <c r="V82" t="str">
        <f t="shared" si="16"/>
        <v>Strong</v>
      </c>
      <c r="W82" t="str">
        <f>IF(LARGE(I82:M82,1)=LARGE(I82:M82,2),"Tie",INDEX({"TVK","AIADMK+BJP+PMK+AMMK","DMK+INC+VCK","NTK","NOTA"},MATCH(MAX(I82:M82),I82:M82,0)))</f>
        <v>DMK+INC+VCK</v>
      </c>
      <c r="X82" s="7">
        <f t="shared" si="17"/>
        <v>0.47027388204862153</v>
      </c>
      <c r="Y82" t="str">
        <f>IF(ISNUMBER(MATCH(A82,{"Maduravoyal","Ambattur","Madavaram","Thiruvottiyur","Sholinganallur","Alandur"},0)),"Chennai",B82)</f>
        <v>Kanniyakumari</v>
      </c>
    </row>
    <row r="83" spans="1:25" x14ac:dyDescent="0.2">
      <c r="A83" s="3" t="s">
        <v>147</v>
      </c>
      <c r="B83" t="s">
        <v>148</v>
      </c>
      <c r="C83" s="11">
        <v>16</v>
      </c>
      <c r="D83" s="11">
        <v>9</v>
      </c>
      <c r="E83" s="11">
        <v>9</v>
      </c>
      <c r="F83" s="11">
        <v>1</v>
      </c>
      <c r="G83" s="11">
        <v>0</v>
      </c>
      <c r="H83">
        <f t="shared" si="9"/>
        <v>35</v>
      </c>
      <c r="I83" s="7">
        <f t="shared" si="10"/>
        <v>0.45714285714285713</v>
      </c>
      <c r="J83" s="7">
        <f t="shared" si="11"/>
        <v>0.25714285714285712</v>
      </c>
      <c r="K83" s="7">
        <f t="shared" si="12"/>
        <v>0.25714285714285712</v>
      </c>
      <c r="L83" s="7">
        <f t="shared" si="13"/>
        <v>2.8571428571428571E-2</v>
      </c>
      <c r="M83" s="7">
        <f t="shared" si="14"/>
        <v>0</v>
      </c>
      <c r="N83" s="7">
        <f>MAX(0,I83+'Statewide Votes'!$H$9/100)</f>
        <v>0.41251626302095362</v>
      </c>
      <c r="O83" s="7">
        <f>MAX(0,J83+'Statewide Votes'!$I$9/100)</f>
        <v>0.26454236363268319</v>
      </c>
      <c r="P83" s="7">
        <f>MAX(0,K83+'Statewide Votes'!$J$9/100)</f>
        <v>0.30149081326555272</v>
      </c>
      <c r="Q83" s="7">
        <f>MAX(0,L83+'Statewide Votes'!$K$9/100)</f>
        <v>1.9788111873668694E-2</v>
      </c>
      <c r="R83" s="7">
        <f>MAX(0,M83+'Statewide Votes'!$L$9/100)</f>
        <v>1.662448207141779E-3</v>
      </c>
      <c r="S83" t="str">
        <f>IF(U83=0,"Tie",INDEX({"TVK","AIADMK+BJP+PMK+AMMK","DMK+INC+VCK","NTK","NOTA"},MATCH(MAX(N83:R83),N83:R83,0)))</f>
        <v>TVK</v>
      </c>
      <c r="T83" t="str">
        <f>INDEX({"TVK","AIADMK+BJP+PMK+AMMK","DMK+INC+VCK","NTK","NOTA"},MATCH(LARGE(N83:R83,2),N83:R83,0))</f>
        <v>DMK+INC+VCK</v>
      </c>
      <c r="U83">
        <f t="shared" si="15"/>
        <v>11.1</v>
      </c>
      <c r="V83" t="str">
        <f t="shared" si="16"/>
        <v>Strong</v>
      </c>
      <c r="W83" t="str">
        <f>IF(LARGE(I83:M83,1)=LARGE(I83:M83,2),"Tie",INDEX({"TVK","AIADMK+BJP+PMK+AMMK","DMK+INC+VCK","NTK","NOTA"},MATCH(MAX(I83:M83),I83:M83,0)))</f>
        <v>TVK</v>
      </c>
      <c r="X83" s="7">
        <f t="shared" si="17"/>
        <v>0.41251626302095362</v>
      </c>
      <c r="Y83" t="str">
        <f>IF(ISNUMBER(MATCH(A83,{"Maduravoyal","Ambattur","Madavaram","Thiruvottiyur","Sholinganallur","Alandur"},0)),"Chennai",B83)</f>
        <v>Karur</v>
      </c>
    </row>
    <row r="84" spans="1:25" x14ac:dyDescent="0.2">
      <c r="A84" s="3" t="s">
        <v>148</v>
      </c>
      <c r="B84" t="s">
        <v>148</v>
      </c>
      <c r="C84" s="11">
        <v>50</v>
      </c>
      <c r="D84" s="11">
        <v>24</v>
      </c>
      <c r="E84" s="11">
        <v>14</v>
      </c>
      <c r="F84" s="11">
        <v>9</v>
      </c>
      <c r="G84" s="11">
        <v>3</v>
      </c>
      <c r="H84">
        <f t="shared" si="9"/>
        <v>100</v>
      </c>
      <c r="I84" s="7">
        <f t="shared" si="10"/>
        <v>0.5</v>
      </c>
      <c r="J84" s="7">
        <f t="shared" si="11"/>
        <v>0.24</v>
      </c>
      <c r="K84" s="7">
        <f t="shared" si="12"/>
        <v>0.14000000000000001</v>
      </c>
      <c r="L84" s="7">
        <f t="shared" si="13"/>
        <v>0.09</v>
      </c>
      <c r="M84" s="7">
        <f t="shared" si="14"/>
        <v>0.03</v>
      </c>
      <c r="N84" s="7">
        <f>MAX(0,I84+'Statewide Votes'!$H$9/100)</f>
        <v>0.45537340587809649</v>
      </c>
      <c r="O84" s="7">
        <f>MAX(0,J84+'Statewide Votes'!$I$9/100)</f>
        <v>0.24739950648982606</v>
      </c>
      <c r="P84" s="7">
        <f>MAX(0,K84+'Statewide Votes'!$J$9/100)</f>
        <v>0.18434795612269561</v>
      </c>
      <c r="Q84" s="7">
        <f>MAX(0,L84+'Statewide Votes'!$K$9/100)</f>
        <v>8.121668330224012E-2</v>
      </c>
      <c r="R84" s="7">
        <f>MAX(0,M84+'Statewide Votes'!$L$9/100)</f>
        <v>3.1662448207141779E-2</v>
      </c>
      <c r="S84" t="str">
        <f>IF(U84=0,"Tie",INDEX({"TVK","AIADMK+BJP+PMK+AMMK","DMK+INC+VCK","NTK","NOTA"},MATCH(MAX(N84:R84),N84:R84,0)))</f>
        <v>TVK</v>
      </c>
      <c r="T84" t="str">
        <f>INDEX({"TVK","AIADMK+BJP+PMK+AMMK","DMK+INC+VCK","NTK","NOTA"},MATCH(LARGE(N84:R84,2),N84:R84,0))</f>
        <v>AIADMK+BJP+PMK+AMMK</v>
      </c>
      <c r="U84">
        <f t="shared" si="15"/>
        <v>20.8</v>
      </c>
      <c r="V84" t="str">
        <f t="shared" si="16"/>
        <v>Strong</v>
      </c>
      <c r="W84" t="str">
        <f>IF(LARGE(I84:M84,1)=LARGE(I84:M84,2),"Tie",INDEX({"TVK","AIADMK+BJP+PMK+AMMK","DMK+INC+VCK","NTK","NOTA"},MATCH(MAX(I84:M84),I84:M84,0)))</f>
        <v>TVK</v>
      </c>
      <c r="X84" s="7">
        <f t="shared" si="17"/>
        <v>0.45537340587809649</v>
      </c>
      <c r="Y84" t="str">
        <f>IF(ISNUMBER(MATCH(A84,{"Maduravoyal","Ambattur","Madavaram","Thiruvottiyur","Sholinganallur","Alandur"},0)),"Chennai",B84)</f>
        <v>Karur</v>
      </c>
    </row>
    <row r="85" spans="1:25" x14ac:dyDescent="0.2">
      <c r="A85" s="3" t="s">
        <v>149</v>
      </c>
      <c r="B85" t="s">
        <v>148</v>
      </c>
      <c r="C85" s="11">
        <v>14</v>
      </c>
      <c r="D85" s="11">
        <v>11</v>
      </c>
      <c r="E85" s="11">
        <v>9</v>
      </c>
      <c r="F85" s="11">
        <v>3</v>
      </c>
      <c r="G85" s="11">
        <v>2</v>
      </c>
      <c r="H85">
        <f t="shared" si="9"/>
        <v>39</v>
      </c>
      <c r="I85" s="7">
        <f t="shared" si="10"/>
        <v>0.35897435897435898</v>
      </c>
      <c r="J85" s="7">
        <f t="shared" si="11"/>
        <v>0.28205128205128205</v>
      </c>
      <c r="K85" s="7">
        <f t="shared" si="12"/>
        <v>0.23076923076923078</v>
      </c>
      <c r="L85" s="7">
        <f t="shared" si="13"/>
        <v>7.6923076923076927E-2</v>
      </c>
      <c r="M85" s="7">
        <f t="shared" si="14"/>
        <v>5.128205128205128E-2</v>
      </c>
      <c r="N85" s="7">
        <f>MAX(0,I85+'Statewide Votes'!$H$9/100)</f>
        <v>0.31434776485245547</v>
      </c>
      <c r="O85" s="7">
        <f>MAX(0,J85+'Statewide Votes'!$I$9/100)</f>
        <v>0.28945078854110812</v>
      </c>
      <c r="P85" s="7">
        <f>MAX(0,K85+'Statewide Votes'!$J$9/100)</f>
        <v>0.27511718689192638</v>
      </c>
      <c r="Q85" s="7">
        <f>MAX(0,L85+'Statewide Votes'!$K$9/100)</f>
        <v>6.813976022531705E-2</v>
      </c>
      <c r="R85" s="7">
        <f>MAX(0,M85+'Statewide Votes'!$L$9/100)</f>
        <v>5.294449948919306E-2</v>
      </c>
      <c r="S85" t="str">
        <f>IF(U85=0,"Tie",INDEX({"TVK","AIADMK+BJP+PMK+AMMK","DMK+INC+VCK","NTK","NOTA"},MATCH(MAX(N85:R85),N85:R85,0)))</f>
        <v>TVK</v>
      </c>
      <c r="T85" t="str">
        <f>INDEX({"TVK","AIADMK+BJP+PMK+AMMK","DMK+INC+VCK","NTK","NOTA"},MATCH(LARGE(N85:R85,2),N85:R85,0))</f>
        <v>AIADMK+BJP+PMK+AMMK</v>
      </c>
      <c r="U85">
        <f t="shared" si="15"/>
        <v>2.5</v>
      </c>
      <c r="V85" t="str">
        <f t="shared" si="16"/>
        <v>Toss-up</v>
      </c>
      <c r="W85" t="str">
        <f>IF(LARGE(I85:M85,1)=LARGE(I85:M85,2),"Tie",INDEX({"TVK","AIADMK+BJP+PMK+AMMK","DMK+INC+VCK","NTK","NOTA"},MATCH(MAX(I85:M85),I85:M85,0)))</f>
        <v>TVK</v>
      </c>
      <c r="X85" s="7">
        <f t="shared" si="17"/>
        <v>0.31434776485245547</v>
      </c>
      <c r="Y85" t="str">
        <f>IF(ISNUMBER(MATCH(A85,{"Maduravoyal","Ambattur","Madavaram","Thiruvottiyur","Sholinganallur","Alandur"},0)),"Chennai",B85)</f>
        <v>Karur</v>
      </c>
    </row>
    <row r="86" spans="1:25" x14ac:dyDescent="0.2">
      <c r="A86" s="3" t="s">
        <v>150</v>
      </c>
      <c r="B86" t="s">
        <v>148</v>
      </c>
      <c r="C86" s="11">
        <v>14</v>
      </c>
      <c r="D86" s="11">
        <v>11</v>
      </c>
      <c r="E86" s="11">
        <v>3</v>
      </c>
      <c r="F86" s="11">
        <v>3</v>
      </c>
      <c r="G86" s="11">
        <v>1</v>
      </c>
      <c r="H86">
        <f t="shared" si="9"/>
        <v>32</v>
      </c>
      <c r="I86" s="7">
        <f t="shared" si="10"/>
        <v>0.4375</v>
      </c>
      <c r="J86" s="7">
        <f t="shared" si="11"/>
        <v>0.34375</v>
      </c>
      <c r="K86" s="7">
        <f t="shared" si="12"/>
        <v>9.375E-2</v>
      </c>
      <c r="L86" s="7">
        <f t="shared" si="13"/>
        <v>9.375E-2</v>
      </c>
      <c r="M86" s="7">
        <f t="shared" si="14"/>
        <v>3.125E-2</v>
      </c>
      <c r="N86" s="7">
        <f>MAX(0,I86+'Statewide Votes'!$H$9/100)</f>
        <v>0.39287340587809649</v>
      </c>
      <c r="O86" s="7">
        <f>MAX(0,J86+'Statewide Votes'!$I$9/100)</f>
        <v>0.35114950648982607</v>
      </c>
      <c r="P86" s="7">
        <f>MAX(0,K86+'Statewide Votes'!$J$9/100)</f>
        <v>0.1380979561226956</v>
      </c>
      <c r="Q86" s="7">
        <f>MAX(0,L86+'Statewide Votes'!$K$9/100)</f>
        <v>8.4966683302240123E-2</v>
      </c>
      <c r="R86" s="7">
        <f>MAX(0,M86+'Statewide Votes'!$L$9/100)</f>
        <v>3.291244820714178E-2</v>
      </c>
      <c r="S86" t="str">
        <f>IF(U86=0,"Tie",INDEX({"TVK","AIADMK+BJP+PMK+AMMK","DMK+INC+VCK","NTK","NOTA"},MATCH(MAX(N86:R86),N86:R86,0)))</f>
        <v>TVK</v>
      </c>
      <c r="T86" t="str">
        <f>INDEX({"TVK","AIADMK+BJP+PMK+AMMK","DMK+INC+VCK","NTK","NOTA"},MATCH(LARGE(N86:R86,2),N86:R86,0))</f>
        <v>AIADMK+BJP+PMK+AMMK</v>
      </c>
      <c r="U86">
        <f t="shared" si="15"/>
        <v>4.2</v>
      </c>
      <c r="V86" t="str">
        <f t="shared" si="16"/>
        <v>Toss-up</v>
      </c>
      <c r="W86" t="str">
        <f>IF(LARGE(I86:M86,1)=LARGE(I86:M86,2),"Tie",INDEX({"TVK","AIADMK+BJP+PMK+AMMK","DMK+INC+VCK","NTK","NOTA"},MATCH(MAX(I86:M86),I86:M86,0)))</f>
        <v>TVK</v>
      </c>
      <c r="X86" s="7">
        <f t="shared" si="17"/>
        <v>0.39287340587809649</v>
      </c>
      <c r="Y86" t="str">
        <f>IF(ISNUMBER(MATCH(A86,{"Maduravoyal","Ambattur","Madavaram","Thiruvottiyur","Sholinganallur","Alandur"},0)),"Chennai",B86)</f>
        <v>Karur</v>
      </c>
    </row>
    <row r="87" spans="1:25" x14ac:dyDescent="0.2">
      <c r="A87" s="3" t="s">
        <v>151</v>
      </c>
      <c r="B87" t="s">
        <v>152</v>
      </c>
      <c r="C87" s="11">
        <v>16</v>
      </c>
      <c r="D87" s="11">
        <v>12</v>
      </c>
      <c r="E87" s="11">
        <v>10</v>
      </c>
      <c r="F87" s="11">
        <v>3</v>
      </c>
      <c r="G87" s="11">
        <v>0</v>
      </c>
      <c r="H87">
        <f t="shared" si="9"/>
        <v>41</v>
      </c>
      <c r="I87" s="7">
        <f t="shared" si="10"/>
        <v>0.3902439024390244</v>
      </c>
      <c r="J87" s="7">
        <f t="shared" si="11"/>
        <v>0.29268292682926828</v>
      </c>
      <c r="K87" s="7">
        <f t="shared" si="12"/>
        <v>0.24390243902439024</v>
      </c>
      <c r="L87" s="7">
        <f t="shared" si="13"/>
        <v>7.3170731707317069E-2</v>
      </c>
      <c r="M87" s="7">
        <f t="shared" si="14"/>
        <v>0</v>
      </c>
      <c r="N87" s="7">
        <f>MAX(0,I87+'Statewide Votes'!$H$9/100)</f>
        <v>0.3456173083171209</v>
      </c>
      <c r="O87" s="7">
        <f>MAX(0,J87+'Statewide Votes'!$I$9/100)</f>
        <v>0.30008243331909434</v>
      </c>
      <c r="P87" s="7">
        <f>MAX(0,K87+'Statewide Votes'!$J$9/100)</f>
        <v>0.28825039514708584</v>
      </c>
      <c r="Q87" s="7">
        <f>MAX(0,L87+'Statewide Votes'!$K$9/100)</f>
        <v>6.4387415009557192E-2</v>
      </c>
      <c r="R87" s="7">
        <f>MAX(0,M87+'Statewide Votes'!$L$9/100)</f>
        <v>1.662448207141779E-3</v>
      </c>
      <c r="S87" t="str">
        <f>IF(U87=0,"Tie",INDEX({"TVK","AIADMK+BJP+PMK+AMMK","DMK+INC+VCK","NTK","NOTA"},MATCH(MAX(N87:R87),N87:R87,0)))</f>
        <v>TVK</v>
      </c>
      <c r="T87" t="str">
        <f>INDEX({"TVK","AIADMK+BJP+PMK+AMMK","DMK+INC+VCK","NTK","NOTA"},MATCH(LARGE(N87:R87,2),N87:R87,0))</f>
        <v>AIADMK+BJP+PMK+AMMK</v>
      </c>
      <c r="U87">
        <f t="shared" si="15"/>
        <v>4.5999999999999996</v>
      </c>
      <c r="V87" t="str">
        <f t="shared" si="16"/>
        <v>Toss-up</v>
      </c>
      <c r="W87" t="str">
        <f>IF(LARGE(I87:M87,1)=LARGE(I87:M87,2),"Tie",INDEX({"TVK","AIADMK+BJP+PMK+AMMK","DMK+INC+VCK","NTK","NOTA"},MATCH(MAX(I87:M87),I87:M87,0)))</f>
        <v>TVK</v>
      </c>
      <c r="X87" s="7">
        <f t="shared" si="17"/>
        <v>0.3456173083171209</v>
      </c>
      <c r="Y87" t="str">
        <f>IF(ISNUMBER(MATCH(A87,{"Maduravoyal","Ambattur","Madavaram","Thiruvottiyur","Sholinganallur","Alandur"},0)),"Chennai",B87)</f>
        <v>Krishnagiri</v>
      </c>
    </row>
    <row r="88" spans="1:25" x14ac:dyDescent="0.2">
      <c r="A88" s="3" t="s">
        <v>153</v>
      </c>
      <c r="B88" t="s">
        <v>152</v>
      </c>
      <c r="C88" s="11">
        <v>42</v>
      </c>
      <c r="D88" s="11">
        <v>41</v>
      </c>
      <c r="E88" s="11">
        <v>15</v>
      </c>
      <c r="F88" s="11">
        <v>6</v>
      </c>
      <c r="G88" s="11">
        <v>1</v>
      </c>
      <c r="H88">
        <f t="shared" si="9"/>
        <v>105</v>
      </c>
      <c r="I88" s="7">
        <f t="shared" si="10"/>
        <v>0.4</v>
      </c>
      <c r="J88" s="7">
        <f t="shared" si="11"/>
        <v>0.39047619047619048</v>
      </c>
      <c r="K88" s="7">
        <f t="shared" si="12"/>
        <v>0.14285714285714285</v>
      </c>
      <c r="L88" s="7">
        <f t="shared" si="13"/>
        <v>5.7142857142857141E-2</v>
      </c>
      <c r="M88" s="7">
        <f t="shared" si="14"/>
        <v>9.5238095238095247E-3</v>
      </c>
      <c r="N88" s="7">
        <f>MAX(0,I88+'Statewide Votes'!$H$9/100)</f>
        <v>0.35537340587809652</v>
      </c>
      <c r="O88" s="7">
        <f>MAX(0,J88+'Statewide Votes'!$I$9/100)</f>
        <v>0.39787569696601655</v>
      </c>
      <c r="P88" s="7">
        <f>MAX(0,K88+'Statewide Votes'!$J$9/100)</f>
        <v>0.18720509897983845</v>
      </c>
      <c r="Q88" s="7">
        <f>MAX(0,L88+'Statewide Votes'!$K$9/100)</f>
        <v>4.8359540445097264E-2</v>
      </c>
      <c r="R88" s="7">
        <f>MAX(0,M88+'Statewide Votes'!$L$9/100)</f>
        <v>1.1186257730951304E-2</v>
      </c>
      <c r="S88" t="str">
        <f>IF(U88=0,"Tie",INDEX({"TVK","AIADMK+BJP+PMK+AMMK","DMK+INC+VCK","NTK","NOTA"},MATCH(MAX(N88:R88),N88:R88,0)))</f>
        <v>AIADMK+BJP+PMK+AMMK</v>
      </c>
      <c r="T88" t="str">
        <f>INDEX({"TVK","AIADMK+BJP+PMK+AMMK","DMK+INC+VCK","NTK","NOTA"},MATCH(LARGE(N88:R88,2),N88:R88,0))</f>
        <v>TVK</v>
      </c>
      <c r="U88">
        <f t="shared" si="15"/>
        <v>4.3</v>
      </c>
      <c r="V88" t="str">
        <f t="shared" si="16"/>
        <v>Toss-up</v>
      </c>
      <c r="W88" t="str">
        <f>IF(LARGE(I88:M88,1)=LARGE(I88:M88,2),"Tie",INDEX({"TVK","AIADMK+BJP+PMK+AMMK","DMK+INC+VCK","NTK","NOTA"},MATCH(MAX(I88:M88),I88:M88,0)))</f>
        <v>TVK</v>
      </c>
      <c r="X88" s="7">
        <f t="shared" si="17"/>
        <v>0.39787569696601655</v>
      </c>
      <c r="Y88" t="str">
        <f>IF(ISNUMBER(MATCH(A88,{"Maduravoyal","Ambattur","Madavaram","Thiruvottiyur","Sholinganallur","Alandur"},0)),"Chennai",B88)</f>
        <v>Krishnagiri</v>
      </c>
    </row>
    <row r="89" spans="1:25" x14ac:dyDescent="0.2">
      <c r="A89" s="3" t="s">
        <v>152</v>
      </c>
      <c r="B89" t="s">
        <v>152</v>
      </c>
      <c r="C89" s="11">
        <v>40</v>
      </c>
      <c r="D89" s="11">
        <v>17</v>
      </c>
      <c r="E89" s="11">
        <v>15</v>
      </c>
      <c r="F89" s="11">
        <v>8</v>
      </c>
      <c r="G89" s="11">
        <v>0</v>
      </c>
      <c r="H89">
        <f t="shared" si="9"/>
        <v>80</v>
      </c>
      <c r="I89" s="7">
        <f t="shared" si="10"/>
        <v>0.5</v>
      </c>
      <c r="J89" s="7">
        <f t="shared" si="11"/>
        <v>0.21249999999999999</v>
      </c>
      <c r="K89" s="7">
        <f t="shared" si="12"/>
        <v>0.1875</v>
      </c>
      <c r="L89" s="7">
        <f t="shared" si="13"/>
        <v>0.1</v>
      </c>
      <c r="M89" s="7">
        <f t="shared" si="14"/>
        <v>0</v>
      </c>
      <c r="N89" s="7">
        <f>MAX(0,I89+'Statewide Votes'!$H$9/100)</f>
        <v>0.45537340587809649</v>
      </c>
      <c r="O89" s="7">
        <f>MAX(0,J89+'Statewide Votes'!$I$9/100)</f>
        <v>0.21989950648982606</v>
      </c>
      <c r="P89" s="7">
        <f>MAX(0,K89+'Statewide Votes'!$J$9/100)</f>
        <v>0.2318479561226956</v>
      </c>
      <c r="Q89" s="7">
        <f>MAX(0,L89+'Statewide Votes'!$K$9/100)</f>
        <v>9.1216683302240129E-2</v>
      </c>
      <c r="R89" s="7">
        <f>MAX(0,M89+'Statewide Votes'!$L$9/100)</f>
        <v>1.662448207141779E-3</v>
      </c>
      <c r="S89" t="str">
        <f>IF(U89=0,"Tie",INDEX({"TVK","AIADMK+BJP+PMK+AMMK","DMK+INC+VCK","NTK","NOTA"},MATCH(MAX(N89:R89),N89:R89,0)))</f>
        <v>TVK</v>
      </c>
      <c r="T89" t="str">
        <f>INDEX({"TVK","AIADMK+BJP+PMK+AMMK","DMK+INC+VCK","NTK","NOTA"},MATCH(LARGE(N89:R89,2),N89:R89,0))</f>
        <v>DMK+INC+VCK</v>
      </c>
      <c r="U89">
        <f t="shared" si="15"/>
        <v>22.4</v>
      </c>
      <c r="V89" t="str">
        <f t="shared" si="16"/>
        <v>Strong</v>
      </c>
      <c r="W89" t="str">
        <f>IF(LARGE(I89:M89,1)=LARGE(I89:M89,2),"Tie",INDEX({"TVK","AIADMK+BJP+PMK+AMMK","DMK+INC+VCK","NTK","NOTA"},MATCH(MAX(I89:M89),I89:M89,0)))</f>
        <v>TVK</v>
      </c>
      <c r="X89" s="7">
        <f t="shared" si="17"/>
        <v>0.45537340587809649</v>
      </c>
      <c r="Y89" t="str">
        <f>IF(ISNUMBER(MATCH(A89,{"Maduravoyal","Ambattur","Madavaram","Thiruvottiyur","Sholinganallur","Alandur"},0)),"Chennai",B89)</f>
        <v>Krishnagiri</v>
      </c>
    </row>
    <row r="90" spans="1:25" x14ac:dyDescent="0.2">
      <c r="A90" s="3" t="s">
        <v>154</v>
      </c>
      <c r="B90" t="s">
        <v>152</v>
      </c>
      <c r="C90" s="11">
        <v>9</v>
      </c>
      <c r="D90" s="11">
        <v>11</v>
      </c>
      <c r="E90" s="11">
        <v>6</v>
      </c>
      <c r="F90" s="11">
        <v>5</v>
      </c>
      <c r="G90" s="11">
        <v>2</v>
      </c>
      <c r="H90">
        <f t="shared" si="9"/>
        <v>33</v>
      </c>
      <c r="I90" s="7">
        <f t="shared" si="10"/>
        <v>0.27272727272727271</v>
      </c>
      <c r="J90" s="7">
        <f t="shared" si="11"/>
        <v>0.33333333333333331</v>
      </c>
      <c r="K90" s="7">
        <f t="shared" si="12"/>
        <v>0.18181818181818182</v>
      </c>
      <c r="L90" s="7">
        <f t="shared" si="13"/>
        <v>0.15151515151515152</v>
      </c>
      <c r="M90" s="7">
        <f t="shared" si="14"/>
        <v>6.0606060606060608E-2</v>
      </c>
      <c r="N90" s="7">
        <f>MAX(0,I90+'Statewide Votes'!$H$9/100)</f>
        <v>0.2281006786053692</v>
      </c>
      <c r="O90" s="7">
        <f>MAX(0,J90+'Statewide Votes'!$I$9/100)</f>
        <v>0.34073283982315938</v>
      </c>
      <c r="P90" s="7">
        <f>MAX(0,K90+'Statewide Votes'!$J$9/100)</f>
        <v>0.22616613794087742</v>
      </c>
      <c r="Q90" s="7">
        <f>MAX(0,L90+'Statewide Votes'!$K$9/100)</f>
        <v>0.14273183481739166</v>
      </c>
      <c r="R90" s="7">
        <f>MAX(0,M90+'Statewide Votes'!$L$9/100)</f>
        <v>6.2268508813202388E-2</v>
      </c>
      <c r="S90" t="str">
        <f>IF(U90=0,"Tie",INDEX({"TVK","AIADMK+BJP+PMK+AMMK","DMK+INC+VCK","NTK","NOTA"},MATCH(MAX(N90:R90),N90:R90,0)))</f>
        <v>AIADMK+BJP+PMK+AMMK</v>
      </c>
      <c r="T90" t="str">
        <f>INDEX({"TVK","AIADMK+BJP+PMK+AMMK","DMK+INC+VCK","NTK","NOTA"},MATCH(LARGE(N90:R90,2),N90:R90,0))</f>
        <v>TVK</v>
      </c>
      <c r="U90">
        <f t="shared" si="15"/>
        <v>11.3</v>
      </c>
      <c r="V90" t="str">
        <f t="shared" si="16"/>
        <v>Strong</v>
      </c>
      <c r="W90" t="str">
        <f>IF(LARGE(I90:M90,1)=LARGE(I90:M90,2),"Tie",INDEX({"TVK","AIADMK+BJP+PMK+AMMK","DMK+INC+VCK","NTK","NOTA"},MATCH(MAX(I90:M90),I90:M90,0)))</f>
        <v>AIADMK+BJP+PMK+AMMK</v>
      </c>
      <c r="X90" s="7">
        <f t="shared" si="17"/>
        <v>0.34073283982315938</v>
      </c>
      <c r="Y90" t="str">
        <f>IF(ISNUMBER(MATCH(A90,{"Maduravoyal","Ambattur","Madavaram","Thiruvottiyur","Sholinganallur","Alandur"},0)),"Chennai",B90)</f>
        <v>Krishnagiri</v>
      </c>
    </row>
    <row r="91" spans="1:25" x14ac:dyDescent="0.2">
      <c r="A91" s="3" t="s">
        <v>155</v>
      </c>
      <c r="B91" t="s">
        <v>152</v>
      </c>
      <c r="C91" s="11">
        <v>15</v>
      </c>
      <c r="D91" s="11">
        <v>12</v>
      </c>
      <c r="E91" s="11">
        <v>5</v>
      </c>
      <c r="F91" s="11">
        <v>1</v>
      </c>
      <c r="G91" s="11">
        <v>0</v>
      </c>
      <c r="H91">
        <f t="shared" si="9"/>
        <v>33</v>
      </c>
      <c r="I91" s="7">
        <f t="shared" si="10"/>
        <v>0.45454545454545453</v>
      </c>
      <c r="J91" s="7">
        <f t="shared" si="11"/>
        <v>0.36363636363636365</v>
      </c>
      <c r="K91" s="7">
        <f t="shared" si="12"/>
        <v>0.15151515151515152</v>
      </c>
      <c r="L91" s="7">
        <f t="shared" si="13"/>
        <v>3.0303030303030304E-2</v>
      </c>
      <c r="M91" s="7">
        <f t="shared" si="14"/>
        <v>0</v>
      </c>
      <c r="N91" s="7">
        <f>MAX(0,I91+'Statewide Votes'!$H$9/100)</f>
        <v>0.40991886042355102</v>
      </c>
      <c r="O91" s="7">
        <f>MAX(0,J91+'Statewide Votes'!$I$9/100)</f>
        <v>0.37103587012618972</v>
      </c>
      <c r="P91" s="7">
        <f>MAX(0,K91+'Statewide Votes'!$J$9/100)</f>
        <v>0.19586310763784712</v>
      </c>
      <c r="Q91" s="7">
        <f>MAX(0,L91+'Statewide Votes'!$K$9/100)</f>
        <v>2.1519713605270427E-2</v>
      </c>
      <c r="R91" s="7">
        <f>MAX(0,M91+'Statewide Votes'!$L$9/100)</f>
        <v>1.662448207141779E-3</v>
      </c>
      <c r="S91" t="str">
        <f>IF(U91=0,"Tie",INDEX({"TVK","AIADMK+BJP+PMK+AMMK","DMK+INC+VCK","NTK","NOTA"},MATCH(MAX(N91:R91),N91:R91,0)))</f>
        <v>TVK</v>
      </c>
      <c r="T91" t="str">
        <f>INDEX({"TVK","AIADMK+BJP+PMK+AMMK","DMK+INC+VCK","NTK","NOTA"},MATCH(LARGE(N91:R91,2),N91:R91,0))</f>
        <v>AIADMK+BJP+PMK+AMMK</v>
      </c>
      <c r="U91">
        <f t="shared" si="15"/>
        <v>3.9</v>
      </c>
      <c r="V91" t="str">
        <f t="shared" si="16"/>
        <v>Toss-up</v>
      </c>
      <c r="W91" t="str">
        <f>IF(LARGE(I91:M91,1)=LARGE(I91:M91,2),"Tie",INDEX({"TVK","AIADMK+BJP+PMK+AMMK","DMK+INC+VCK","NTK","NOTA"},MATCH(MAX(I91:M91),I91:M91,0)))</f>
        <v>TVK</v>
      </c>
      <c r="X91" s="7">
        <f t="shared" si="17"/>
        <v>0.40991886042355102</v>
      </c>
      <c r="Y91" t="str">
        <f>IF(ISNUMBER(MATCH(A91,{"Maduravoyal","Ambattur","Madavaram","Thiruvottiyur","Sholinganallur","Alandur"},0)),"Chennai",B91)</f>
        <v>Krishnagiri</v>
      </c>
    </row>
    <row r="92" spans="1:25" x14ac:dyDescent="0.2">
      <c r="A92" s="3" t="s">
        <v>156</v>
      </c>
      <c r="B92" t="s">
        <v>152</v>
      </c>
      <c r="C92" s="11">
        <v>16</v>
      </c>
      <c r="D92" s="11">
        <v>7</v>
      </c>
      <c r="E92" s="11">
        <v>9</v>
      </c>
      <c r="F92" s="11">
        <v>3</v>
      </c>
      <c r="G92" s="11">
        <v>0</v>
      </c>
      <c r="H92">
        <f t="shared" si="9"/>
        <v>35</v>
      </c>
      <c r="I92" s="7">
        <f t="shared" si="10"/>
        <v>0.45714285714285713</v>
      </c>
      <c r="J92" s="7">
        <f t="shared" si="11"/>
        <v>0.2</v>
      </c>
      <c r="K92" s="7">
        <f t="shared" si="12"/>
        <v>0.25714285714285712</v>
      </c>
      <c r="L92" s="7">
        <f t="shared" si="13"/>
        <v>8.5714285714285715E-2</v>
      </c>
      <c r="M92" s="7">
        <f t="shared" si="14"/>
        <v>0</v>
      </c>
      <c r="N92" s="7">
        <f>MAX(0,I92+'Statewide Votes'!$H$9/100)</f>
        <v>0.41251626302095362</v>
      </c>
      <c r="O92" s="7">
        <f>MAX(0,J92+'Statewide Votes'!$I$9/100)</f>
        <v>0.20739950648982608</v>
      </c>
      <c r="P92" s="7">
        <f>MAX(0,K92+'Statewide Votes'!$J$9/100)</f>
        <v>0.30149081326555272</v>
      </c>
      <c r="Q92" s="7">
        <f>MAX(0,L92+'Statewide Votes'!$K$9/100)</f>
        <v>7.6930969016525838E-2</v>
      </c>
      <c r="R92" s="7">
        <f>MAX(0,M92+'Statewide Votes'!$L$9/100)</f>
        <v>1.662448207141779E-3</v>
      </c>
      <c r="S92" t="str">
        <f>IF(U92=0,"Tie",INDEX({"TVK","AIADMK+BJP+PMK+AMMK","DMK+INC+VCK","NTK","NOTA"},MATCH(MAX(N92:R92),N92:R92,0)))</f>
        <v>TVK</v>
      </c>
      <c r="T92" t="str">
        <f>INDEX({"TVK","AIADMK+BJP+PMK+AMMK","DMK+INC+VCK","NTK","NOTA"},MATCH(LARGE(N92:R92,2),N92:R92,0))</f>
        <v>DMK+INC+VCK</v>
      </c>
      <c r="U92">
        <f t="shared" si="15"/>
        <v>11.1</v>
      </c>
      <c r="V92" t="str">
        <f t="shared" si="16"/>
        <v>Strong</v>
      </c>
      <c r="W92" t="str">
        <f>IF(LARGE(I92:M92,1)=LARGE(I92:M92,2),"Tie",INDEX({"TVK","AIADMK+BJP+PMK+AMMK","DMK+INC+VCK","NTK","NOTA"},MATCH(MAX(I92:M92),I92:M92,0)))</f>
        <v>TVK</v>
      </c>
      <c r="X92" s="7">
        <f t="shared" si="17"/>
        <v>0.41251626302095362</v>
      </c>
      <c r="Y92" t="str">
        <f>IF(ISNUMBER(MATCH(A92,{"Maduravoyal","Ambattur","Madavaram","Thiruvottiyur","Sholinganallur","Alandur"},0)),"Chennai",B92)</f>
        <v>Krishnagiri</v>
      </c>
    </row>
    <row r="93" spans="1:25" x14ac:dyDescent="0.2">
      <c r="A93" s="3" t="s">
        <v>157</v>
      </c>
      <c r="B93" t="s">
        <v>158</v>
      </c>
      <c r="C93" s="11">
        <v>11</v>
      </c>
      <c r="D93" s="11">
        <v>12</v>
      </c>
      <c r="E93" s="11">
        <v>17</v>
      </c>
      <c r="F93" s="11">
        <v>4</v>
      </c>
      <c r="G93" s="11">
        <v>0</v>
      </c>
      <c r="H93">
        <f t="shared" si="9"/>
        <v>44</v>
      </c>
      <c r="I93" s="7">
        <f t="shared" si="10"/>
        <v>0.25</v>
      </c>
      <c r="J93" s="7">
        <f t="shared" si="11"/>
        <v>0.27272727272727271</v>
      </c>
      <c r="K93" s="7">
        <f t="shared" si="12"/>
        <v>0.38636363636363635</v>
      </c>
      <c r="L93" s="7">
        <f t="shared" si="13"/>
        <v>9.0909090909090912E-2</v>
      </c>
      <c r="M93" s="7">
        <f t="shared" si="14"/>
        <v>0</v>
      </c>
      <c r="N93" s="7">
        <f>MAX(0,I93+'Statewide Votes'!$H$9/100)</f>
        <v>0.20537340587809649</v>
      </c>
      <c r="O93" s="7">
        <f>MAX(0,J93+'Statewide Votes'!$I$9/100)</f>
        <v>0.28012677921709878</v>
      </c>
      <c r="P93" s="7">
        <f>MAX(0,K93+'Statewide Votes'!$J$9/100)</f>
        <v>0.43071159248633195</v>
      </c>
      <c r="Q93" s="7">
        <f>MAX(0,L93+'Statewide Votes'!$K$9/100)</f>
        <v>8.2125774211331035E-2</v>
      </c>
      <c r="R93" s="7">
        <f>MAX(0,M93+'Statewide Votes'!$L$9/100)</f>
        <v>1.662448207141779E-3</v>
      </c>
      <c r="S93" t="str">
        <f>IF(U93=0,"Tie",INDEX({"TVK","AIADMK+BJP+PMK+AMMK","DMK+INC+VCK","NTK","NOTA"},MATCH(MAX(N93:R93),N93:R93,0)))</f>
        <v>DMK+INC+VCK</v>
      </c>
      <c r="T93" t="str">
        <f>INDEX({"TVK","AIADMK+BJP+PMK+AMMK","DMK+INC+VCK","NTK","NOTA"},MATCH(LARGE(N93:R93,2),N93:R93,0))</f>
        <v>AIADMK+BJP+PMK+AMMK</v>
      </c>
      <c r="U93">
        <f t="shared" si="15"/>
        <v>15.1</v>
      </c>
      <c r="V93" t="str">
        <f t="shared" si="16"/>
        <v>Strong</v>
      </c>
      <c r="W93" t="str">
        <f>IF(LARGE(I93:M93,1)=LARGE(I93:M93,2),"Tie",INDEX({"TVK","AIADMK+BJP+PMK+AMMK","DMK+INC+VCK","NTK","NOTA"},MATCH(MAX(I93:M93),I93:M93,0)))</f>
        <v>DMK+INC+VCK</v>
      </c>
      <c r="X93" s="7">
        <f t="shared" si="17"/>
        <v>0.43071159248633195</v>
      </c>
      <c r="Y93" t="str">
        <f>IF(ISNUMBER(MATCH(A93,{"Maduravoyal","Ambattur","Madavaram","Thiruvottiyur","Sholinganallur","Alandur"},0)),"Chennai",B93)</f>
        <v>Madurai</v>
      </c>
    </row>
    <row r="94" spans="1:25" x14ac:dyDescent="0.2">
      <c r="A94" s="3" t="s">
        <v>159</v>
      </c>
      <c r="B94" t="s">
        <v>158</v>
      </c>
      <c r="C94" s="11">
        <v>29</v>
      </c>
      <c r="D94" s="11">
        <v>15</v>
      </c>
      <c r="E94" s="11">
        <v>24</v>
      </c>
      <c r="F94" s="11">
        <v>6</v>
      </c>
      <c r="G94" s="11">
        <v>0</v>
      </c>
      <c r="H94">
        <f t="shared" si="9"/>
        <v>74</v>
      </c>
      <c r="I94" s="7">
        <f t="shared" si="10"/>
        <v>0.39189189189189189</v>
      </c>
      <c r="J94" s="7">
        <f t="shared" si="11"/>
        <v>0.20270270270270271</v>
      </c>
      <c r="K94" s="7">
        <f t="shared" si="12"/>
        <v>0.32432432432432434</v>
      </c>
      <c r="L94" s="7">
        <f t="shared" si="13"/>
        <v>8.1081081081081086E-2</v>
      </c>
      <c r="M94" s="7">
        <f t="shared" si="14"/>
        <v>0</v>
      </c>
      <c r="N94" s="7">
        <f>MAX(0,I94+'Statewide Votes'!$H$9/100)</f>
        <v>0.34726529776998838</v>
      </c>
      <c r="O94" s="7">
        <f>MAX(0,J94+'Statewide Votes'!$I$9/100)</f>
        <v>0.21010220919252878</v>
      </c>
      <c r="P94" s="7">
        <f>MAX(0,K94+'Statewide Votes'!$J$9/100)</f>
        <v>0.36867228044701994</v>
      </c>
      <c r="Q94" s="7">
        <f>MAX(0,L94+'Statewide Votes'!$K$9/100)</f>
        <v>7.2297764383321209E-2</v>
      </c>
      <c r="R94" s="7">
        <f>MAX(0,M94+'Statewide Votes'!$L$9/100)</f>
        <v>1.662448207141779E-3</v>
      </c>
      <c r="S94" t="str">
        <f>IF(U94=0,"Tie",INDEX({"TVK","AIADMK+BJP+PMK+AMMK","DMK+INC+VCK","NTK","NOTA"},MATCH(MAX(N94:R94),N94:R94,0)))</f>
        <v>DMK+INC+VCK</v>
      </c>
      <c r="T94" t="str">
        <f>INDEX({"TVK","AIADMK+BJP+PMK+AMMK","DMK+INC+VCK","NTK","NOTA"},MATCH(LARGE(N94:R94,2),N94:R94,0))</f>
        <v>TVK</v>
      </c>
      <c r="U94">
        <f t="shared" si="15"/>
        <v>2.1</v>
      </c>
      <c r="V94" t="str">
        <f t="shared" si="16"/>
        <v>Toss-up</v>
      </c>
      <c r="W94" t="str">
        <f>IF(LARGE(I94:M94,1)=LARGE(I94:M94,2),"Tie",INDEX({"TVK","AIADMK+BJP+PMK+AMMK","DMK+INC+VCK","NTK","NOTA"},MATCH(MAX(I94:M94),I94:M94,0)))</f>
        <v>TVK</v>
      </c>
      <c r="X94" s="7">
        <f t="shared" si="17"/>
        <v>0.36867228044701994</v>
      </c>
      <c r="Y94" t="str">
        <f>IF(ISNUMBER(MATCH(A94,{"Maduravoyal","Ambattur","Madavaram","Thiruvottiyur","Sholinganallur","Alandur"},0)),"Chennai",B94)</f>
        <v>Madurai</v>
      </c>
    </row>
    <row r="95" spans="1:25" x14ac:dyDescent="0.2">
      <c r="A95" s="3" t="s">
        <v>160</v>
      </c>
      <c r="B95" t="s">
        <v>158</v>
      </c>
      <c r="C95" s="11">
        <v>35</v>
      </c>
      <c r="D95" s="11">
        <v>12</v>
      </c>
      <c r="E95" s="11">
        <v>21</v>
      </c>
      <c r="F95" s="11">
        <v>5</v>
      </c>
      <c r="G95" s="11">
        <v>2</v>
      </c>
      <c r="H95">
        <f t="shared" si="9"/>
        <v>75</v>
      </c>
      <c r="I95" s="7">
        <f t="shared" si="10"/>
        <v>0.46666666666666667</v>
      </c>
      <c r="J95" s="7">
        <f t="shared" si="11"/>
        <v>0.16</v>
      </c>
      <c r="K95" s="7">
        <f t="shared" si="12"/>
        <v>0.28000000000000003</v>
      </c>
      <c r="L95" s="7">
        <f t="shared" si="13"/>
        <v>6.6666666666666666E-2</v>
      </c>
      <c r="M95" s="7">
        <f t="shared" si="14"/>
        <v>2.6666666666666668E-2</v>
      </c>
      <c r="N95" s="7">
        <f>MAX(0,I95+'Statewide Votes'!$H$9/100)</f>
        <v>0.42204007254476317</v>
      </c>
      <c r="O95" s="7">
        <f>MAX(0,J95+'Statewide Votes'!$I$9/100)</f>
        <v>0.16739950648982607</v>
      </c>
      <c r="P95" s="7">
        <f>MAX(0,K95+'Statewide Votes'!$J$9/100)</f>
        <v>0.32434795612269562</v>
      </c>
      <c r="Q95" s="7">
        <f>MAX(0,L95+'Statewide Votes'!$K$9/100)</f>
        <v>5.7883349968906789E-2</v>
      </c>
      <c r="R95" s="7">
        <f>MAX(0,M95+'Statewide Votes'!$L$9/100)</f>
        <v>2.8329114873808448E-2</v>
      </c>
      <c r="S95" t="str">
        <f>IF(U95=0,"Tie",INDEX({"TVK","AIADMK+BJP+PMK+AMMK","DMK+INC+VCK","NTK","NOTA"},MATCH(MAX(N95:R95),N95:R95,0)))</f>
        <v>TVK</v>
      </c>
      <c r="T95" t="str">
        <f>INDEX({"TVK","AIADMK+BJP+PMK+AMMK","DMK+INC+VCK","NTK","NOTA"},MATCH(LARGE(N95:R95,2),N95:R95,0))</f>
        <v>DMK+INC+VCK</v>
      </c>
      <c r="U95">
        <f t="shared" si="15"/>
        <v>9.8000000000000007</v>
      </c>
      <c r="V95" t="str">
        <f t="shared" si="16"/>
        <v>Lean</v>
      </c>
      <c r="W95" t="str">
        <f>IF(LARGE(I95:M95,1)=LARGE(I95:M95,2),"Tie",INDEX({"TVK","AIADMK+BJP+PMK+AMMK","DMK+INC+VCK","NTK","NOTA"},MATCH(MAX(I95:M95),I95:M95,0)))</f>
        <v>TVK</v>
      </c>
      <c r="X95" s="7">
        <f t="shared" si="17"/>
        <v>0.42204007254476317</v>
      </c>
      <c r="Y95" t="str">
        <f>IF(ISNUMBER(MATCH(A95,{"Maduravoyal","Ambattur","Madavaram","Thiruvottiyur","Sholinganallur","Alandur"},0)),"Chennai",B95)</f>
        <v>Madurai</v>
      </c>
    </row>
    <row r="96" spans="1:25" x14ac:dyDescent="0.2">
      <c r="A96" s="3" t="s">
        <v>161</v>
      </c>
      <c r="B96" t="s">
        <v>158</v>
      </c>
      <c r="C96" s="11">
        <v>25</v>
      </c>
      <c r="D96" s="11">
        <v>29</v>
      </c>
      <c r="E96" s="11">
        <v>16</v>
      </c>
      <c r="F96" s="11">
        <v>9</v>
      </c>
      <c r="G96" s="11">
        <v>0</v>
      </c>
      <c r="H96">
        <f t="shared" si="9"/>
        <v>79</v>
      </c>
      <c r="I96" s="7">
        <f t="shared" si="10"/>
        <v>0.31645569620253167</v>
      </c>
      <c r="J96" s="7">
        <f t="shared" si="11"/>
        <v>0.36708860759493672</v>
      </c>
      <c r="K96" s="7">
        <f t="shared" si="12"/>
        <v>0.20253164556962025</v>
      </c>
      <c r="L96" s="7">
        <f t="shared" si="13"/>
        <v>0.11392405063291139</v>
      </c>
      <c r="M96" s="7">
        <f t="shared" si="14"/>
        <v>0</v>
      </c>
      <c r="N96" s="7">
        <f>MAX(0,I96+'Statewide Votes'!$H$9/100)</f>
        <v>0.27182910208062816</v>
      </c>
      <c r="O96" s="7">
        <f>MAX(0,J96+'Statewide Votes'!$I$9/100)</f>
        <v>0.37448811408476279</v>
      </c>
      <c r="P96" s="7">
        <f>MAX(0,K96+'Statewide Votes'!$J$9/100)</f>
        <v>0.24687960169231585</v>
      </c>
      <c r="Q96" s="7">
        <f>MAX(0,L96+'Statewide Votes'!$K$9/100)</f>
        <v>0.10514073393515151</v>
      </c>
      <c r="R96" s="7">
        <f>MAX(0,M96+'Statewide Votes'!$L$9/100)</f>
        <v>1.662448207141779E-3</v>
      </c>
      <c r="S96" t="str">
        <f>IF(U96=0,"Tie",INDEX({"TVK","AIADMK+BJP+PMK+AMMK","DMK+INC+VCK","NTK","NOTA"},MATCH(MAX(N96:R96),N96:R96,0)))</f>
        <v>AIADMK+BJP+PMK+AMMK</v>
      </c>
      <c r="T96" t="str">
        <f>INDEX({"TVK","AIADMK+BJP+PMK+AMMK","DMK+INC+VCK","NTK","NOTA"},MATCH(LARGE(N96:R96,2),N96:R96,0))</f>
        <v>TVK</v>
      </c>
      <c r="U96">
        <f t="shared" si="15"/>
        <v>10.3</v>
      </c>
      <c r="V96" t="str">
        <f t="shared" si="16"/>
        <v>Strong</v>
      </c>
      <c r="W96" t="str">
        <f>IF(LARGE(I96:M96,1)=LARGE(I96:M96,2),"Tie",INDEX({"TVK","AIADMK+BJP+PMK+AMMK","DMK+INC+VCK","NTK","NOTA"},MATCH(MAX(I96:M96),I96:M96,0)))</f>
        <v>AIADMK+BJP+PMK+AMMK</v>
      </c>
      <c r="X96" s="7">
        <f t="shared" si="17"/>
        <v>0.37448811408476279</v>
      </c>
      <c r="Y96" t="str">
        <f>IF(ISNUMBER(MATCH(A96,{"Maduravoyal","Ambattur","Madavaram","Thiruvottiyur","Sholinganallur","Alandur"},0)),"Chennai",B96)</f>
        <v>Madurai</v>
      </c>
    </row>
    <row r="97" spans="1:25" x14ac:dyDescent="0.2">
      <c r="A97" s="3" t="s">
        <v>162</v>
      </c>
      <c r="B97" t="s">
        <v>158</v>
      </c>
      <c r="C97" s="11">
        <v>13</v>
      </c>
      <c r="D97" s="11">
        <v>10</v>
      </c>
      <c r="E97" s="11">
        <v>16</v>
      </c>
      <c r="F97" s="11">
        <v>0</v>
      </c>
      <c r="G97" s="11">
        <v>0</v>
      </c>
      <c r="H97">
        <f t="shared" si="9"/>
        <v>39</v>
      </c>
      <c r="I97" s="7">
        <f t="shared" si="10"/>
        <v>0.33333333333333331</v>
      </c>
      <c r="J97" s="7">
        <f t="shared" si="11"/>
        <v>0.25641025641025639</v>
      </c>
      <c r="K97" s="7">
        <f t="shared" si="12"/>
        <v>0.41025641025641024</v>
      </c>
      <c r="L97" s="7">
        <f t="shared" si="13"/>
        <v>0</v>
      </c>
      <c r="M97" s="7">
        <f t="shared" si="14"/>
        <v>0</v>
      </c>
      <c r="N97" s="7">
        <f>MAX(0,I97+'Statewide Votes'!$H$9/100)</f>
        <v>0.28870673921142981</v>
      </c>
      <c r="O97" s="7">
        <f>MAX(0,J97+'Statewide Votes'!$I$9/100)</f>
        <v>0.26380976290008246</v>
      </c>
      <c r="P97" s="7">
        <f>MAX(0,K97+'Statewide Votes'!$J$9/100)</f>
        <v>0.45460436637910584</v>
      </c>
      <c r="Q97" s="7">
        <f>MAX(0,L97+'Statewide Votes'!$K$9/100)</f>
        <v>0</v>
      </c>
      <c r="R97" s="7">
        <f>MAX(0,M97+'Statewide Votes'!$L$9/100)</f>
        <v>1.662448207141779E-3</v>
      </c>
      <c r="S97" t="str">
        <f>IF(U97=0,"Tie",INDEX({"TVK","AIADMK+BJP+PMK+AMMK","DMK+INC+VCK","NTK","NOTA"},MATCH(MAX(N97:R97),N97:R97,0)))</f>
        <v>DMK+INC+VCK</v>
      </c>
      <c r="T97" t="str">
        <f>INDEX({"TVK","AIADMK+BJP+PMK+AMMK","DMK+INC+VCK","NTK","NOTA"},MATCH(LARGE(N97:R97,2),N97:R97,0))</f>
        <v>TVK</v>
      </c>
      <c r="U97">
        <f t="shared" si="15"/>
        <v>16.600000000000001</v>
      </c>
      <c r="V97" t="str">
        <f t="shared" si="16"/>
        <v>Strong</v>
      </c>
      <c r="W97" t="str">
        <f>IF(LARGE(I97:M97,1)=LARGE(I97:M97,2),"Tie",INDEX({"TVK","AIADMK+BJP+PMK+AMMK","DMK+INC+VCK","NTK","NOTA"},MATCH(MAX(I97:M97),I97:M97,0)))</f>
        <v>DMK+INC+VCK</v>
      </c>
      <c r="X97" s="7">
        <f t="shared" si="17"/>
        <v>0.45460436637910584</v>
      </c>
      <c r="Y97" t="str">
        <f>IF(ISNUMBER(MATCH(A97,{"Maduravoyal","Ambattur","Madavaram","Thiruvottiyur","Sholinganallur","Alandur"},0)),"Chennai",B97)</f>
        <v>Madurai</v>
      </c>
    </row>
    <row r="98" spans="1:25" x14ac:dyDescent="0.2">
      <c r="A98" s="3" t="s">
        <v>163</v>
      </c>
      <c r="B98" t="s">
        <v>158</v>
      </c>
      <c r="C98" s="11">
        <v>4</v>
      </c>
      <c r="D98" s="11">
        <v>1</v>
      </c>
      <c r="E98" s="11">
        <v>7</v>
      </c>
      <c r="F98" s="11">
        <v>5</v>
      </c>
      <c r="G98" s="11">
        <v>0</v>
      </c>
      <c r="H98">
        <f t="shared" si="9"/>
        <v>17</v>
      </c>
      <c r="I98" s="7">
        <f t="shared" si="10"/>
        <v>0.23529411764705882</v>
      </c>
      <c r="J98" s="7">
        <f t="shared" si="11"/>
        <v>5.8823529411764705E-2</v>
      </c>
      <c r="K98" s="7">
        <f t="shared" si="12"/>
        <v>0.41176470588235292</v>
      </c>
      <c r="L98" s="7">
        <f t="shared" si="13"/>
        <v>0.29411764705882354</v>
      </c>
      <c r="M98" s="7">
        <f t="shared" si="14"/>
        <v>0</v>
      </c>
      <c r="N98" s="7">
        <f>MAX(0,I98+'Statewide Votes'!$H$9/100)</f>
        <v>0.19066752352515531</v>
      </c>
      <c r="O98" s="7">
        <f>MAX(0,J98+'Statewide Votes'!$I$9/100)</f>
        <v>6.6223035901590774E-2</v>
      </c>
      <c r="P98" s="7">
        <f>MAX(0,K98+'Statewide Votes'!$J$9/100)</f>
        <v>0.45611266200504852</v>
      </c>
      <c r="Q98" s="7">
        <f>MAX(0,L98+'Statewide Votes'!$K$9/100)</f>
        <v>0.28533433036106365</v>
      </c>
      <c r="R98" s="7">
        <f>MAX(0,M98+'Statewide Votes'!$L$9/100)</f>
        <v>1.662448207141779E-3</v>
      </c>
      <c r="S98" t="str">
        <f>IF(U98=0,"Tie",INDEX({"TVK","AIADMK+BJP+PMK+AMMK","DMK+INC+VCK","NTK","NOTA"},MATCH(MAX(N98:R98),N98:R98,0)))</f>
        <v>DMK+INC+VCK</v>
      </c>
      <c r="T98" t="str">
        <f>INDEX({"TVK","AIADMK+BJP+PMK+AMMK","DMK+INC+VCK","NTK","NOTA"},MATCH(LARGE(N98:R98,2),N98:R98,0))</f>
        <v>NTK</v>
      </c>
      <c r="U98">
        <f t="shared" si="15"/>
        <v>17.100000000000001</v>
      </c>
      <c r="V98" t="str">
        <f t="shared" si="16"/>
        <v>Lean</v>
      </c>
      <c r="W98" t="str">
        <f>IF(LARGE(I98:M98,1)=LARGE(I98:M98,2),"Tie",INDEX({"TVK","AIADMK+BJP+PMK+AMMK","DMK+INC+VCK","NTK","NOTA"},MATCH(MAX(I98:M98),I98:M98,0)))</f>
        <v>DMK+INC+VCK</v>
      </c>
      <c r="X98" s="7">
        <f t="shared" si="17"/>
        <v>0.45611266200504852</v>
      </c>
      <c r="Y98" t="str">
        <f>IF(ISNUMBER(MATCH(A98,{"Maduravoyal","Ambattur","Madavaram","Thiruvottiyur","Sholinganallur","Alandur"},0)),"Chennai",B98)</f>
        <v>Madurai</v>
      </c>
    </row>
    <row r="99" spans="1:25" x14ac:dyDescent="0.2">
      <c r="A99" s="3" t="s">
        <v>164</v>
      </c>
      <c r="B99" t="s">
        <v>158</v>
      </c>
      <c r="C99" s="11">
        <v>13</v>
      </c>
      <c r="D99" s="11">
        <v>12</v>
      </c>
      <c r="E99" s="11">
        <v>7</v>
      </c>
      <c r="F99" s="11">
        <v>5</v>
      </c>
      <c r="G99" s="11">
        <v>0</v>
      </c>
      <c r="H99">
        <f t="shared" si="9"/>
        <v>37</v>
      </c>
      <c r="I99" s="7">
        <f t="shared" si="10"/>
        <v>0.35135135135135137</v>
      </c>
      <c r="J99" s="7">
        <f t="shared" si="11"/>
        <v>0.32432432432432434</v>
      </c>
      <c r="K99" s="7">
        <f t="shared" si="12"/>
        <v>0.1891891891891892</v>
      </c>
      <c r="L99" s="7">
        <f t="shared" si="13"/>
        <v>0.13513513513513514</v>
      </c>
      <c r="M99" s="7">
        <f t="shared" si="14"/>
        <v>0</v>
      </c>
      <c r="N99" s="7">
        <f>MAX(0,I99+'Statewide Votes'!$H$9/100)</f>
        <v>0.30672475722944786</v>
      </c>
      <c r="O99" s="7">
        <f>MAX(0,J99+'Statewide Votes'!$I$9/100)</f>
        <v>0.33172383081415041</v>
      </c>
      <c r="P99" s="7">
        <f>MAX(0,K99+'Statewide Votes'!$J$9/100)</f>
        <v>0.2335371453118848</v>
      </c>
      <c r="Q99" s="7">
        <f>MAX(0,L99+'Statewide Votes'!$K$9/100)</f>
        <v>0.12635181843737525</v>
      </c>
      <c r="R99" s="7">
        <f>MAX(0,M99+'Statewide Votes'!$L$9/100)</f>
        <v>1.662448207141779E-3</v>
      </c>
      <c r="S99" t="str">
        <f>IF(U99=0,"Tie",INDEX({"TVK","AIADMK+BJP+PMK+AMMK","DMK+INC+VCK","NTK","NOTA"},MATCH(MAX(N99:R99),N99:R99,0)))</f>
        <v>AIADMK+BJP+PMK+AMMK</v>
      </c>
      <c r="T99" t="str">
        <f>INDEX({"TVK","AIADMK+BJP+PMK+AMMK","DMK+INC+VCK","NTK","NOTA"},MATCH(LARGE(N99:R99,2),N99:R99,0))</f>
        <v>TVK</v>
      </c>
      <c r="U99">
        <f t="shared" si="15"/>
        <v>2.5</v>
      </c>
      <c r="V99" t="str">
        <f t="shared" si="16"/>
        <v>Toss-up</v>
      </c>
      <c r="W99" t="str">
        <f>IF(LARGE(I99:M99,1)=LARGE(I99:M99,2),"Tie",INDEX({"TVK","AIADMK+BJP+PMK+AMMK","DMK+INC+VCK","NTK","NOTA"},MATCH(MAX(I99:M99),I99:M99,0)))</f>
        <v>TVK</v>
      </c>
      <c r="X99" s="7">
        <f t="shared" si="17"/>
        <v>0.33172383081415041</v>
      </c>
      <c r="Y99" t="str">
        <f>IF(ISNUMBER(MATCH(A99,{"Maduravoyal","Ambattur","Madavaram","Thiruvottiyur","Sholinganallur","Alandur"},0)),"Chennai",B99)</f>
        <v>Madurai</v>
      </c>
    </row>
    <row r="100" spans="1:25" x14ac:dyDescent="0.2">
      <c r="A100" s="3" t="s">
        <v>165</v>
      </c>
      <c r="B100" t="s">
        <v>158</v>
      </c>
      <c r="C100" s="11">
        <v>16</v>
      </c>
      <c r="D100" s="11">
        <v>7</v>
      </c>
      <c r="E100" s="11">
        <v>9</v>
      </c>
      <c r="F100" s="11">
        <v>3</v>
      </c>
      <c r="G100" s="11">
        <v>0</v>
      </c>
      <c r="H100">
        <f t="shared" si="9"/>
        <v>35</v>
      </c>
      <c r="I100" s="7">
        <f t="shared" si="10"/>
        <v>0.45714285714285713</v>
      </c>
      <c r="J100" s="7">
        <f t="shared" si="11"/>
        <v>0.2</v>
      </c>
      <c r="K100" s="7">
        <f t="shared" si="12"/>
        <v>0.25714285714285712</v>
      </c>
      <c r="L100" s="7">
        <f t="shared" si="13"/>
        <v>8.5714285714285715E-2</v>
      </c>
      <c r="M100" s="7">
        <f t="shared" si="14"/>
        <v>0</v>
      </c>
      <c r="N100" s="7">
        <f>MAX(0,I100+'Statewide Votes'!$H$9/100)</f>
        <v>0.41251626302095362</v>
      </c>
      <c r="O100" s="7">
        <f>MAX(0,J100+'Statewide Votes'!$I$9/100)</f>
        <v>0.20739950648982608</v>
      </c>
      <c r="P100" s="7">
        <f>MAX(0,K100+'Statewide Votes'!$J$9/100)</f>
        <v>0.30149081326555272</v>
      </c>
      <c r="Q100" s="7">
        <f>MAX(0,L100+'Statewide Votes'!$K$9/100)</f>
        <v>7.6930969016525838E-2</v>
      </c>
      <c r="R100" s="7">
        <f>MAX(0,M100+'Statewide Votes'!$L$9/100)</f>
        <v>1.662448207141779E-3</v>
      </c>
      <c r="S100" t="str">
        <f>IF(U100=0,"Tie",INDEX({"TVK","AIADMK+BJP+PMK+AMMK","DMK+INC+VCK","NTK","NOTA"},MATCH(MAX(N100:R100),N100:R100,0)))</f>
        <v>TVK</v>
      </c>
      <c r="T100" t="str">
        <f>INDEX({"TVK","AIADMK+BJP+PMK+AMMK","DMK+INC+VCK","NTK","NOTA"},MATCH(LARGE(N100:R100,2),N100:R100,0))</f>
        <v>DMK+INC+VCK</v>
      </c>
      <c r="U100">
        <f t="shared" si="15"/>
        <v>11.1</v>
      </c>
      <c r="V100" t="str">
        <f t="shared" si="16"/>
        <v>Strong</v>
      </c>
      <c r="W100" t="str">
        <f>IF(LARGE(I100:M100,1)=LARGE(I100:M100,2),"Tie",INDEX({"TVK","AIADMK+BJP+PMK+AMMK","DMK+INC+VCK","NTK","NOTA"},MATCH(MAX(I100:M100),I100:M100,0)))</f>
        <v>TVK</v>
      </c>
      <c r="X100" s="7">
        <f t="shared" si="17"/>
        <v>0.41251626302095362</v>
      </c>
      <c r="Y100" t="str">
        <f>IF(ISNUMBER(MATCH(A100,{"Maduravoyal","Ambattur","Madavaram","Thiruvottiyur","Sholinganallur","Alandur"},0)),"Chennai",B100)</f>
        <v>Madurai</v>
      </c>
    </row>
    <row r="101" spans="1:25" x14ac:dyDescent="0.2">
      <c r="A101" s="3" t="s">
        <v>166</v>
      </c>
      <c r="B101" t="s">
        <v>158</v>
      </c>
      <c r="C101" s="11">
        <v>29</v>
      </c>
      <c r="D101" s="11">
        <v>10</v>
      </c>
      <c r="E101" s="11">
        <v>16</v>
      </c>
      <c r="F101" s="11">
        <v>6</v>
      </c>
      <c r="G101" s="11">
        <v>0</v>
      </c>
      <c r="H101">
        <f t="shared" si="9"/>
        <v>61</v>
      </c>
      <c r="I101" s="7">
        <f t="shared" si="10"/>
        <v>0.47540983606557374</v>
      </c>
      <c r="J101" s="7">
        <f t="shared" si="11"/>
        <v>0.16393442622950818</v>
      </c>
      <c r="K101" s="7">
        <f t="shared" si="12"/>
        <v>0.26229508196721313</v>
      </c>
      <c r="L101" s="7">
        <f t="shared" si="13"/>
        <v>9.8360655737704916E-2</v>
      </c>
      <c r="M101" s="7">
        <f t="shared" si="14"/>
        <v>0</v>
      </c>
      <c r="N101" s="7">
        <f>MAX(0,I101+'Statewide Votes'!$H$9/100)</f>
        <v>0.43078324194367024</v>
      </c>
      <c r="O101" s="7">
        <f>MAX(0,J101+'Statewide Votes'!$I$9/100)</f>
        <v>0.17133393271933425</v>
      </c>
      <c r="P101" s="7">
        <f>MAX(0,K101+'Statewide Votes'!$J$9/100)</f>
        <v>0.30664303808990873</v>
      </c>
      <c r="Q101" s="7">
        <f>MAX(0,L101+'Statewide Votes'!$K$9/100)</f>
        <v>8.9577339039945039E-2</v>
      </c>
      <c r="R101" s="7">
        <f>MAX(0,M101+'Statewide Votes'!$L$9/100)</f>
        <v>1.662448207141779E-3</v>
      </c>
      <c r="S101" t="str">
        <f>IF(U101=0,"Tie",INDEX({"TVK","AIADMK+BJP+PMK+AMMK","DMK+INC+VCK","NTK","NOTA"},MATCH(MAX(N101:R101),N101:R101,0)))</f>
        <v>TVK</v>
      </c>
      <c r="T101" t="str">
        <f>INDEX({"TVK","AIADMK+BJP+PMK+AMMK","DMK+INC+VCK","NTK","NOTA"},MATCH(LARGE(N101:R101,2),N101:R101,0))</f>
        <v>DMK+INC+VCK</v>
      </c>
      <c r="U101">
        <f t="shared" si="15"/>
        <v>12.4</v>
      </c>
      <c r="V101" t="str">
        <f t="shared" si="16"/>
        <v>Strong</v>
      </c>
      <c r="W101" t="str">
        <f>IF(LARGE(I101:M101,1)=LARGE(I101:M101,2),"Tie",INDEX({"TVK","AIADMK+BJP+PMK+AMMK","DMK+INC+VCK","NTK","NOTA"},MATCH(MAX(I101:M101),I101:M101,0)))</f>
        <v>TVK</v>
      </c>
      <c r="X101" s="7">
        <f t="shared" si="17"/>
        <v>0.43078324194367024</v>
      </c>
      <c r="Y101" t="str">
        <f>IF(ISNUMBER(MATCH(A101,{"Maduravoyal","Ambattur","Madavaram","Thiruvottiyur","Sholinganallur","Alandur"},0)),"Chennai",B101)</f>
        <v>Madurai</v>
      </c>
    </row>
    <row r="102" spans="1:25" x14ac:dyDescent="0.2">
      <c r="A102" s="3" t="s">
        <v>167</v>
      </c>
      <c r="B102" t="s">
        <v>158</v>
      </c>
      <c r="C102" s="11">
        <v>9</v>
      </c>
      <c r="D102" s="11">
        <v>10</v>
      </c>
      <c r="E102" s="11">
        <v>7</v>
      </c>
      <c r="F102" s="11">
        <v>11</v>
      </c>
      <c r="G102" s="11">
        <v>0</v>
      </c>
      <c r="H102">
        <f t="shared" si="9"/>
        <v>37</v>
      </c>
      <c r="I102" s="7">
        <f t="shared" si="10"/>
        <v>0.24324324324324326</v>
      </c>
      <c r="J102" s="7">
        <f t="shared" si="11"/>
        <v>0.27027027027027029</v>
      </c>
      <c r="K102" s="7">
        <f t="shared" si="12"/>
        <v>0.1891891891891892</v>
      </c>
      <c r="L102" s="7">
        <f t="shared" si="13"/>
        <v>0.29729729729729731</v>
      </c>
      <c r="M102" s="7">
        <f t="shared" si="14"/>
        <v>0</v>
      </c>
      <c r="N102" s="7">
        <f>MAX(0,I102+'Statewide Votes'!$H$9/100)</f>
        <v>0.19861664912133975</v>
      </c>
      <c r="O102" s="7">
        <f>MAX(0,J102+'Statewide Votes'!$I$9/100)</f>
        <v>0.27766977676009635</v>
      </c>
      <c r="P102" s="7">
        <f>MAX(0,K102+'Statewide Votes'!$J$9/100)</f>
        <v>0.2335371453118848</v>
      </c>
      <c r="Q102" s="7">
        <f>MAX(0,L102+'Statewide Votes'!$K$9/100)</f>
        <v>0.28851398059953742</v>
      </c>
      <c r="R102" s="7">
        <f>MAX(0,M102+'Statewide Votes'!$L$9/100)</f>
        <v>1.662448207141779E-3</v>
      </c>
      <c r="S102" t="str">
        <f>IF(U102=0,"Tie",INDEX({"TVK","AIADMK+BJP+PMK+AMMK","DMK+INC+VCK","NTK","NOTA"},MATCH(MAX(N102:R102),N102:R102,0)))</f>
        <v>NTK</v>
      </c>
      <c r="T102" t="str">
        <f>INDEX({"TVK","AIADMK+BJP+PMK+AMMK","DMK+INC+VCK","NTK","NOTA"},MATCH(LARGE(N102:R102,2),N102:R102,0))</f>
        <v>AIADMK+BJP+PMK+AMMK</v>
      </c>
      <c r="U102">
        <f t="shared" si="15"/>
        <v>1.1000000000000001</v>
      </c>
      <c r="V102" t="str">
        <f t="shared" si="16"/>
        <v>Toss-up</v>
      </c>
      <c r="W102" t="str">
        <f>IF(LARGE(I102:M102,1)=LARGE(I102:M102,2),"Tie",INDEX({"TVK","AIADMK+BJP+PMK+AMMK","DMK+INC+VCK","NTK","NOTA"},MATCH(MAX(I102:M102),I102:M102,0)))</f>
        <v>NTK</v>
      </c>
      <c r="X102" s="7">
        <f t="shared" si="17"/>
        <v>0.28851398059953742</v>
      </c>
      <c r="Y102" t="str">
        <f>IF(ISNUMBER(MATCH(A102,{"Maduravoyal","Ambattur","Madavaram","Thiruvottiyur","Sholinganallur","Alandur"},0)),"Chennai",B102)</f>
        <v>Madurai</v>
      </c>
    </row>
    <row r="103" spans="1:25" x14ac:dyDescent="0.2">
      <c r="A103" s="3" t="s">
        <v>168</v>
      </c>
      <c r="B103" t="s">
        <v>169</v>
      </c>
      <c r="C103" s="11">
        <v>10</v>
      </c>
      <c r="D103" s="11">
        <v>23</v>
      </c>
      <c r="E103" s="11">
        <v>22</v>
      </c>
      <c r="F103" s="11">
        <v>3</v>
      </c>
      <c r="G103" s="11">
        <v>1</v>
      </c>
      <c r="H103">
        <f t="shared" si="9"/>
        <v>59</v>
      </c>
      <c r="I103" s="7">
        <f t="shared" si="10"/>
        <v>0.16949152542372881</v>
      </c>
      <c r="J103" s="7">
        <f t="shared" si="11"/>
        <v>0.38983050847457629</v>
      </c>
      <c r="K103" s="7">
        <f t="shared" si="12"/>
        <v>0.3728813559322034</v>
      </c>
      <c r="L103" s="7">
        <f t="shared" si="13"/>
        <v>5.0847457627118647E-2</v>
      </c>
      <c r="M103" s="7">
        <f t="shared" si="14"/>
        <v>1.6949152542372881E-2</v>
      </c>
      <c r="N103" s="7">
        <f>MAX(0,I103+'Statewide Votes'!$H$9/100)</f>
        <v>0.1248649313018253</v>
      </c>
      <c r="O103" s="7">
        <f>MAX(0,J103+'Statewide Votes'!$I$9/100)</f>
        <v>0.39723001496440236</v>
      </c>
      <c r="P103" s="7">
        <f>MAX(0,K103+'Statewide Votes'!$J$9/100)</f>
        <v>0.41722931205489899</v>
      </c>
      <c r="Q103" s="7">
        <f>MAX(0,L103+'Statewide Votes'!$K$9/100)</f>
        <v>4.206414092935877E-2</v>
      </c>
      <c r="R103" s="7">
        <f>MAX(0,M103+'Statewide Votes'!$L$9/100)</f>
        <v>1.8611600749514661E-2</v>
      </c>
      <c r="S103" t="str">
        <f>IF(U103=0,"Tie",INDEX({"TVK","AIADMK+BJP+PMK+AMMK","DMK+INC+VCK","NTK","NOTA"},MATCH(MAX(N103:R103),N103:R103,0)))</f>
        <v>DMK+INC+VCK</v>
      </c>
      <c r="T103" t="str">
        <f>INDEX({"TVK","AIADMK+BJP+PMK+AMMK","DMK+INC+VCK","NTK","NOTA"},MATCH(LARGE(N103:R103,2),N103:R103,0))</f>
        <v>AIADMK+BJP+PMK+AMMK</v>
      </c>
      <c r="U103">
        <f t="shared" si="15"/>
        <v>2</v>
      </c>
      <c r="V103" t="str">
        <f t="shared" si="16"/>
        <v>Toss-up</v>
      </c>
      <c r="W103" t="str">
        <f>IF(LARGE(I103:M103,1)=LARGE(I103:M103,2),"Tie",INDEX({"TVK","AIADMK+BJP+PMK+AMMK","DMK+INC+VCK","NTK","NOTA"},MATCH(MAX(I103:M103),I103:M103,0)))</f>
        <v>AIADMK+BJP+PMK+AMMK</v>
      </c>
      <c r="X103" s="7">
        <f t="shared" si="17"/>
        <v>0.41722931205489899</v>
      </c>
      <c r="Y103" t="str">
        <f>IF(ISNUMBER(MATCH(A103,{"Maduravoyal","Ambattur","Madavaram","Thiruvottiyur","Sholinganallur","Alandur"},0)),"Chennai",B103)</f>
        <v>Mayiladuthurai</v>
      </c>
    </row>
    <row r="104" spans="1:25" x14ac:dyDescent="0.2">
      <c r="A104" s="3" t="s">
        <v>170</v>
      </c>
      <c r="B104" t="s">
        <v>169</v>
      </c>
      <c r="C104" s="11">
        <v>11</v>
      </c>
      <c r="D104" s="11">
        <v>14</v>
      </c>
      <c r="E104" s="11">
        <v>4</v>
      </c>
      <c r="F104" s="11">
        <v>3</v>
      </c>
      <c r="G104" s="11">
        <v>0</v>
      </c>
      <c r="H104">
        <f t="shared" si="9"/>
        <v>32</v>
      </c>
      <c r="I104" s="7">
        <f t="shared" si="10"/>
        <v>0.34375</v>
      </c>
      <c r="J104" s="7">
        <f t="shared" si="11"/>
        <v>0.4375</v>
      </c>
      <c r="K104" s="7">
        <f t="shared" si="12"/>
        <v>0.125</v>
      </c>
      <c r="L104" s="7">
        <f t="shared" si="13"/>
        <v>9.375E-2</v>
      </c>
      <c r="M104" s="7">
        <f t="shared" si="14"/>
        <v>0</v>
      </c>
      <c r="N104" s="7">
        <f>MAX(0,I104+'Statewide Votes'!$H$9/100)</f>
        <v>0.29912340587809649</v>
      </c>
      <c r="O104" s="7">
        <f>MAX(0,J104+'Statewide Votes'!$I$9/100)</f>
        <v>0.44489950648982607</v>
      </c>
      <c r="P104" s="7">
        <f>MAX(0,K104+'Statewide Votes'!$J$9/100)</f>
        <v>0.1693479561226956</v>
      </c>
      <c r="Q104" s="7">
        <f>MAX(0,L104+'Statewide Votes'!$K$9/100)</f>
        <v>8.4966683302240123E-2</v>
      </c>
      <c r="R104" s="7">
        <f>MAX(0,M104+'Statewide Votes'!$L$9/100)</f>
        <v>1.662448207141779E-3</v>
      </c>
      <c r="S104" t="str">
        <f>IF(U104=0,"Tie",INDEX({"TVK","AIADMK+BJP+PMK+AMMK","DMK+INC+VCK","NTK","NOTA"},MATCH(MAX(N104:R104),N104:R104,0)))</f>
        <v>AIADMK+BJP+PMK+AMMK</v>
      </c>
      <c r="T104" t="str">
        <f>INDEX({"TVK","AIADMK+BJP+PMK+AMMK","DMK+INC+VCK","NTK","NOTA"},MATCH(LARGE(N104:R104,2),N104:R104,0))</f>
        <v>TVK</v>
      </c>
      <c r="U104">
        <f t="shared" si="15"/>
        <v>14.6</v>
      </c>
      <c r="V104" t="str">
        <f t="shared" si="16"/>
        <v>Strong</v>
      </c>
      <c r="W104" t="str">
        <f>IF(LARGE(I104:M104,1)=LARGE(I104:M104,2),"Tie",INDEX({"TVK","AIADMK+BJP+PMK+AMMK","DMK+INC+VCK","NTK","NOTA"},MATCH(MAX(I104:M104),I104:M104,0)))</f>
        <v>AIADMK+BJP+PMK+AMMK</v>
      </c>
      <c r="X104" s="7">
        <f t="shared" si="17"/>
        <v>0.44489950648982607</v>
      </c>
      <c r="Y104" t="str">
        <f>IF(ISNUMBER(MATCH(A104,{"Maduravoyal","Ambattur","Madavaram","Thiruvottiyur","Sholinganallur","Alandur"},0)),"Chennai",B104)</f>
        <v>Mayiladuthurai</v>
      </c>
    </row>
    <row r="105" spans="1:25" x14ac:dyDescent="0.2">
      <c r="A105" s="3" t="s">
        <v>171</v>
      </c>
      <c r="B105" t="s">
        <v>169</v>
      </c>
      <c r="C105" s="11">
        <v>9</v>
      </c>
      <c r="D105" s="11">
        <v>13</v>
      </c>
      <c r="E105" s="11">
        <v>4</v>
      </c>
      <c r="F105" s="11">
        <v>4</v>
      </c>
      <c r="G105" s="11">
        <v>0</v>
      </c>
      <c r="H105">
        <f t="shared" si="9"/>
        <v>30</v>
      </c>
      <c r="I105" s="7">
        <f t="shared" si="10"/>
        <v>0.3</v>
      </c>
      <c r="J105" s="7">
        <f t="shared" si="11"/>
        <v>0.43333333333333335</v>
      </c>
      <c r="K105" s="7">
        <f t="shared" si="12"/>
        <v>0.13333333333333333</v>
      </c>
      <c r="L105" s="7">
        <f t="shared" si="13"/>
        <v>0.13333333333333333</v>
      </c>
      <c r="M105" s="7">
        <f t="shared" si="14"/>
        <v>0</v>
      </c>
      <c r="N105" s="7">
        <f>MAX(0,I105+'Statewide Votes'!$H$9/100)</f>
        <v>0.25537340587809648</v>
      </c>
      <c r="O105" s="7">
        <f>MAX(0,J105+'Statewide Votes'!$I$9/100)</f>
        <v>0.44073283982315942</v>
      </c>
      <c r="P105" s="7">
        <f>MAX(0,K105+'Statewide Votes'!$J$9/100)</f>
        <v>0.17768128945602893</v>
      </c>
      <c r="Q105" s="7">
        <f>MAX(0,L105+'Statewide Votes'!$K$9/100)</f>
        <v>0.12455001663557345</v>
      </c>
      <c r="R105" s="7">
        <f>MAX(0,M105+'Statewide Votes'!$L$9/100)</f>
        <v>1.662448207141779E-3</v>
      </c>
      <c r="S105" t="str">
        <f>IF(U105=0,"Tie",INDEX({"TVK","AIADMK+BJP+PMK+AMMK","DMK+INC+VCK","NTK","NOTA"},MATCH(MAX(N105:R105),N105:R105,0)))</f>
        <v>AIADMK+BJP+PMK+AMMK</v>
      </c>
      <c r="T105" t="str">
        <f>INDEX({"TVK","AIADMK+BJP+PMK+AMMK","DMK+INC+VCK","NTK","NOTA"},MATCH(LARGE(N105:R105,2),N105:R105,0))</f>
        <v>TVK</v>
      </c>
      <c r="U105">
        <f t="shared" si="15"/>
        <v>18.5</v>
      </c>
      <c r="V105" t="str">
        <f t="shared" si="16"/>
        <v>Strong</v>
      </c>
      <c r="W105" t="str">
        <f>IF(LARGE(I105:M105,1)=LARGE(I105:M105,2),"Tie",INDEX({"TVK","AIADMK+BJP+PMK+AMMK","DMK+INC+VCK","NTK","NOTA"},MATCH(MAX(I105:M105),I105:M105,0)))</f>
        <v>AIADMK+BJP+PMK+AMMK</v>
      </c>
      <c r="X105" s="7">
        <f t="shared" si="17"/>
        <v>0.44073283982315942</v>
      </c>
      <c r="Y105" t="str">
        <f>IF(ISNUMBER(MATCH(A105,{"Maduravoyal","Ambattur","Madavaram","Thiruvottiyur","Sholinganallur","Alandur"},0)),"Chennai",B105)</f>
        <v>Mayiladuthurai</v>
      </c>
    </row>
    <row r="106" spans="1:25" x14ac:dyDescent="0.2">
      <c r="A106" s="3" t="s">
        <v>172</v>
      </c>
      <c r="B106" t="s">
        <v>173</v>
      </c>
      <c r="C106" s="11">
        <v>4</v>
      </c>
      <c r="D106" s="11">
        <v>2</v>
      </c>
      <c r="E106" s="11">
        <v>12</v>
      </c>
      <c r="F106" s="11">
        <v>4</v>
      </c>
      <c r="G106" s="11">
        <v>0</v>
      </c>
      <c r="H106">
        <f t="shared" si="9"/>
        <v>22</v>
      </c>
      <c r="I106" s="7">
        <f t="shared" si="10"/>
        <v>0.18181818181818182</v>
      </c>
      <c r="J106" s="7">
        <f t="shared" si="11"/>
        <v>9.0909090909090912E-2</v>
      </c>
      <c r="K106" s="7">
        <f t="shared" si="12"/>
        <v>0.54545454545454541</v>
      </c>
      <c r="L106" s="7">
        <f t="shared" si="13"/>
        <v>0.18181818181818182</v>
      </c>
      <c r="M106" s="7">
        <f t="shared" si="14"/>
        <v>0</v>
      </c>
      <c r="N106" s="7">
        <f>MAX(0,I106+'Statewide Votes'!$H$9/100)</f>
        <v>0.13719158769627832</v>
      </c>
      <c r="O106" s="7">
        <f>MAX(0,J106+'Statewide Votes'!$I$9/100)</f>
        <v>9.830859739891698E-2</v>
      </c>
      <c r="P106" s="7">
        <f>MAX(0,K106+'Statewide Votes'!$J$9/100)</f>
        <v>0.58980250157724101</v>
      </c>
      <c r="Q106" s="7">
        <f>MAX(0,L106+'Statewide Votes'!$K$9/100)</f>
        <v>0.17303486512042193</v>
      </c>
      <c r="R106" s="7">
        <f>MAX(0,M106+'Statewide Votes'!$L$9/100)</f>
        <v>1.662448207141779E-3</v>
      </c>
      <c r="S106" t="str">
        <f>IF(U106=0,"Tie",INDEX({"TVK","AIADMK+BJP+PMK+AMMK","DMK+INC+VCK","NTK","NOTA"},MATCH(MAX(N106:R106),N106:R106,0)))</f>
        <v>DMK+INC+VCK</v>
      </c>
      <c r="T106" t="str">
        <f>INDEX({"TVK","AIADMK+BJP+PMK+AMMK","DMK+INC+VCK","NTK","NOTA"},MATCH(LARGE(N106:R106,2),N106:R106,0))</f>
        <v>NTK</v>
      </c>
      <c r="U106">
        <f t="shared" si="15"/>
        <v>41.7</v>
      </c>
      <c r="V106" t="str">
        <f t="shared" si="16"/>
        <v>Lean</v>
      </c>
      <c r="W106" t="str">
        <f>IF(LARGE(I106:M106,1)=LARGE(I106:M106,2),"Tie",INDEX({"TVK","AIADMK+BJP+PMK+AMMK","DMK+INC+VCK","NTK","NOTA"},MATCH(MAX(I106:M106),I106:M106,0)))</f>
        <v>DMK+INC+VCK</v>
      </c>
      <c r="X106" s="7">
        <f t="shared" si="17"/>
        <v>0.58980250157724101</v>
      </c>
      <c r="Y106" t="str">
        <f>IF(ISNUMBER(MATCH(A106,{"Maduravoyal","Ambattur","Madavaram","Thiruvottiyur","Sholinganallur","Alandur"},0)),"Chennai",B106)</f>
        <v>Nagapattinam</v>
      </c>
    </row>
    <row r="107" spans="1:25" x14ac:dyDescent="0.2">
      <c r="A107" s="3" t="s">
        <v>173</v>
      </c>
      <c r="B107" t="s">
        <v>173</v>
      </c>
      <c r="C107" s="11">
        <v>18</v>
      </c>
      <c r="D107" s="11">
        <v>7</v>
      </c>
      <c r="E107" s="11">
        <v>16</v>
      </c>
      <c r="F107" s="11">
        <v>4</v>
      </c>
      <c r="G107" s="11">
        <v>0</v>
      </c>
      <c r="H107">
        <f t="shared" si="9"/>
        <v>45</v>
      </c>
      <c r="I107" s="7">
        <f t="shared" si="10"/>
        <v>0.4</v>
      </c>
      <c r="J107" s="7">
        <f t="shared" si="11"/>
        <v>0.15555555555555556</v>
      </c>
      <c r="K107" s="7">
        <f t="shared" si="12"/>
        <v>0.35555555555555557</v>
      </c>
      <c r="L107" s="7">
        <f t="shared" si="13"/>
        <v>8.8888888888888892E-2</v>
      </c>
      <c r="M107" s="7">
        <f t="shared" si="14"/>
        <v>0</v>
      </c>
      <c r="N107" s="7">
        <f>MAX(0,I107+'Statewide Votes'!$H$9/100)</f>
        <v>0.35537340587809652</v>
      </c>
      <c r="O107" s="7">
        <f>MAX(0,J107+'Statewide Votes'!$I$9/100)</f>
        <v>0.16295506204538163</v>
      </c>
      <c r="P107" s="7">
        <f>MAX(0,K107+'Statewide Votes'!$J$9/100)</f>
        <v>0.39990351167825117</v>
      </c>
      <c r="Q107" s="7">
        <f>MAX(0,L107+'Statewide Votes'!$K$9/100)</f>
        <v>8.0105572191129015E-2</v>
      </c>
      <c r="R107" s="7">
        <f>MAX(0,M107+'Statewide Votes'!$L$9/100)</f>
        <v>1.662448207141779E-3</v>
      </c>
      <c r="S107" t="str">
        <f>IF(U107=0,"Tie",INDEX({"TVK","AIADMK+BJP+PMK+AMMK","DMK+INC+VCK","NTK","NOTA"},MATCH(MAX(N107:R107),N107:R107,0)))</f>
        <v>DMK+INC+VCK</v>
      </c>
      <c r="T107" t="str">
        <f>INDEX({"TVK","AIADMK+BJP+PMK+AMMK","DMK+INC+VCK","NTK","NOTA"},MATCH(LARGE(N107:R107,2),N107:R107,0))</f>
        <v>TVK</v>
      </c>
      <c r="U107">
        <f t="shared" si="15"/>
        <v>4.5</v>
      </c>
      <c r="V107" t="str">
        <f t="shared" si="16"/>
        <v>Toss-up</v>
      </c>
      <c r="W107" t="str">
        <f>IF(LARGE(I107:M107,1)=LARGE(I107:M107,2),"Tie",INDEX({"TVK","AIADMK+BJP+PMK+AMMK","DMK+INC+VCK","NTK","NOTA"},MATCH(MAX(I107:M107),I107:M107,0)))</f>
        <v>TVK</v>
      </c>
      <c r="X107" s="7">
        <f t="shared" si="17"/>
        <v>0.39990351167825117</v>
      </c>
      <c r="Y107" t="str">
        <f>IF(ISNUMBER(MATCH(A107,{"Maduravoyal","Ambattur","Madavaram","Thiruvottiyur","Sholinganallur","Alandur"},0)),"Chennai",B107)</f>
        <v>Nagapattinam</v>
      </c>
    </row>
    <row r="108" spans="1:25" x14ac:dyDescent="0.2">
      <c r="A108" s="3" t="s">
        <v>174</v>
      </c>
      <c r="B108" t="s">
        <v>173</v>
      </c>
      <c r="C108" s="11">
        <v>7</v>
      </c>
      <c r="D108" s="11">
        <v>10</v>
      </c>
      <c r="E108" s="11">
        <v>4</v>
      </c>
      <c r="F108" s="11">
        <v>14</v>
      </c>
      <c r="G108" s="11">
        <v>0</v>
      </c>
      <c r="H108">
        <f t="shared" si="9"/>
        <v>35</v>
      </c>
      <c r="I108" s="7">
        <f t="shared" si="10"/>
        <v>0.2</v>
      </c>
      <c r="J108" s="7">
        <f t="shared" si="11"/>
        <v>0.2857142857142857</v>
      </c>
      <c r="K108" s="7">
        <f t="shared" si="12"/>
        <v>0.11428571428571428</v>
      </c>
      <c r="L108" s="7">
        <f t="shared" si="13"/>
        <v>0.4</v>
      </c>
      <c r="M108" s="7">
        <f t="shared" si="14"/>
        <v>0</v>
      </c>
      <c r="N108" s="7">
        <f>MAX(0,I108+'Statewide Votes'!$H$9/100)</f>
        <v>0.1553734058780965</v>
      </c>
      <c r="O108" s="7">
        <f>MAX(0,J108+'Statewide Votes'!$I$9/100)</f>
        <v>0.29311379220411177</v>
      </c>
      <c r="P108" s="7">
        <f>MAX(0,K108+'Statewide Votes'!$J$9/100)</f>
        <v>0.15863367040840987</v>
      </c>
      <c r="Q108" s="7">
        <f>MAX(0,L108+'Statewide Votes'!$K$9/100)</f>
        <v>0.39121668330224013</v>
      </c>
      <c r="R108" s="7">
        <f>MAX(0,M108+'Statewide Votes'!$L$9/100)</f>
        <v>1.662448207141779E-3</v>
      </c>
      <c r="S108" t="str">
        <f>IF(U108=0,"Tie",INDEX({"TVK","AIADMK+BJP+PMK+AMMK","DMK+INC+VCK","NTK","NOTA"},MATCH(MAX(N108:R108),N108:R108,0)))</f>
        <v>NTK</v>
      </c>
      <c r="T108" t="str">
        <f>INDEX({"TVK","AIADMK+BJP+PMK+AMMK","DMK+INC+VCK","NTK","NOTA"},MATCH(LARGE(N108:R108,2),N108:R108,0))</f>
        <v>AIADMK+BJP+PMK+AMMK</v>
      </c>
      <c r="U108">
        <f t="shared" si="15"/>
        <v>9.8000000000000007</v>
      </c>
      <c r="V108" t="str">
        <f t="shared" si="16"/>
        <v>Lean</v>
      </c>
      <c r="W108" t="str">
        <f>IF(LARGE(I108:M108,1)=LARGE(I108:M108,2),"Tie",INDEX({"TVK","AIADMK+BJP+PMK+AMMK","DMK+INC+VCK","NTK","NOTA"},MATCH(MAX(I108:M108),I108:M108,0)))</f>
        <v>NTK</v>
      </c>
      <c r="X108" s="7">
        <f t="shared" si="17"/>
        <v>0.39121668330224013</v>
      </c>
      <c r="Y108" t="str">
        <f>IF(ISNUMBER(MATCH(A108,{"Maduravoyal","Ambattur","Madavaram","Thiruvottiyur","Sholinganallur","Alandur"},0)),"Chennai",B108)</f>
        <v>Nagapattinam</v>
      </c>
    </row>
    <row r="109" spans="1:25" x14ac:dyDescent="0.2">
      <c r="A109" s="3" t="s">
        <v>175</v>
      </c>
      <c r="B109" t="s">
        <v>176</v>
      </c>
      <c r="C109" s="11">
        <v>17</v>
      </c>
      <c r="D109" s="11">
        <v>13</v>
      </c>
      <c r="E109" s="11">
        <v>7</v>
      </c>
      <c r="F109" s="11">
        <v>1</v>
      </c>
      <c r="G109" s="11">
        <v>0</v>
      </c>
      <c r="H109">
        <f t="shared" si="9"/>
        <v>38</v>
      </c>
      <c r="I109" s="7">
        <f t="shared" si="10"/>
        <v>0.44736842105263158</v>
      </c>
      <c r="J109" s="7">
        <f t="shared" si="11"/>
        <v>0.34210526315789475</v>
      </c>
      <c r="K109" s="7">
        <f t="shared" si="12"/>
        <v>0.18421052631578946</v>
      </c>
      <c r="L109" s="7">
        <f t="shared" si="13"/>
        <v>2.6315789473684209E-2</v>
      </c>
      <c r="M109" s="7">
        <f t="shared" si="14"/>
        <v>0</v>
      </c>
      <c r="N109" s="7">
        <f>MAX(0,I109+'Statewide Votes'!$H$9/100)</f>
        <v>0.40274182693072808</v>
      </c>
      <c r="O109" s="7">
        <f>MAX(0,J109+'Statewide Votes'!$I$9/100)</f>
        <v>0.34950476964772081</v>
      </c>
      <c r="P109" s="7">
        <f>MAX(0,K109+'Statewide Votes'!$J$9/100)</f>
        <v>0.22855848243848506</v>
      </c>
      <c r="Q109" s="7">
        <f>MAX(0,L109+'Statewide Votes'!$K$9/100)</f>
        <v>1.7532472775924332E-2</v>
      </c>
      <c r="R109" s="7">
        <f>MAX(0,M109+'Statewide Votes'!$L$9/100)</f>
        <v>1.662448207141779E-3</v>
      </c>
      <c r="S109" t="str">
        <f>IF(U109=0,"Tie",INDEX({"TVK","AIADMK+BJP+PMK+AMMK","DMK+INC+VCK","NTK","NOTA"},MATCH(MAX(N109:R109),N109:R109,0)))</f>
        <v>TVK</v>
      </c>
      <c r="T109" t="str">
        <f>INDEX({"TVK","AIADMK+BJP+PMK+AMMK","DMK+INC+VCK","NTK","NOTA"},MATCH(LARGE(N109:R109,2),N109:R109,0))</f>
        <v>AIADMK+BJP+PMK+AMMK</v>
      </c>
      <c r="U109">
        <f t="shared" si="15"/>
        <v>5.3</v>
      </c>
      <c r="V109" t="str">
        <f t="shared" si="16"/>
        <v>Lean</v>
      </c>
      <c r="W109" t="str">
        <f>IF(LARGE(I109:M109,1)=LARGE(I109:M109,2),"Tie",INDEX({"TVK","AIADMK+BJP+PMK+AMMK","DMK+INC+VCK","NTK","NOTA"},MATCH(MAX(I109:M109),I109:M109,0)))</f>
        <v>TVK</v>
      </c>
      <c r="X109" s="7">
        <f t="shared" si="17"/>
        <v>0.40274182693072808</v>
      </c>
      <c r="Y109" t="str">
        <f>IF(ISNUMBER(MATCH(A109,{"Maduravoyal","Ambattur","Madavaram","Thiruvottiyur","Sholinganallur","Alandur"},0)),"Chennai",B109)</f>
        <v>Namakkal</v>
      </c>
    </row>
    <row r="110" spans="1:25" x14ac:dyDescent="0.2">
      <c r="A110" s="3" t="s">
        <v>176</v>
      </c>
      <c r="B110" t="s">
        <v>176</v>
      </c>
      <c r="C110" s="11">
        <v>18</v>
      </c>
      <c r="D110" s="11">
        <v>16</v>
      </c>
      <c r="E110" s="11">
        <v>9</v>
      </c>
      <c r="F110" s="11">
        <v>4</v>
      </c>
      <c r="G110" s="11">
        <v>0</v>
      </c>
      <c r="H110">
        <f t="shared" si="9"/>
        <v>47</v>
      </c>
      <c r="I110" s="7">
        <f t="shared" si="10"/>
        <v>0.38297872340425532</v>
      </c>
      <c r="J110" s="7">
        <f t="shared" si="11"/>
        <v>0.34042553191489361</v>
      </c>
      <c r="K110" s="7">
        <f t="shared" si="12"/>
        <v>0.19148936170212766</v>
      </c>
      <c r="L110" s="7">
        <f t="shared" si="13"/>
        <v>8.5106382978723402E-2</v>
      </c>
      <c r="M110" s="7">
        <f t="shared" si="14"/>
        <v>0</v>
      </c>
      <c r="N110" s="7">
        <f>MAX(0,I110+'Statewide Votes'!$H$9/100)</f>
        <v>0.33835212928235181</v>
      </c>
      <c r="O110" s="7">
        <f>MAX(0,J110+'Statewide Votes'!$I$9/100)</f>
        <v>0.34782503840471968</v>
      </c>
      <c r="P110" s="7">
        <f>MAX(0,K110+'Statewide Votes'!$J$9/100)</f>
        <v>0.23583731782482326</v>
      </c>
      <c r="Q110" s="7">
        <f>MAX(0,L110+'Statewide Votes'!$K$9/100)</f>
        <v>7.6323066280963525E-2</v>
      </c>
      <c r="R110" s="7">
        <f>MAX(0,M110+'Statewide Votes'!$L$9/100)</f>
        <v>1.662448207141779E-3</v>
      </c>
      <c r="S110" t="str">
        <f>IF(U110=0,"Tie",INDEX({"TVK","AIADMK+BJP+PMK+AMMK","DMK+INC+VCK","NTK","NOTA"},MATCH(MAX(N110:R110),N110:R110,0)))</f>
        <v>AIADMK+BJP+PMK+AMMK</v>
      </c>
      <c r="T110" t="str">
        <f>INDEX({"TVK","AIADMK+BJP+PMK+AMMK","DMK+INC+VCK","NTK","NOTA"},MATCH(LARGE(N110:R110,2),N110:R110,0))</f>
        <v>TVK</v>
      </c>
      <c r="U110">
        <f t="shared" si="15"/>
        <v>0.9</v>
      </c>
      <c r="V110" t="str">
        <f t="shared" si="16"/>
        <v>Toss-up</v>
      </c>
      <c r="W110" t="str">
        <f>IF(LARGE(I110:M110,1)=LARGE(I110:M110,2),"Tie",INDEX({"TVK","AIADMK+BJP+PMK+AMMK","DMK+INC+VCK","NTK","NOTA"},MATCH(MAX(I110:M110),I110:M110,0)))</f>
        <v>TVK</v>
      </c>
      <c r="X110" s="7">
        <f t="shared" si="17"/>
        <v>0.34782503840471968</v>
      </c>
      <c r="Y110" t="str">
        <f>IF(ISNUMBER(MATCH(A110,{"Maduravoyal","Ambattur","Madavaram","Thiruvottiyur","Sholinganallur","Alandur"},0)),"Chennai",B110)</f>
        <v>Namakkal</v>
      </c>
    </row>
    <row r="111" spans="1:25" x14ac:dyDescent="0.2">
      <c r="A111" s="3" t="s">
        <v>177</v>
      </c>
      <c r="B111" t="s">
        <v>176</v>
      </c>
      <c r="C111" s="11">
        <v>9</v>
      </c>
      <c r="D111" s="11">
        <v>7</v>
      </c>
      <c r="E111" s="11">
        <v>2</v>
      </c>
      <c r="F111" s="11">
        <v>1</v>
      </c>
      <c r="G111" s="11">
        <v>0</v>
      </c>
      <c r="H111">
        <f t="shared" si="9"/>
        <v>19</v>
      </c>
      <c r="I111" s="7">
        <f t="shared" si="10"/>
        <v>0.47368421052631576</v>
      </c>
      <c r="J111" s="7">
        <f t="shared" si="11"/>
        <v>0.36842105263157893</v>
      </c>
      <c r="K111" s="7">
        <f t="shared" si="12"/>
        <v>0.10526315789473684</v>
      </c>
      <c r="L111" s="7">
        <f t="shared" si="13"/>
        <v>5.2631578947368418E-2</v>
      </c>
      <c r="M111" s="7">
        <f t="shared" si="14"/>
        <v>0</v>
      </c>
      <c r="N111" s="7">
        <f>MAX(0,I111+'Statewide Votes'!$H$9/100)</f>
        <v>0.42905761640441226</v>
      </c>
      <c r="O111" s="7">
        <f>MAX(0,J111+'Statewide Votes'!$I$9/100)</f>
        <v>0.375820559121405</v>
      </c>
      <c r="P111" s="7">
        <f>MAX(0,K111+'Statewide Votes'!$J$9/100)</f>
        <v>0.14961111401743243</v>
      </c>
      <c r="Q111" s="7">
        <f>MAX(0,L111+'Statewide Votes'!$K$9/100)</f>
        <v>4.3848262249608541E-2</v>
      </c>
      <c r="R111" s="7">
        <f>MAX(0,M111+'Statewide Votes'!$L$9/100)</f>
        <v>1.662448207141779E-3</v>
      </c>
      <c r="S111" t="str">
        <f>IF(U111=0,"Tie",INDEX({"TVK","AIADMK+BJP+PMK+AMMK","DMK+INC+VCK","NTK","NOTA"},MATCH(MAX(N111:R111),N111:R111,0)))</f>
        <v>TVK</v>
      </c>
      <c r="T111" t="str">
        <f>INDEX({"TVK","AIADMK+BJP+PMK+AMMK","DMK+INC+VCK","NTK","NOTA"},MATCH(LARGE(N111:R111,2),N111:R111,0))</f>
        <v>AIADMK+BJP+PMK+AMMK</v>
      </c>
      <c r="U111">
        <f t="shared" si="15"/>
        <v>5.3</v>
      </c>
      <c r="V111" t="str">
        <f t="shared" si="16"/>
        <v>Lean</v>
      </c>
      <c r="W111" t="str">
        <f>IF(LARGE(I111:M111,1)=LARGE(I111:M111,2),"Tie",INDEX({"TVK","AIADMK+BJP+PMK+AMMK","DMK+INC+VCK","NTK","NOTA"},MATCH(MAX(I111:M111),I111:M111,0)))</f>
        <v>TVK</v>
      </c>
      <c r="X111" s="7">
        <f t="shared" si="17"/>
        <v>0.42905761640441226</v>
      </c>
      <c r="Y111" t="str">
        <f>IF(ISNUMBER(MATCH(A111,{"Maduravoyal","Ambattur","Madavaram","Thiruvottiyur","Sholinganallur","Alandur"},0)),"Chennai",B111)</f>
        <v>Namakkal</v>
      </c>
    </row>
    <row r="112" spans="1:25" x14ac:dyDescent="0.2">
      <c r="A112" s="3" t="s">
        <v>178</v>
      </c>
      <c r="B112" t="s">
        <v>176</v>
      </c>
      <c r="C112" s="11">
        <v>20</v>
      </c>
      <c r="D112" s="11">
        <v>19</v>
      </c>
      <c r="E112" s="11">
        <v>9</v>
      </c>
      <c r="F112" s="11">
        <v>3</v>
      </c>
      <c r="G112" s="11">
        <v>0</v>
      </c>
      <c r="H112">
        <f t="shared" si="9"/>
        <v>51</v>
      </c>
      <c r="I112" s="7">
        <f t="shared" si="10"/>
        <v>0.39215686274509803</v>
      </c>
      <c r="J112" s="7">
        <f t="shared" si="11"/>
        <v>0.37254901960784315</v>
      </c>
      <c r="K112" s="7">
        <f t="shared" si="12"/>
        <v>0.17647058823529413</v>
      </c>
      <c r="L112" s="7">
        <f t="shared" si="13"/>
        <v>5.8823529411764705E-2</v>
      </c>
      <c r="M112" s="7">
        <f t="shared" si="14"/>
        <v>0</v>
      </c>
      <c r="N112" s="7">
        <f>MAX(0,I112+'Statewide Votes'!$H$9/100)</f>
        <v>0.34753026862319453</v>
      </c>
      <c r="O112" s="7">
        <f>MAX(0,J112+'Statewide Votes'!$I$9/100)</f>
        <v>0.37994852609766921</v>
      </c>
      <c r="P112" s="7">
        <f>MAX(0,K112+'Statewide Votes'!$J$9/100)</f>
        <v>0.22081854435798973</v>
      </c>
      <c r="Q112" s="7">
        <f>MAX(0,L112+'Statewide Votes'!$K$9/100)</f>
        <v>5.0040212714004828E-2</v>
      </c>
      <c r="R112" s="7">
        <f>MAX(0,M112+'Statewide Votes'!$L$9/100)</f>
        <v>1.662448207141779E-3</v>
      </c>
      <c r="S112" t="str">
        <f>IF(U112=0,"Tie",INDEX({"TVK","AIADMK+BJP+PMK+AMMK","DMK+INC+VCK","NTK","NOTA"},MATCH(MAX(N112:R112),N112:R112,0)))</f>
        <v>AIADMK+BJP+PMK+AMMK</v>
      </c>
      <c r="T112" t="str">
        <f>INDEX({"TVK","AIADMK+BJP+PMK+AMMK","DMK+INC+VCK","NTK","NOTA"},MATCH(LARGE(N112:R112,2),N112:R112,0))</f>
        <v>TVK</v>
      </c>
      <c r="U112">
        <f t="shared" si="15"/>
        <v>3.2</v>
      </c>
      <c r="V112" t="str">
        <f t="shared" si="16"/>
        <v>Toss-up</v>
      </c>
      <c r="W112" t="str">
        <f>IF(LARGE(I112:M112,1)=LARGE(I112:M112,2),"Tie",INDEX({"TVK","AIADMK+BJP+PMK+AMMK","DMK+INC+VCK","NTK","NOTA"},MATCH(MAX(I112:M112),I112:M112,0)))</f>
        <v>TVK</v>
      </c>
      <c r="X112" s="7">
        <f t="shared" si="17"/>
        <v>0.37994852609766921</v>
      </c>
      <c r="Y112" t="str">
        <f>IF(ISNUMBER(MATCH(A112,{"Maduravoyal","Ambattur","Madavaram","Thiruvottiyur","Sholinganallur","Alandur"},0)),"Chennai",B112)</f>
        <v>Namakkal</v>
      </c>
    </row>
    <row r="113" spans="1:25" x14ac:dyDescent="0.2">
      <c r="A113" s="3" t="s">
        <v>179</v>
      </c>
      <c r="B113" t="s">
        <v>176</v>
      </c>
      <c r="C113" s="11">
        <v>2</v>
      </c>
      <c r="D113" s="11">
        <v>10</v>
      </c>
      <c r="E113" s="11">
        <v>5</v>
      </c>
      <c r="F113" s="11">
        <v>2</v>
      </c>
      <c r="G113" s="11">
        <v>1</v>
      </c>
      <c r="H113">
        <f t="shared" si="9"/>
        <v>20</v>
      </c>
      <c r="I113" s="7">
        <f t="shared" si="10"/>
        <v>0.1</v>
      </c>
      <c r="J113" s="7">
        <f t="shared" si="11"/>
        <v>0.5</v>
      </c>
      <c r="K113" s="7">
        <f t="shared" si="12"/>
        <v>0.25</v>
      </c>
      <c r="L113" s="7">
        <f t="shared" si="13"/>
        <v>0.1</v>
      </c>
      <c r="M113" s="7">
        <f t="shared" si="14"/>
        <v>0.05</v>
      </c>
      <c r="N113" s="7">
        <f>MAX(0,I113+'Statewide Votes'!$H$9/100)</f>
        <v>5.5373405878096499E-2</v>
      </c>
      <c r="O113" s="7">
        <f>MAX(0,J113+'Statewide Votes'!$I$9/100)</f>
        <v>0.50739950648982601</v>
      </c>
      <c r="P113" s="7">
        <f>MAX(0,K113+'Statewide Votes'!$J$9/100)</f>
        <v>0.2943479561226956</v>
      </c>
      <c r="Q113" s="7">
        <f>MAX(0,L113+'Statewide Votes'!$K$9/100)</f>
        <v>9.1216683302240129E-2</v>
      </c>
      <c r="R113" s="7">
        <f>MAX(0,M113+'Statewide Votes'!$L$9/100)</f>
        <v>5.1662448207141783E-2</v>
      </c>
      <c r="S113" t="str">
        <f>IF(U113=0,"Tie",INDEX({"TVK","AIADMK+BJP+PMK+AMMK","DMK+INC+VCK","NTK","NOTA"},MATCH(MAX(N113:R113),N113:R113,0)))</f>
        <v>AIADMK+BJP+PMK+AMMK</v>
      </c>
      <c r="T113" t="str">
        <f>INDEX({"TVK","AIADMK+BJP+PMK+AMMK","DMK+INC+VCK","NTK","NOTA"},MATCH(LARGE(N113:R113,2),N113:R113,0))</f>
        <v>DMK+INC+VCK</v>
      </c>
      <c r="U113">
        <f t="shared" si="15"/>
        <v>21.3</v>
      </c>
      <c r="V113" t="str">
        <f t="shared" si="16"/>
        <v>Lean</v>
      </c>
      <c r="W113" t="str">
        <f>IF(LARGE(I113:M113,1)=LARGE(I113:M113,2),"Tie",INDEX({"TVK","AIADMK+BJP+PMK+AMMK","DMK+INC+VCK","NTK","NOTA"},MATCH(MAX(I113:M113),I113:M113,0)))</f>
        <v>AIADMK+BJP+PMK+AMMK</v>
      </c>
      <c r="X113" s="7">
        <f t="shared" si="17"/>
        <v>0.50739950648982601</v>
      </c>
      <c r="Y113" t="str">
        <f>IF(ISNUMBER(MATCH(A113,{"Maduravoyal","Ambattur","Madavaram","Thiruvottiyur","Sholinganallur","Alandur"},0)),"Chennai",B113)</f>
        <v>Namakkal</v>
      </c>
    </row>
    <row r="114" spans="1:25" x14ac:dyDescent="0.2">
      <c r="A114" s="3" t="s">
        <v>180</v>
      </c>
      <c r="B114" t="s">
        <v>176</v>
      </c>
      <c r="C114" s="11">
        <v>13</v>
      </c>
      <c r="D114" s="11">
        <v>14</v>
      </c>
      <c r="E114" s="11">
        <v>9</v>
      </c>
      <c r="F114" s="11">
        <v>3</v>
      </c>
      <c r="G114" s="11">
        <v>0</v>
      </c>
      <c r="H114">
        <f t="shared" si="9"/>
        <v>39</v>
      </c>
      <c r="I114" s="7">
        <f t="shared" si="10"/>
        <v>0.33333333333333331</v>
      </c>
      <c r="J114" s="7">
        <f t="shared" si="11"/>
        <v>0.35897435897435898</v>
      </c>
      <c r="K114" s="7">
        <f t="shared" si="12"/>
        <v>0.23076923076923078</v>
      </c>
      <c r="L114" s="7">
        <f t="shared" si="13"/>
        <v>7.6923076923076927E-2</v>
      </c>
      <c r="M114" s="7">
        <f t="shared" si="14"/>
        <v>0</v>
      </c>
      <c r="N114" s="7">
        <f>MAX(0,I114+'Statewide Votes'!$H$9/100)</f>
        <v>0.28870673921142981</v>
      </c>
      <c r="O114" s="7">
        <f>MAX(0,J114+'Statewide Votes'!$I$9/100)</f>
        <v>0.36637386546418504</v>
      </c>
      <c r="P114" s="7">
        <f>MAX(0,K114+'Statewide Votes'!$J$9/100)</f>
        <v>0.27511718689192638</v>
      </c>
      <c r="Q114" s="7">
        <f>MAX(0,L114+'Statewide Votes'!$K$9/100)</f>
        <v>6.813976022531705E-2</v>
      </c>
      <c r="R114" s="7">
        <f>MAX(0,M114+'Statewide Votes'!$L$9/100)</f>
        <v>1.662448207141779E-3</v>
      </c>
      <c r="S114" t="str">
        <f>IF(U114=0,"Tie",INDEX({"TVK","AIADMK+BJP+PMK+AMMK","DMK+INC+VCK","NTK","NOTA"},MATCH(MAX(N114:R114),N114:R114,0)))</f>
        <v>AIADMK+BJP+PMK+AMMK</v>
      </c>
      <c r="T114" t="str">
        <f>INDEX({"TVK","AIADMK+BJP+PMK+AMMK","DMK+INC+VCK","NTK","NOTA"},MATCH(LARGE(N114:R114,2),N114:R114,0))</f>
        <v>TVK</v>
      </c>
      <c r="U114">
        <f t="shared" si="15"/>
        <v>7.8</v>
      </c>
      <c r="V114" t="str">
        <f t="shared" si="16"/>
        <v>Lean</v>
      </c>
      <c r="W114" t="str">
        <f>IF(LARGE(I114:M114,1)=LARGE(I114:M114,2),"Tie",INDEX({"TVK","AIADMK+BJP+PMK+AMMK","DMK+INC+VCK","NTK","NOTA"},MATCH(MAX(I114:M114),I114:M114,0)))</f>
        <v>AIADMK+BJP+PMK+AMMK</v>
      </c>
      <c r="X114" s="7">
        <f t="shared" si="17"/>
        <v>0.36637386546418504</v>
      </c>
      <c r="Y114" t="str">
        <f>IF(ISNUMBER(MATCH(A114,{"Maduravoyal","Ambattur","Madavaram","Thiruvottiyur","Sholinganallur","Alandur"},0)),"Chennai",B114)</f>
        <v>Namakkal</v>
      </c>
    </row>
    <row r="115" spans="1:25" x14ac:dyDescent="0.2">
      <c r="A115" s="3" t="s">
        <v>181</v>
      </c>
      <c r="B115" t="s">
        <v>182</v>
      </c>
      <c r="C115" s="11">
        <v>7</v>
      </c>
      <c r="D115" s="11">
        <v>10</v>
      </c>
      <c r="E115" s="11">
        <v>14</v>
      </c>
      <c r="F115" s="11">
        <v>2</v>
      </c>
      <c r="G115" s="11">
        <v>0</v>
      </c>
      <c r="H115">
        <f t="shared" si="9"/>
        <v>33</v>
      </c>
      <c r="I115" s="7">
        <f t="shared" si="10"/>
        <v>0.21212121212121213</v>
      </c>
      <c r="J115" s="7">
        <f t="shared" si="11"/>
        <v>0.30303030303030304</v>
      </c>
      <c r="K115" s="7">
        <f t="shared" si="12"/>
        <v>0.42424242424242425</v>
      </c>
      <c r="L115" s="7">
        <f t="shared" si="13"/>
        <v>6.0606060606060608E-2</v>
      </c>
      <c r="M115" s="7">
        <f t="shared" si="14"/>
        <v>0</v>
      </c>
      <c r="N115" s="7">
        <f>MAX(0,I115+'Statewide Votes'!$H$9/100)</f>
        <v>0.16749461799930862</v>
      </c>
      <c r="O115" s="7">
        <f>MAX(0,J115+'Statewide Votes'!$I$9/100)</f>
        <v>0.31042980952012911</v>
      </c>
      <c r="P115" s="7">
        <f>MAX(0,K115+'Statewide Votes'!$J$9/100)</f>
        <v>0.46859038036511985</v>
      </c>
      <c r="Q115" s="7">
        <f>MAX(0,L115+'Statewide Votes'!$K$9/100)</f>
        <v>5.1822743908300731E-2</v>
      </c>
      <c r="R115" s="7">
        <f>MAX(0,M115+'Statewide Votes'!$L$9/100)</f>
        <v>1.662448207141779E-3</v>
      </c>
      <c r="S115" t="str">
        <f>IF(U115=0,"Tie",INDEX({"TVK","AIADMK+BJP+PMK+AMMK","DMK+INC+VCK","NTK","NOTA"},MATCH(MAX(N115:R115),N115:R115,0)))</f>
        <v>DMK+INC+VCK</v>
      </c>
      <c r="T115" t="str">
        <f>INDEX({"TVK","AIADMK+BJP+PMK+AMMK","DMK+INC+VCK","NTK","NOTA"},MATCH(LARGE(N115:R115,2),N115:R115,0))</f>
        <v>AIADMK+BJP+PMK+AMMK</v>
      </c>
      <c r="U115">
        <f t="shared" si="15"/>
        <v>15.8</v>
      </c>
      <c r="V115" t="str">
        <f t="shared" si="16"/>
        <v>Strong</v>
      </c>
      <c r="W115" t="str">
        <f>IF(LARGE(I115:M115,1)=LARGE(I115:M115,2),"Tie",INDEX({"TVK","AIADMK+BJP+PMK+AMMK","DMK+INC+VCK","NTK","NOTA"},MATCH(MAX(I115:M115),I115:M115,0)))</f>
        <v>DMK+INC+VCK</v>
      </c>
      <c r="X115" s="7">
        <f t="shared" si="17"/>
        <v>0.46859038036511985</v>
      </c>
      <c r="Y115" t="str">
        <f>IF(ISNUMBER(MATCH(A115,{"Maduravoyal","Ambattur","Madavaram","Thiruvottiyur","Sholinganallur","Alandur"},0)),"Chennai",B115)</f>
        <v>Perambalur</v>
      </c>
    </row>
    <row r="116" spans="1:25" x14ac:dyDescent="0.2">
      <c r="A116" s="3" t="s">
        <v>182</v>
      </c>
      <c r="B116" t="s">
        <v>182</v>
      </c>
      <c r="C116" s="11">
        <v>19</v>
      </c>
      <c r="D116" s="11">
        <v>12</v>
      </c>
      <c r="E116" s="11">
        <v>10</v>
      </c>
      <c r="F116" s="11">
        <v>4</v>
      </c>
      <c r="G116" s="11">
        <v>0</v>
      </c>
      <c r="H116">
        <f t="shared" si="9"/>
        <v>45</v>
      </c>
      <c r="I116" s="7">
        <f t="shared" si="10"/>
        <v>0.42222222222222222</v>
      </c>
      <c r="J116" s="7">
        <f t="shared" si="11"/>
        <v>0.26666666666666666</v>
      </c>
      <c r="K116" s="7">
        <f t="shared" si="12"/>
        <v>0.22222222222222221</v>
      </c>
      <c r="L116" s="7">
        <f t="shared" si="13"/>
        <v>8.8888888888888892E-2</v>
      </c>
      <c r="M116" s="7">
        <f t="shared" si="14"/>
        <v>0</v>
      </c>
      <c r="N116" s="7">
        <f>MAX(0,I116+'Statewide Votes'!$H$9/100)</f>
        <v>0.37759562810031871</v>
      </c>
      <c r="O116" s="7">
        <f>MAX(0,J116+'Statewide Votes'!$I$9/100)</f>
        <v>0.27406617315649273</v>
      </c>
      <c r="P116" s="7">
        <f>MAX(0,K116+'Statewide Votes'!$J$9/100)</f>
        <v>0.26657017834491781</v>
      </c>
      <c r="Q116" s="7">
        <f>MAX(0,L116+'Statewide Votes'!$K$9/100)</f>
        <v>8.0105572191129015E-2</v>
      </c>
      <c r="R116" s="7">
        <f>MAX(0,M116+'Statewide Votes'!$L$9/100)</f>
        <v>1.662448207141779E-3</v>
      </c>
      <c r="S116" t="str">
        <f>IF(U116=0,"Tie",INDEX({"TVK","AIADMK+BJP+PMK+AMMK","DMK+INC+VCK","NTK","NOTA"},MATCH(MAX(N116:R116),N116:R116,0)))</f>
        <v>TVK</v>
      </c>
      <c r="T116" t="str">
        <f>INDEX({"TVK","AIADMK+BJP+PMK+AMMK","DMK+INC+VCK","NTK","NOTA"},MATCH(LARGE(N116:R116,2),N116:R116,0))</f>
        <v>AIADMK+BJP+PMK+AMMK</v>
      </c>
      <c r="U116">
        <f t="shared" si="15"/>
        <v>10.4</v>
      </c>
      <c r="V116" t="str">
        <f t="shared" si="16"/>
        <v>Strong</v>
      </c>
      <c r="W116" t="str">
        <f>IF(LARGE(I116:M116,1)=LARGE(I116:M116,2),"Tie",INDEX({"TVK","AIADMK+BJP+PMK+AMMK","DMK+INC+VCK","NTK","NOTA"},MATCH(MAX(I116:M116),I116:M116,0)))</f>
        <v>TVK</v>
      </c>
      <c r="X116" s="7">
        <f t="shared" si="17"/>
        <v>0.37759562810031871</v>
      </c>
      <c r="Y116" t="str">
        <f>IF(ISNUMBER(MATCH(A116,{"Maduravoyal","Ambattur","Madavaram","Thiruvottiyur","Sholinganallur","Alandur"},0)),"Chennai",B116)</f>
        <v>Perambalur</v>
      </c>
    </row>
    <row r="117" spans="1:25" x14ac:dyDescent="0.2">
      <c r="A117" s="3" t="s">
        <v>183</v>
      </c>
      <c r="B117" t="s">
        <v>184</v>
      </c>
      <c r="C117" s="11">
        <v>10</v>
      </c>
      <c r="D117" s="11">
        <v>7</v>
      </c>
      <c r="E117" s="11">
        <v>8</v>
      </c>
      <c r="F117" s="11">
        <v>6</v>
      </c>
      <c r="G117" s="11">
        <v>1</v>
      </c>
      <c r="H117">
        <f t="shared" si="9"/>
        <v>32</v>
      </c>
      <c r="I117" s="7">
        <f t="shared" si="10"/>
        <v>0.3125</v>
      </c>
      <c r="J117" s="7">
        <f t="shared" si="11"/>
        <v>0.21875</v>
      </c>
      <c r="K117" s="7">
        <f t="shared" si="12"/>
        <v>0.25</v>
      </c>
      <c r="L117" s="7">
        <f t="shared" si="13"/>
        <v>0.1875</v>
      </c>
      <c r="M117" s="7">
        <f t="shared" si="14"/>
        <v>3.125E-2</v>
      </c>
      <c r="N117" s="7">
        <f>MAX(0,I117+'Statewide Votes'!$H$9/100)</f>
        <v>0.26787340587809649</v>
      </c>
      <c r="O117" s="7">
        <f>MAX(0,J117+'Statewide Votes'!$I$9/100)</f>
        <v>0.22614950648982607</v>
      </c>
      <c r="P117" s="7">
        <f>MAX(0,K117+'Statewide Votes'!$J$9/100)</f>
        <v>0.2943479561226956</v>
      </c>
      <c r="Q117" s="7">
        <f>MAX(0,L117+'Statewide Votes'!$K$9/100)</f>
        <v>0.17871668330224011</v>
      </c>
      <c r="R117" s="7">
        <f>MAX(0,M117+'Statewide Votes'!$L$9/100)</f>
        <v>3.291244820714178E-2</v>
      </c>
      <c r="S117" t="str">
        <f>IF(U117=0,"Tie",INDEX({"TVK","AIADMK+BJP+PMK+AMMK","DMK+INC+VCK","NTK","NOTA"},MATCH(MAX(N117:R117),N117:R117,0)))</f>
        <v>DMK+INC+VCK</v>
      </c>
      <c r="T117" t="str">
        <f>INDEX({"TVK","AIADMK+BJP+PMK+AMMK","DMK+INC+VCK","NTK","NOTA"},MATCH(LARGE(N117:R117,2),N117:R117,0))</f>
        <v>TVK</v>
      </c>
      <c r="U117">
        <f t="shared" si="15"/>
        <v>2.6</v>
      </c>
      <c r="V117" t="str">
        <f t="shared" si="16"/>
        <v>Toss-up</v>
      </c>
      <c r="W117" t="str">
        <f>IF(LARGE(I117:M117,1)=LARGE(I117:M117,2),"Tie",INDEX({"TVK","AIADMK+BJP+PMK+AMMK","DMK+INC+VCK","NTK","NOTA"},MATCH(MAX(I117:M117),I117:M117,0)))</f>
        <v>TVK</v>
      </c>
      <c r="X117" s="7">
        <f t="shared" si="17"/>
        <v>0.2943479561226956</v>
      </c>
      <c r="Y117" t="str">
        <f>IF(ISNUMBER(MATCH(A117,{"Maduravoyal","Ambattur","Madavaram","Thiruvottiyur","Sholinganallur","Alandur"},0)),"Chennai",B117)</f>
        <v>Pudukkottai</v>
      </c>
    </row>
    <row r="118" spans="1:25" x14ac:dyDescent="0.2">
      <c r="A118" s="3" t="s">
        <v>185</v>
      </c>
      <c r="B118" t="s">
        <v>184</v>
      </c>
      <c r="C118" s="11">
        <v>11</v>
      </c>
      <c r="D118" s="11">
        <v>5</v>
      </c>
      <c r="E118" s="11">
        <v>5</v>
      </c>
      <c r="F118" s="11">
        <v>4</v>
      </c>
      <c r="G118" s="11">
        <v>0</v>
      </c>
      <c r="H118">
        <f t="shared" si="9"/>
        <v>25</v>
      </c>
      <c r="I118" s="7">
        <f t="shared" si="10"/>
        <v>0.44</v>
      </c>
      <c r="J118" s="7">
        <f t="shared" si="11"/>
        <v>0.2</v>
      </c>
      <c r="K118" s="7">
        <f t="shared" si="12"/>
        <v>0.2</v>
      </c>
      <c r="L118" s="7">
        <f t="shared" si="13"/>
        <v>0.16</v>
      </c>
      <c r="M118" s="7">
        <f t="shared" si="14"/>
        <v>0</v>
      </c>
      <c r="N118" s="7">
        <f>MAX(0,I118+'Statewide Votes'!$H$9/100)</f>
        <v>0.3953734058780965</v>
      </c>
      <c r="O118" s="7">
        <f>MAX(0,J118+'Statewide Votes'!$I$9/100)</f>
        <v>0.20739950648982608</v>
      </c>
      <c r="P118" s="7">
        <f>MAX(0,K118+'Statewide Votes'!$J$9/100)</f>
        <v>0.24434795612269561</v>
      </c>
      <c r="Q118" s="7">
        <f>MAX(0,L118+'Statewide Votes'!$K$9/100)</f>
        <v>0.15121668330224014</v>
      </c>
      <c r="R118" s="7">
        <f>MAX(0,M118+'Statewide Votes'!$L$9/100)</f>
        <v>1.662448207141779E-3</v>
      </c>
      <c r="S118" t="str">
        <f>IF(U118=0,"Tie",INDEX({"TVK","AIADMK+BJP+PMK+AMMK","DMK+INC+VCK","NTK","NOTA"},MATCH(MAX(N118:R118),N118:R118,0)))</f>
        <v>TVK</v>
      </c>
      <c r="T118" t="str">
        <f>INDEX({"TVK","AIADMK+BJP+PMK+AMMK","DMK+INC+VCK","NTK","NOTA"},MATCH(LARGE(N118:R118,2),N118:R118,0))</f>
        <v>DMK+INC+VCK</v>
      </c>
      <c r="U118">
        <f t="shared" si="15"/>
        <v>15.1</v>
      </c>
      <c r="V118" t="str">
        <f t="shared" si="16"/>
        <v>Lean</v>
      </c>
      <c r="W118" t="str">
        <f>IF(LARGE(I118:M118,1)=LARGE(I118:M118,2),"Tie",INDEX({"TVK","AIADMK+BJP+PMK+AMMK","DMK+INC+VCK","NTK","NOTA"},MATCH(MAX(I118:M118),I118:M118,0)))</f>
        <v>TVK</v>
      </c>
      <c r="X118" s="7">
        <f t="shared" si="17"/>
        <v>0.3953734058780965</v>
      </c>
      <c r="Y118" t="str">
        <f>IF(ISNUMBER(MATCH(A118,{"Maduravoyal","Ambattur","Madavaram","Thiruvottiyur","Sholinganallur","Alandur"},0)),"Chennai",B118)</f>
        <v>Pudukkottai</v>
      </c>
    </row>
    <row r="119" spans="1:25" x14ac:dyDescent="0.2">
      <c r="A119" s="3" t="s">
        <v>186</v>
      </c>
      <c r="B119" t="s">
        <v>184</v>
      </c>
      <c r="C119" s="11">
        <v>7</v>
      </c>
      <c r="D119" s="11">
        <v>8</v>
      </c>
      <c r="E119" s="11">
        <v>2</v>
      </c>
      <c r="F119" s="11">
        <v>2</v>
      </c>
      <c r="G119" s="11">
        <v>0</v>
      </c>
      <c r="H119">
        <f t="shared" si="9"/>
        <v>19</v>
      </c>
      <c r="I119" s="7">
        <f t="shared" si="10"/>
        <v>0.36842105263157893</v>
      </c>
      <c r="J119" s="7">
        <f t="shared" si="11"/>
        <v>0.42105263157894735</v>
      </c>
      <c r="K119" s="7">
        <f t="shared" si="12"/>
        <v>0.10526315789473684</v>
      </c>
      <c r="L119" s="7">
        <f t="shared" si="13"/>
        <v>0.10526315789473684</v>
      </c>
      <c r="M119" s="7">
        <f t="shared" si="14"/>
        <v>0</v>
      </c>
      <c r="N119" s="7">
        <f>MAX(0,I119+'Statewide Votes'!$H$9/100)</f>
        <v>0.32379445850967542</v>
      </c>
      <c r="O119" s="7">
        <f>MAX(0,J119+'Statewide Votes'!$I$9/100)</f>
        <v>0.42845213806877341</v>
      </c>
      <c r="P119" s="7">
        <f>MAX(0,K119+'Statewide Votes'!$J$9/100)</f>
        <v>0.14961111401743243</v>
      </c>
      <c r="Q119" s="7">
        <f>MAX(0,L119+'Statewide Votes'!$K$9/100)</f>
        <v>9.6479841196976959E-2</v>
      </c>
      <c r="R119" s="7">
        <f>MAX(0,M119+'Statewide Votes'!$L$9/100)</f>
        <v>1.662448207141779E-3</v>
      </c>
      <c r="S119" t="str">
        <f>IF(U119=0,"Tie",INDEX({"TVK","AIADMK+BJP+PMK+AMMK","DMK+INC+VCK","NTK","NOTA"},MATCH(MAX(N119:R119),N119:R119,0)))</f>
        <v>AIADMK+BJP+PMK+AMMK</v>
      </c>
      <c r="T119" t="str">
        <f>INDEX({"TVK","AIADMK+BJP+PMK+AMMK","DMK+INC+VCK","NTK","NOTA"},MATCH(LARGE(N119:R119,2),N119:R119,0))</f>
        <v>TVK</v>
      </c>
      <c r="U119">
        <f t="shared" si="15"/>
        <v>10.5</v>
      </c>
      <c r="V119" t="str">
        <f t="shared" si="16"/>
        <v>Lean</v>
      </c>
      <c r="W119" t="str">
        <f>IF(LARGE(I119:M119,1)=LARGE(I119:M119,2),"Tie",INDEX({"TVK","AIADMK+BJP+PMK+AMMK","DMK+INC+VCK","NTK","NOTA"},MATCH(MAX(I119:M119),I119:M119,0)))</f>
        <v>AIADMK+BJP+PMK+AMMK</v>
      </c>
      <c r="X119" s="7">
        <f t="shared" si="17"/>
        <v>0.42845213806877341</v>
      </c>
      <c r="Y119" t="str">
        <f>IF(ISNUMBER(MATCH(A119,{"Maduravoyal","Ambattur","Madavaram","Thiruvottiyur","Sholinganallur","Alandur"},0)),"Chennai",B119)</f>
        <v>Pudukkottai</v>
      </c>
    </row>
    <row r="120" spans="1:25" x14ac:dyDescent="0.2">
      <c r="A120" s="3" t="s">
        <v>184</v>
      </c>
      <c r="B120" t="s">
        <v>184</v>
      </c>
      <c r="C120" s="11">
        <v>30</v>
      </c>
      <c r="D120" s="11">
        <v>8</v>
      </c>
      <c r="E120" s="11">
        <v>6</v>
      </c>
      <c r="F120" s="11">
        <v>3</v>
      </c>
      <c r="G120" s="11">
        <v>0</v>
      </c>
      <c r="H120">
        <f t="shared" si="9"/>
        <v>47</v>
      </c>
      <c r="I120" s="7">
        <f t="shared" si="10"/>
        <v>0.63829787234042556</v>
      </c>
      <c r="J120" s="7">
        <f t="shared" si="11"/>
        <v>0.1702127659574468</v>
      </c>
      <c r="K120" s="7">
        <f t="shared" si="12"/>
        <v>0.1276595744680851</v>
      </c>
      <c r="L120" s="7">
        <f t="shared" si="13"/>
        <v>6.3829787234042548E-2</v>
      </c>
      <c r="M120" s="7">
        <f t="shared" si="14"/>
        <v>0</v>
      </c>
      <c r="N120" s="7">
        <f>MAX(0,I120+'Statewide Votes'!$H$9/100)</f>
        <v>0.59367127821852206</v>
      </c>
      <c r="O120" s="7">
        <f>MAX(0,J120+'Statewide Votes'!$I$9/100)</f>
        <v>0.17761227244727287</v>
      </c>
      <c r="P120" s="7">
        <f>MAX(0,K120+'Statewide Votes'!$J$9/100)</f>
        <v>0.17200753059078069</v>
      </c>
      <c r="Q120" s="7">
        <f>MAX(0,L120+'Statewide Votes'!$K$9/100)</f>
        <v>5.5046470536282671E-2</v>
      </c>
      <c r="R120" s="7">
        <f>MAX(0,M120+'Statewide Votes'!$L$9/100)</f>
        <v>1.662448207141779E-3</v>
      </c>
      <c r="S120" t="str">
        <f>IF(U120=0,"Tie",INDEX({"TVK","AIADMK+BJP+PMK+AMMK","DMK+INC+VCK","NTK","NOTA"},MATCH(MAX(N120:R120),N120:R120,0)))</f>
        <v>TVK</v>
      </c>
      <c r="T120" t="str">
        <f>INDEX({"TVK","AIADMK+BJP+PMK+AMMK","DMK+INC+VCK","NTK","NOTA"},MATCH(LARGE(N120:R120,2),N120:R120,0))</f>
        <v>AIADMK+BJP+PMK+AMMK</v>
      </c>
      <c r="U120">
        <f t="shared" si="15"/>
        <v>41.6</v>
      </c>
      <c r="V120" t="str">
        <f t="shared" si="16"/>
        <v>Strong</v>
      </c>
      <c r="W120" t="str">
        <f>IF(LARGE(I120:M120,1)=LARGE(I120:M120,2),"Tie",INDEX({"TVK","AIADMK+BJP+PMK+AMMK","DMK+INC+VCK","NTK","NOTA"},MATCH(MAX(I120:M120),I120:M120,0)))</f>
        <v>TVK</v>
      </c>
      <c r="X120" s="7">
        <f t="shared" si="17"/>
        <v>0.59367127821852206</v>
      </c>
      <c r="Y120" t="str">
        <f>IF(ISNUMBER(MATCH(A120,{"Maduravoyal","Ambattur","Madavaram","Thiruvottiyur","Sholinganallur","Alandur"},0)),"Chennai",B120)</f>
        <v>Pudukkottai</v>
      </c>
    </row>
    <row r="121" spans="1:25" x14ac:dyDescent="0.2">
      <c r="A121" s="3" t="s">
        <v>187</v>
      </c>
      <c r="B121" t="s">
        <v>184</v>
      </c>
      <c r="C121" s="11">
        <v>7</v>
      </c>
      <c r="D121" s="11">
        <v>7</v>
      </c>
      <c r="E121" s="11">
        <v>5</v>
      </c>
      <c r="F121" s="11">
        <v>3</v>
      </c>
      <c r="G121" s="11">
        <v>0</v>
      </c>
      <c r="H121">
        <f t="shared" si="9"/>
        <v>22</v>
      </c>
      <c r="I121" s="7">
        <f t="shared" si="10"/>
        <v>0.31818181818181818</v>
      </c>
      <c r="J121" s="7">
        <f t="shared" si="11"/>
        <v>0.31818181818181818</v>
      </c>
      <c r="K121" s="7">
        <f t="shared" si="12"/>
        <v>0.22727272727272727</v>
      </c>
      <c r="L121" s="7">
        <f t="shared" si="13"/>
        <v>0.13636363636363635</v>
      </c>
      <c r="M121" s="7">
        <f t="shared" si="14"/>
        <v>0</v>
      </c>
      <c r="N121" s="7">
        <f>MAX(0,I121+'Statewide Votes'!$H$9/100)</f>
        <v>0.27355522405991467</v>
      </c>
      <c r="O121" s="7">
        <f>MAX(0,J121+'Statewide Votes'!$I$9/100)</f>
        <v>0.32558132467164425</v>
      </c>
      <c r="P121" s="7">
        <f>MAX(0,K121+'Statewide Votes'!$J$9/100)</f>
        <v>0.27162068339542289</v>
      </c>
      <c r="Q121" s="7">
        <f>MAX(0,L121+'Statewide Votes'!$K$9/100)</f>
        <v>0.12758031966587646</v>
      </c>
      <c r="R121" s="7">
        <f>MAX(0,M121+'Statewide Votes'!$L$9/100)</f>
        <v>1.662448207141779E-3</v>
      </c>
      <c r="S121" t="str">
        <f>IF(U121=0,"Tie",INDEX({"TVK","AIADMK+BJP+PMK+AMMK","DMK+INC+VCK","NTK","NOTA"},MATCH(MAX(N121:R121),N121:R121,0)))</f>
        <v>AIADMK+BJP+PMK+AMMK</v>
      </c>
      <c r="T121" t="str">
        <f>INDEX({"TVK","AIADMK+BJP+PMK+AMMK","DMK+INC+VCK","NTK","NOTA"},MATCH(LARGE(N121:R121,2),N121:R121,0))</f>
        <v>TVK</v>
      </c>
      <c r="U121">
        <f t="shared" si="15"/>
        <v>5.2</v>
      </c>
      <c r="V121" t="str">
        <f t="shared" si="16"/>
        <v>Lean</v>
      </c>
      <c r="W121" t="str">
        <f>IF(LARGE(I121:M121,1)=LARGE(I121:M121,2),"Tie",INDEX({"TVK","AIADMK+BJP+PMK+AMMK","DMK+INC+VCK","NTK","NOTA"},MATCH(MAX(I121:M121),I121:M121,0)))</f>
        <v>Tie</v>
      </c>
      <c r="X121" s="7">
        <f t="shared" si="17"/>
        <v>0.32558132467164425</v>
      </c>
      <c r="Y121" t="str">
        <f>IF(ISNUMBER(MATCH(A121,{"Maduravoyal","Ambattur","Madavaram","Thiruvottiyur","Sholinganallur","Alandur"},0)),"Chennai",B121)</f>
        <v>Pudukkottai</v>
      </c>
    </row>
    <row r="122" spans="1:25" x14ac:dyDescent="0.2">
      <c r="A122" s="3" t="s">
        <v>188</v>
      </c>
      <c r="B122" t="s">
        <v>184</v>
      </c>
      <c r="C122" s="11">
        <v>14</v>
      </c>
      <c r="D122" s="11">
        <v>7</v>
      </c>
      <c r="E122" s="11">
        <v>10</v>
      </c>
      <c r="F122" s="11">
        <v>5</v>
      </c>
      <c r="G122" s="11">
        <v>0</v>
      </c>
      <c r="H122">
        <f t="shared" si="9"/>
        <v>36</v>
      </c>
      <c r="I122" s="7">
        <f t="shared" si="10"/>
        <v>0.3888888888888889</v>
      </c>
      <c r="J122" s="7">
        <f t="shared" si="11"/>
        <v>0.19444444444444445</v>
      </c>
      <c r="K122" s="7">
        <f t="shared" si="12"/>
        <v>0.27777777777777779</v>
      </c>
      <c r="L122" s="7">
        <f t="shared" si="13"/>
        <v>0.1388888888888889</v>
      </c>
      <c r="M122" s="7">
        <f t="shared" si="14"/>
        <v>0</v>
      </c>
      <c r="N122" s="7">
        <f>MAX(0,I122+'Statewide Votes'!$H$9/100)</f>
        <v>0.34426229476698539</v>
      </c>
      <c r="O122" s="7">
        <f>MAX(0,J122+'Statewide Votes'!$I$9/100)</f>
        <v>0.20184395093427052</v>
      </c>
      <c r="P122" s="7">
        <f>MAX(0,K122+'Statewide Votes'!$J$9/100)</f>
        <v>0.32212573390047339</v>
      </c>
      <c r="Q122" s="7">
        <f>MAX(0,L122+'Statewide Votes'!$K$9/100)</f>
        <v>0.130105572191129</v>
      </c>
      <c r="R122" s="7">
        <f>MAX(0,M122+'Statewide Votes'!$L$9/100)</f>
        <v>1.662448207141779E-3</v>
      </c>
      <c r="S122" t="str">
        <f>IF(U122=0,"Tie",INDEX({"TVK","AIADMK+BJP+PMK+AMMK","DMK+INC+VCK","NTK","NOTA"},MATCH(MAX(N122:R122),N122:R122,0)))</f>
        <v>TVK</v>
      </c>
      <c r="T122" t="str">
        <f>INDEX({"TVK","AIADMK+BJP+PMK+AMMK","DMK+INC+VCK","NTK","NOTA"},MATCH(LARGE(N122:R122,2),N122:R122,0))</f>
        <v>DMK+INC+VCK</v>
      </c>
      <c r="U122">
        <f t="shared" si="15"/>
        <v>2.2000000000000002</v>
      </c>
      <c r="V122" t="str">
        <f t="shared" si="16"/>
        <v>Toss-up</v>
      </c>
      <c r="W122" t="str">
        <f>IF(LARGE(I122:M122,1)=LARGE(I122:M122,2),"Tie",INDEX({"TVK","AIADMK+BJP+PMK+AMMK","DMK+INC+VCK","NTK","NOTA"},MATCH(MAX(I122:M122),I122:M122,0)))</f>
        <v>TVK</v>
      </c>
      <c r="X122" s="7">
        <f t="shared" si="17"/>
        <v>0.34426229476698539</v>
      </c>
      <c r="Y122" t="str">
        <f>IF(ISNUMBER(MATCH(A122,{"Maduravoyal","Ambattur","Madavaram","Thiruvottiyur","Sholinganallur","Alandur"},0)),"Chennai",B122)</f>
        <v>Pudukkottai</v>
      </c>
    </row>
    <row r="123" spans="1:25" x14ac:dyDescent="0.2">
      <c r="A123" s="3" t="s">
        <v>189</v>
      </c>
      <c r="B123" t="s">
        <v>190</v>
      </c>
      <c r="C123" s="11">
        <v>11</v>
      </c>
      <c r="D123" s="11">
        <v>5</v>
      </c>
      <c r="E123" s="11">
        <v>10</v>
      </c>
      <c r="F123" s="11">
        <v>8</v>
      </c>
      <c r="G123" s="11">
        <v>0</v>
      </c>
      <c r="H123">
        <f t="shared" si="9"/>
        <v>34</v>
      </c>
      <c r="I123" s="7">
        <f t="shared" si="10"/>
        <v>0.3235294117647059</v>
      </c>
      <c r="J123" s="7">
        <f t="shared" si="11"/>
        <v>0.14705882352941177</v>
      </c>
      <c r="K123" s="7">
        <f t="shared" si="12"/>
        <v>0.29411764705882354</v>
      </c>
      <c r="L123" s="7">
        <f t="shared" si="13"/>
        <v>0.23529411764705882</v>
      </c>
      <c r="M123" s="7">
        <f t="shared" si="14"/>
        <v>0</v>
      </c>
      <c r="N123" s="7">
        <f>MAX(0,I123+'Statewide Votes'!$H$9/100)</f>
        <v>0.27890281764280239</v>
      </c>
      <c r="O123" s="7">
        <f>MAX(0,J123+'Statewide Votes'!$I$9/100)</f>
        <v>0.15445833001923784</v>
      </c>
      <c r="P123" s="7">
        <f>MAX(0,K123+'Statewide Votes'!$J$9/100)</f>
        <v>0.33846560318151914</v>
      </c>
      <c r="Q123" s="7">
        <f>MAX(0,L123+'Statewide Votes'!$K$9/100)</f>
        <v>0.22651080094929893</v>
      </c>
      <c r="R123" s="7">
        <f>MAX(0,M123+'Statewide Votes'!$L$9/100)</f>
        <v>1.662448207141779E-3</v>
      </c>
      <c r="S123" t="str">
        <f>IF(U123=0,"Tie",INDEX({"TVK","AIADMK+BJP+PMK+AMMK","DMK+INC+VCK","NTK","NOTA"},MATCH(MAX(N123:R123),N123:R123,0)))</f>
        <v>DMK+INC+VCK</v>
      </c>
      <c r="T123" t="str">
        <f>INDEX({"TVK","AIADMK+BJP+PMK+AMMK","DMK+INC+VCK","NTK","NOTA"},MATCH(LARGE(N123:R123,2),N123:R123,0))</f>
        <v>TVK</v>
      </c>
      <c r="U123">
        <f t="shared" si="15"/>
        <v>6</v>
      </c>
      <c r="V123" t="str">
        <f t="shared" si="16"/>
        <v>Lean</v>
      </c>
      <c r="W123" t="str">
        <f>IF(LARGE(I123:M123,1)=LARGE(I123:M123,2),"Tie",INDEX({"TVK","AIADMK+BJP+PMK+AMMK","DMK+INC+VCK","NTK","NOTA"},MATCH(MAX(I123:M123),I123:M123,0)))</f>
        <v>TVK</v>
      </c>
      <c r="X123" s="7">
        <f t="shared" si="17"/>
        <v>0.33846560318151914</v>
      </c>
      <c r="Y123" t="str">
        <f>IF(ISNUMBER(MATCH(A123,{"Maduravoyal","Ambattur","Madavaram","Thiruvottiyur","Sholinganallur","Alandur"},0)),"Chennai",B123)</f>
        <v>Ramanathapuram</v>
      </c>
    </row>
    <row r="124" spans="1:25" x14ac:dyDescent="0.2">
      <c r="A124" s="3" t="s">
        <v>191</v>
      </c>
      <c r="B124" t="s">
        <v>190</v>
      </c>
      <c r="C124" s="11">
        <v>18</v>
      </c>
      <c r="D124" s="11">
        <v>8</v>
      </c>
      <c r="E124" s="11">
        <v>9</v>
      </c>
      <c r="F124" s="11">
        <v>5</v>
      </c>
      <c r="G124" s="11">
        <v>0</v>
      </c>
      <c r="H124">
        <f t="shared" si="9"/>
        <v>40</v>
      </c>
      <c r="I124" s="7">
        <f t="shared" si="10"/>
        <v>0.45</v>
      </c>
      <c r="J124" s="7">
        <f t="shared" si="11"/>
        <v>0.2</v>
      </c>
      <c r="K124" s="7">
        <f t="shared" si="12"/>
        <v>0.22500000000000001</v>
      </c>
      <c r="L124" s="7">
        <f t="shared" si="13"/>
        <v>0.125</v>
      </c>
      <c r="M124" s="7">
        <f t="shared" si="14"/>
        <v>0</v>
      </c>
      <c r="N124" s="7">
        <f>MAX(0,I124+'Statewide Votes'!$H$9/100)</f>
        <v>0.4053734058780965</v>
      </c>
      <c r="O124" s="7">
        <f>MAX(0,J124+'Statewide Votes'!$I$9/100)</f>
        <v>0.20739950648982608</v>
      </c>
      <c r="P124" s="7">
        <f>MAX(0,K124+'Statewide Votes'!$J$9/100)</f>
        <v>0.26934795612269558</v>
      </c>
      <c r="Q124" s="7">
        <f>MAX(0,L124+'Statewide Votes'!$K$9/100)</f>
        <v>0.11621668330224012</v>
      </c>
      <c r="R124" s="7">
        <f>MAX(0,M124+'Statewide Votes'!$L$9/100)</f>
        <v>1.662448207141779E-3</v>
      </c>
      <c r="S124" t="str">
        <f>IF(U124=0,"Tie",INDEX({"TVK","AIADMK+BJP+PMK+AMMK","DMK+INC+VCK","NTK","NOTA"},MATCH(MAX(N124:R124),N124:R124,0)))</f>
        <v>TVK</v>
      </c>
      <c r="T124" t="str">
        <f>INDEX({"TVK","AIADMK+BJP+PMK+AMMK","DMK+INC+VCK","NTK","NOTA"},MATCH(LARGE(N124:R124,2),N124:R124,0))</f>
        <v>DMK+INC+VCK</v>
      </c>
      <c r="U124">
        <f t="shared" si="15"/>
        <v>13.6</v>
      </c>
      <c r="V124" t="str">
        <f t="shared" si="16"/>
        <v>Strong</v>
      </c>
      <c r="W124" t="str">
        <f>IF(LARGE(I124:M124,1)=LARGE(I124:M124,2),"Tie",INDEX({"TVK","AIADMK+BJP+PMK+AMMK","DMK+INC+VCK","NTK","NOTA"},MATCH(MAX(I124:M124),I124:M124,0)))</f>
        <v>TVK</v>
      </c>
      <c r="X124" s="7">
        <f t="shared" si="17"/>
        <v>0.4053734058780965</v>
      </c>
      <c r="Y124" t="str">
        <f>IF(ISNUMBER(MATCH(A124,{"Maduravoyal","Ambattur","Madavaram","Thiruvottiyur","Sholinganallur","Alandur"},0)),"Chennai",B124)</f>
        <v>Ramanathapuram</v>
      </c>
    </row>
    <row r="125" spans="1:25" x14ac:dyDescent="0.2">
      <c r="A125" s="3" t="s">
        <v>190</v>
      </c>
      <c r="B125" t="s">
        <v>190</v>
      </c>
      <c r="C125" s="11">
        <v>21</v>
      </c>
      <c r="D125" s="11">
        <v>22</v>
      </c>
      <c r="E125" s="11">
        <v>22</v>
      </c>
      <c r="F125" s="11">
        <v>9</v>
      </c>
      <c r="G125" s="11">
        <v>0</v>
      </c>
      <c r="H125">
        <f t="shared" si="9"/>
        <v>74</v>
      </c>
      <c r="I125" s="7">
        <f t="shared" si="10"/>
        <v>0.28378378378378377</v>
      </c>
      <c r="J125" s="7">
        <f t="shared" si="11"/>
        <v>0.29729729729729731</v>
      </c>
      <c r="K125" s="7">
        <f t="shared" si="12"/>
        <v>0.29729729729729731</v>
      </c>
      <c r="L125" s="7">
        <f t="shared" si="13"/>
        <v>0.12162162162162163</v>
      </c>
      <c r="M125" s="7">
        <f t="shared" si="14"/>
        <v>0</v>
      </c>
      <c r="N125" s="7">
        <f>MAX(0,I125+'Statewide Votes'!$H$9/100)</f>
        <v>0.23915718966188027</v>
      </c>
      <c r="O125" s="7">
        <f>MAX(0,J125+'Statewide Votes'!$I$9/100)</f>
        <v>0.30469680378712338</v>
      </c>
      <c r="P125" s="7">
        <f>MAX(0,K125+'Statewide Votes'!$J$9/100)</f>
        <v>0.34164525341999291</v>
      </c>
      <c r="Q125" s="7">
        <f>MAX(0,L125+'Statewide Votes'!$K$9/100)</f>
        <v>0.11283830492386175</v>
      </c>
      <c r="R125" s="7">
        <f>MAX(0,M125+'Statewide Votes'!$L$9/100)</f>
        <v>1.662448207141779E-3</v>
      </c>
      <c r="S125" t="str">
        <f>IF(U125=0,"Tie",INDEX({"TVK","AIADMK+BJP+PMK+AMMK","DMK+INC+VCK","NTK","NOTA"},MATCH(MAX(N125:R125),N125:R125,0)))</f>
        <v>DMK+INC+VCK</v>
      </c>
      <c r="T125" t="str">
        <f>INDEX({"TVK","AIADMK+BJP+PMK+AMMK","DMK+INC+VCK","NTK","NOTA"},MATCH(LARGE(N125:R125,2),N125:R125,0))</f>
        <v>AIADMK+BJP+PMK+AMMK</v>
      </c>
      <c r="U125">
        <f t="shared" si="15"/>
        <v>3.7</v>
      </c>
      <c r="V125" t="str">
        <f t="shared" si="16"/>
        <v>Toss-up</v>
      </c>
      <c r="W125" t="str">
        <f>IF(LARGE(I125:M125,1)=LARGE(I125:M125,2),"Tie",INDEX({"TVK","AIADMK+BJP+PMK+AMMK","DMK+INC+VCK","NTK","NOTA"},MATCH(MAX(I125:M125),I125:M125,0)))</f>
        <v>Tie</v>
      </c>
      <c r="X125" s="7">
        <f t="shared" si="17"/>
        <v>0.34164525341999291</v>
      </c>
      <c r="Y125" t="str">
        <f>IF(ISNUMBER(MATCH(A125,{"Maduravoyal","Ambattur","Madavaram","Thiruvottiyur","Sholinganallur","Alandur"},0)),"Chennai",B125)</f>
        <v>Ramanathapuram</v>
      </c>
    </row>
    <row r="126" spans="1:25" x14ac:dyDescent="0.2">
      <c r="A126" s="3" t="s">
        <v>192</v>
      </c>
      <c r="B126" t="s">
        <v>190</v>
      </c>
      <c r="C126" s="11">
        <v>13</v>
      </c>
      <c r="D126" s="11">
        <v>5</v>
      </c>
      <c r="E126" s="11">
        <v>9</v>
      </c>
      <c r="F126" s="11">
        <v>2</v>
      </c>
      <c r="G126" s="11">
        <v>1</v>
      </c>
      <c r="H126">
        <f t="shared" si="9"/>
        <v>30</v>
      </c>
      <c r="I126" s="7">
        <f t="shared" si="10"/>
        <v>0.43333333333333335</v>
      </c>
      <c r="J126" s="7">
        <f t="shared" si="11"/>
        <v>0.16666666666666666</v>
      </c>
      <c r="K126" s="7">
        <f t="shared" si="12"/>
        <v>0.3</v>
      </c>
      <c r="L126" s="7">
        <f t="shared" si="13"/>
        <v>6.6666666666666666E-2</v>
      </c>
      <c r="M126" s="7">
        <f t="shared" si="14"/>
        <v>3.3333333333333333E-2</v>
      </c>
      <c r="N126" s="7">
        <f>MAX(0,I126+'Statewide Votes'!$H$9/100)</f>
        <v>0.38870673921142984</v>
      </c>
      <c r="O126" s="7">
        <f>MAX(0,J126+'Statewide Votes'!$I$9/100)</f>
        <v>0.17406617315649273</v>
      </c>
      <c r="P126" s="7">
        <f>MAX(0,K126+'Statewide Votes'!$J$9/100)</f>
        <v>0.34434795612269559</v>
      </c>
      <c r="Q126" s="7">
        <f>MAX(0,L126+'Statewide Votes'!$K$9/100)</f>
        <v>5.7883349968906789E-2</v>
      </c>
      <c r="R126" s="7">
        <f>MAX(0,M126+'Statewide Votes'!$L$9/100)</f>
        <v>3.4995781540475113E-2</v>
      </c>
      <c r="S126" t="str">
        <f>IF(U126=0,"Tie",INDEX({"TVK","AIADMK+BJP+PMK+AMMK","DMK+INC+VCK","NTK","NOTA"},MATCH(MAX(N126:R126),N126:R126,0)))</f>
        <v>TVK</v>
      </c>
      <c r="T126" t="str">
        <f>INDEX({"TVK","AIADMK+BJP+PMK+AMMK","DMK+INC+VCK","NTK","NOTA"},MATCH(LARGE(N126:R126,2),N126:R126,0))</f>
        <v>DMK+INC+VCK</v>
      </c>
      <c r="U126">
        <f t="shared" si="15"/>
        <v>4.4000000000000004</v>
      </c>
      <c r="V126" t="str">
        <f t="shared" si="16"/>
        <v>Toss-up</v>
      </c>
      <c r="W126" t="str">
        <f>IF(LARGE(I126:M126,1)=LARGE(I126:M126,2),"Tie",INDEX({"TVK","AIADMK+BJP+PMK+AMMK","DMK+INC+VCK","NTK","NOTA"},MATCH(MAX(I126:M126),I126:M126,0)))</f>
        <v>TVK</v>
      </c>
      <c r="X126" s="7">
        <f t="shared" si="17"/>
        <v>0.38870673921142984</v>
      </c>
      <c r="Y126" t="str">
        <f>IF(ISNUMBER(MATCH(A126,{"Maduravoyal","Ambattur","Madavaram","Thiruvottiyur","Sholinganallur","Alandur"},0)),"Chennai",B126)</f>
        <v>Ramanathapuram</v>
      </c>
    </row>
    <row r="127" spans="1:25" x14ac:dyDescent="0.2">
      <c r="A127" s="3" t="s">
        <v>193</v>
      </c>
      <c r="B127" t="s">
        <v>194</v>
      </c>
      <c r="C127" s="11">
        <v>9</v>
      </c>
      <c r="D127" s="11">
        <v>14</v>
      </c>
      <c r="E127" s="11">
        <v>5</v>
      </c>
      <c r="F127" s="11">
        <v>3</v>
      </c>
      <c r="G127" s="11">
        <v>0</v>
      </c>
      <c r="H127">
        <f t="shared" si="9"/>
        <v>31</v>
      </c>
      <c r="I127" s="7">
        <f t="shared" si="10"/>
        <v>0.29032258064516131</v>
      </c>
      <c r="J127" s="7">
        <f t="shared" si="11"/>
        <v>0.45161290322580644</v>
      </c>
      <c r="K127" s="7">
        <f t="shared" si="12"/>
        <v>0.16129032258064516</v>
      </c>
      <c r="L127" s="7">
        <f t="shared" si="13"/>
        <v>9.6774193548387094E-2</v>
      </c>
      <c r="M127" s="7">
        <f t="shared" si="14"/>
        <v>0</v>
      </c>
      <c r="N127" s="7">
        <f>MAX(0,I127+'Statewide Votes'!$H$9/100)</f>
        <v>0.2456959865232578</v>
      </c>
      <c r="O127" s="7">
        <f>MAX(0,J127+'Statewide Votes'!$I$9/100)</f>
        <v>0.45901240971563251</v>
      </c>
      <c r="P127" s="7">
        <f>MAX(0,K127+'Statewide Votes'!$J$9/100)</f>
        <v>0.20563827870334075</v>
      </c>
      <c r="Q127" s="7">
        <f>MAX(0,L127+'Statewide Votes'!$K$9/100)</f>
        <v>8.7990876850627217E-2</v>
      </c>
      <c r="R127" s="7">
        <f>MAX(0,M127+'Statewide Votes'!$L$9/100)</f>
        <v>1.662448207141779E-3</v>
      </c>
      <c r="S127" t="str">
        <f>IF(U127=0,"Tie",INDEX({"TVK","AIADMK+BJP+PMK+AMMK","DMK+INC+VCK","NTK","NOTA"},MATCH(MAX(N127:R127),N127:R127,0)))</f>
        <v>AIADMK+BJP+PMK+AMMK</v>
      </c>
      <c r="T127" t="str">
        <f>INDEX({"TVK","AIADMK+BJP+PMK+AMMK","DMK+INC+VCK","NTK","NOTA"},MATCH(LARGE(N127:R127,2),N127:R127,0))</f>
        <v>TVK</v>
      </c>
      <c r="U127">
        <f t="shared" si="15"/>
        <v>21.3</v>
      </c>
      <c r="V127" t="str">
        <f t="shared" si="16"/>
        <v>Strong</v>
      </c>
      <c r="W127" t="str">
        <f>IF(LARGE(I127:M127,1)=LARGE(I127:M127,2),"Tie",INDEX({"TVK","AIADMK+BJP+PMK+AMMK","DMK+INC+VCK","NTK","NOTA"},MATCH(MAX(I127:M127),I127:M127,0)))</f>
        <v>AIADMK+BJP+PMK+AMMK</v>
      </c>
      <c r="X127" s="7">
        <f t="shared" si="17"/>
        <v>0.45901240971563251</v>
      </c>
      <c r="Y127" t="str">
        <f>IF(ISNUMBER(MATCH(A127,{"Maduravoyal","Ambattur","Madavaram","Thiruvottiyur","Sholinganallur","Alandur"},0)),"Chennai",B127)</f>
        <v>Ranipet</v>
      </c>
    </row>
    <row r="128" spans="1:25" x14ac:dyDescent="0.2">
      <c r="A128" s="3" t="s">
        <v>195</v>
      </c>
      <c r="B128" t="s">
        <v>194</v>
      </c>
      <c r="C128" s="11">
        <v>12</v>
      </c>
      <c r="D128" s="11">
        <v>9</v>
      </c>
      <c r="E128" s="11">
        <v>10</v>
      </c>
      <c r="F128" s="11">
        <v>4</v>
      </c>
      <c r="G128" s="11">
        <v>0</v>
      </c>
      <c r="H128">
        <f t="shared" si="9"/>
        <v>35</v>
      </c>
      <c r="I128" s="7">
        <f t="shared" si="10"/>
        <v>0.34285714285714286</v>
      </c>
      <c r="J128" s="7">
        <f t="shared" si="11"/>
        <v>0.25714285714285712</v>
      </c>
      <c r="K128" s="7">
        <f t="shared" si="12"/>
        <v>0.2857142857142857</v>
      </c>
      <c r="L128" s="7">
        <f t="shared" si="13"/>
        <v>0.11428571428571428</v>
      </c>
      <c r="M128" s="7">
        <f t="shared" si="14"/>
        <v>0</v>
      </c>
      <c r="N128" s="7">
        <f>MAX(0,I128+'Statewide Votes'!$H$9/100)</f>
        <v>0.29823054873523935</v>
      </c>
      <c r="O128" s="7">
        <f>MAX(0,J128+'Statewide Votes'!$I$9/100)</f>
        <v>0.26454236363268319</v>
      </c>
      <c r="P128" s="7">
        <f>MAX(0,K128+'Statewide Votes'!$J$9/100)</f>
        <v>0.3300622418369813</v>
      </c>
      <c r="Q128" s="7">
        <f>MAX(0,L128+'Statewide Votes'!$K$9/100)</f>
        <v>0.10550239758795441</v>
      </c>
      <c r="R128" s="7">
        <f>MAX(0,M128+'Statewide Votes'!$L$9/100)</f>
        <v>1.662448207141779E-3</v>
      </c>
      <c r="S128" t="str">
        <f>IF(U128=0,"Tie",INDEX({"TVK","AIADMK+BJP+PMK+AMMK","DMK+INC+VCK","NTK","NOTA"},MATCH(MAX(N128:R128),N128:R128,0)))</f>
        <v>DMK+INC+VCK</v>
      </c>
      <c r="T128" t="str">
        <f>INDEX({"TVK","AIADMK+BJP+PMK+AMMK","DMK+INC+VCK","NTK","NOTA"},MATCH(LARGE(N128:R128,2),N128:R128,0))</f>
        <v>TVK</v>
      </c>
      <c r="U128">
        <f t="shared" si="15"/>
        <v>3.2</v>
      </c>
      <c r="V128" t="str">
        <f t="shared" si="16"/>
        <v>Toss-up</v>
      </c>
      <c r="W128" t="str">
        <f>IF(LARGE(I128:M128,1)=LARGE(I128:M128,2),"Tie",INDEX({"TVK","AIADMK+BJP+PMK+AMMK","DMK+INC+VCK","NTK","NOTA"},MATCH(MAX(I128:M128),I128:M128,0)))</f>
        <v>TVK</v>
      </c>
      <c r="X128" s="7">
        <f t="shared" si="17"/>
        <v>0.3300622418369813</v>
      </c>
      <c r="Y128" t="str">
        <f>IF(ISNUMBER(MATCH(A128,{"Maduravoyal","Ambattur","Madavaram","Thiruvottiyur","Sholinganallur","Alandur"},0)),"Chennai",B128)</f>
        <v>Ranipet</v>
      </c>
    </row>
    <row r="129" spans="1:25" x14ac:dyDescent="0.2">
      <c r="A129" s="3" t="s">
        <v>194</v>
      </c>
      <c r="B129" t="s">
        <v>194</v>
      </c>
      <c r="C129" s="11">
        <v>12</v>
      </c>
      <c r="D129" s="11">
        <v>7</v>
      </c>
      <c r="E129" s="11">
        <v>5</v>
      </c>
      <c r="F129" s="11">
        <v>0</v>
      </c>
      <c r="G129" s="11">
        <v>0</v>
      </c>
      <c r="H129">
        <f t="shared" si="9"/>
        <v>24</v>
      </c>
      <c r="I129" s="7">
        <f t="shared" si="10"/>
        <v>0.5</v>
      </c>
      <c r="J129" s="7">
        <f t="shared" si="11"/>
        <v>0.29166666666666669</v>
      </c>
      <c r="K129" s="7">
        <f t="shared" si="12"/>
        <v>0.20833333333333334</v>
      </c>
      <c r="L129" s="7">
        <f t="shared" si="13"/>
        <v>0</v>
      </c>
      <c r="M129" s="7">
        <f t="shared" si="14"/>
        <v>0</v>
      </c>
      <c r="N129" s="7">
        <f>MAX(0,I129+'Statewide Votes'!$H$9/100)</f>
        <v>0.45537340587809649</v>
      </c>
      <c r="O129" s="7">
        <f>MAX(0,J129+'Statewide Votes'!$I$9/100)</f>
        <v>0.29906617315649275</v>
      </c>
      <c r="P129" s="7">
        <f>MAX(0,K129+'Statewide Votes'!$J$9/100)</f>
        <v>0.25268128945602897</v>
      </c>
      <c r="Q129" s="7">
        <f>MAX(0,L129+'Statewide Votes'!$K$9/100)</f>
        <v>0</v>
      </c>
      <c r="R129" s="7">
        <f>MAX(0,M129+'Statewide Votes'!$L$9/100)</f>
        <v>1.662448207141779E-3</v>
      </c>
      <c r="S129" t="str">
        <f>IF(U129=0,"Tie",INDEX({"TVK","AIADMK+BJP+PMK+AMMK","DMK+INC+VCK","NTK","NOTA"},MATCH(MAX(N129:R129),N129:R129,0)))</f>
        <v>TVK</v>
      </c>
      <c r="T129" t="str">
        <f>INDEX({"TVK","AIADMK+BJP+PMK+AMMK","DMK+INC+VCK","NTK","NOTA"},MATCH(LARGE(N129:R129,2),N129:R129,0))</f>
        <v>AIADMK+BJP+PMK+AMMK</v>
      </c>
      <c r="U129">
        <f t="shared" si="15"/>
        <v>15.6</v>
      </c>
      <c r="V129" t="str">
        <f t="shared" si="16"/>
        <v>Lean</v>
      </c>
      <c r="W129" t="str">
        <f>IF(LARGE(I129:M129,1)=LARGE(I129:M129,2),"Tie",INDEX({"TVK","AIADMK+BJP+PMK+AMMK","DMK+INC+VCK","NTK","NOTA"},MATCH(MAX(I129:M129),I129:M129,0)))</f>
        <v>TVK</v>
      </c>
      <c r="X129" s="7">
        <f t="shared" si="17"/>
        <v>0.45537340587809649</v>
      </c>
      <c r="Y129" t="str">
        <f>IF(ISNUMBER(MATCH(A129,{"Maduravoyal","Ambattur","Madavaram","Thiruvottiyur","Sholinganallur","Alandur"},0)),"Chennai",B129)</f>
        <v>Ranipet</v>
      </c>
    </row>
    <row r="130" spans="1:25" x14ac:dyDescent="0.2">
      <c r="A130" s="3" t="s">
        <v>196</v>
      </c>
      <c r="B130" t="s">
        <v>194</v>
      </c>
      <c r="C130" s="11">
        <v>4</v>
      </c>
      <c r="D130" s="11">
        <v>6</v>
      </c>
      <c r="E130" s="11">
        <v>3</v>
      </c>
      <c r="F130" s="11">
        <v>4</v>
      </c>
      <c r="G130" s="11">
        <v>0</v>
      </c>
      <c r="H130">
        <f t="shared" si="9"/>
        <v>17</v>
      </c>
      <c r="I130" s="7">
        <f t="shared" si="10"/>
        <v>0.23529411764705882</v>
      </c>
      <c r="J130" s="7">
        <f t="shared" si="11"/>
        <v>0.35294117647058826</v>
      </c>
      <c r="K130" s="7">
        <f t="shared" si="12"/>
        <v>0.17647058823529413</v>
      </c>
      <c r="L130" s="7">
        <f t="shared" si="13"/>
        <v>0.23529411764705882</v>
      </c>
      <c r="M130" s="7">
        <f t="shared" si="14"/>
        <v>0</v>
      </c>
      <c r="N130" s="7">
        <f>MAX(0,I130+'Statewide Votes'!$H$9/100)</f>
        <v>0.19066752352515531</v>
      </c>
      <c r="O130" s="7">
        <f>MAX(0,J130+'Statewide Votes'!$I$9/100)</f>
        <v>0.36034068296041433</v>
      </c>
      <c r="P130" s="7">
        <f>MAX(0,K130+'Statewide Votes'!$J$9/100)</f>
        <v>0.22081854435798973</v>
      </c>
      <c r="Q130" s="7">
        <f>MAX(0,L130+'Statewide Votes'!$K$9/100)</f>
        <v>0.22651080094929893</v>
      </c>
      <c r="R130" s="7">
        <f>MAX(0,M130+'Statewide Votes'!$L$9/100)</f>
        <v>1.662448207141779E-3</v>
      </c>
      <c r="S130" t="str">
        <f>IF(U130=0,"Tie",INDEX({"TVK","AIADMK+BJP+PMK+AMMK","DMK+INC+VCK","NTK","NOTA"},MATCH(MAX(N130:R130),N130:R130,0)))</f>
        <v>AIADMK+BJP+PMK+AMMK</v>
      </c>
      <c r="T130" t="str">
        <f>INDEX({"TVK","AIADMK+BJP+PMK+AMMK","DMK+INC+VCK","NTK","NOTA"},MATCH(LARGE(N130:R130,2),N130:R130,0))</f>
        <v>NTK</v>
      </c>
      <c r="U130">
        <f t="shared" si="15"/>
        <v>13.4</v>
      </c>
      <c r="V130" t="str">
        <f t="shared" si="16"/>
        <v>Lean</v>
      </c>
      <c r="W130" t="str">
        <f>IF(LARGE(I130:M130,1)=LARGE(I130:M130,2),"Tie",INDEX({"TVK","AIADMK+BJP+PMK+AMMK","DMK+INC+VCK","NTK","NOTA"},MATCH(MAX(I130:M130),I130:M130,0)))</f>
        <v>AIADMK+BJP+PMK+AMMK</v>
      </c>
      <c r="X130" s="7">
        <f t="shared" si="17"/>
        <v>0.36034068296041433</v>
      </c>
      <c r="Y130" t="str">
        <f>IF(ISNUMBER(MATCH(A130,{"Maduravoyal","Ambattur","Madavaram","Thiruvottiyur","Sholinganallur","Alandur"},0)),"Chennai",B130)</f>
        <v>Ranipet</v>
      </c>
    </row>
    <row r="131" spans="1:25" x14ac:dyDescent="0.2">
      <c r="A131" s="3" t="s">
        <v>197</v>
      </c>
      <c r="B131" t="s">
        <v>198</v>
      </c>
      <c r="C131" s="11">
        <v>10</v>
      </c>
      <c r="D131" s="11">
        <v>10</v>
      </c>
      <c r="E131" s="11">
        <v>6</v>
      </c>
      <c r="F131" s="11">
        <v>4</v>
      </c>
      <c r="G131" s="11">
        <v>0</v>
      </c>
      <c r="H131">
        <f t="shared" si="9"/>
        <v>30</v>
      </c>
      <c r="I131" s="7">
        <f t="shared" si="10"/>
        <v>0.33333333333333331</v>
      </c>
      <c r="J131" s="7">
        <f t="shared" si="11"/>
        <v>0.33333333333333331</v>
      </c>
      <c r="K131" s="7">
        <f t="shared" si="12"/>
        <v>0.2</v>
      </c>
      <c r="L131" s="7">
        <f t="shared" si="13"/>
        <v>0.13333333333333333</v>
      </c>
      <c r="M131" s="7">
        <f t="shared" si="14"/>
        <v>0</v>
      </c>
      <c r="N131" s="7">
        <f>MAX(0,I131+'Statewide Votes'!$H$9/100)</f>
        <v>0.28870673921142981</v>
      </c>
      <c r="O131" s="7">
        <f>MAX(0,J131+'Statewide Votes'!$I$9/100)</f>
        <v>0.34073283982315938</v>
      </c>
      <c r="P131" s="7">
        <f>MAX(0,K131+'Statewide Votes'!$J$9/100)</f>
        <v>0.24434795612269561</v>
      </c>
      <c r="Q131" s="7">
        <f>MAX(0,L131+'Statewide Votes'!$K$9/100)</f>
        <v>0.12455001663557345</v>
      </c>
      <c r="R131" s="7">
        <f>MAX(0,M131+'Statewide Votes'!$L$9/100)</f>
        <v>1.662448207141779E-3</v>
      </c>
      <c r="S131" t="str">
        <f>IF(U131=0,"Tie",INDEX({"TVK","AIADMK+BJP+PMK+AMMK","DMK+INC+VCK","NTK","NOTA"},MATCH(MAX(N131:R131),N131:R131,0)))</f>
        <v>AIADMK+BJP+PMK+AMMK</v>
      </c>
      <c r="T131" t="str">
        <f>INDEX({"TVK","AIADMK+BJP+PMK+AMMK","DMK+INC+VCK","NTK","NOTA"},MATCH(LARGE(N131:R131,2),N131:R131,0))</f>
        <v>TVK</v>
      </c>
      <c r="U131">
        <f t="shared" si="15"/>
        <v>5.2</v>
      </c>
      <c r="V131" t="str">
        <f t="shared" si="16"/>
        <v>Lean</v>
      </c>
      <c r="W131" t="str">
        <f>IF(LARGE(I131:M131,1)=LARGE(I131:M131,2),"Tie",INDEX({"TVK","AIADMK+BJP+PMK+AMMK","DMK+INC+VCK","NTK","NOTA"},MATCH(MAX(I131:M131),I131:M131,0)))</f>
        <v>Tie</v>
      </c>
      <c r="X131" s="7">
        <f t="shared" si="17"/>
        <v>0.34073283982315938</v>
      </c>
      <c r="Y131" t="str">
        <f>IF(ISNUMBER(MATCH(A131,{"Maduravoyal","Ambattur","Madavaram","Thiruvottiyur","Sholinganallur","Alandur"},0)),"Chennai",B131)</f>
        <v>Salem</v>
      </c>
    </row>
    <row r="132" spans="1:25" x14ac:dyDescent="0.2">
      <c r="A132" s="3" t="s">
        <v>199</v>
      </c>
      <c r="B132" t="s">
        <v>198</v>
      </c>
      <c r="C132" s="11">
        <v>23</v>
      </c>
      <c r="D132" s="11">
        <v>20</v>
      </c>
      <c r="E132" s="11">
        <v>7</v>
      </c>
      <c r="F132" s="11">
        <v>3</v>
      </c>
      <c r="G132" s="11">
        <v>0</v>
      </c>
      <c r="H132">
        <f t="shared" si="9"/>
        <v>53</v>
      </c>
      <c r="I132" s="7">
        <f t="shared" si="10"/>
        <v>0.43396226415094341</v>
      </c>
      <c r="J132" s="7">
        <f t="shared" si="11"/>
        <v>0.37735849056603776</v>
      </c>
      <c r="K132" s="7">
        <f t="shared" si="12"/>
        <v>0.13207547169811321</v>
      </c>
      <c r="L132" s="7">
        <f t="shared" si="13"/>
        <v>5.6603773584905662E-2</v>
      </c>
      <c r="M132" s="7">
        <f t="shared" si="14"/>
        <v>0</v>
      </c>
      <c r="N132" s="7">
        <f>MAX(0,I132+'Statewide Votes'!$H$9/100)</f>
        <v>0.3893356700290399</v>
      </c>
      <c r="O132" s="7">
        <f>MAX(0,J132+'Statewide Votes'!$I$9/100)</f>
        <v>0.38475799705586383</v>
      </c>
      <c r="P132" s="7">
        <f>MAX(0,K132+'Statewide Votes'!$J$9/100)</f>
        <v>0.1764234278208088</v>
      </c>
      <c r="Q132" s="7">
        <f>MAX(0,L132+'Statewide Votes'!$K$9/100)</f>
        <v>4.7820456887145785E-2</v>
      </c>
      <c r="R132" s="7">
        <f>MAX(0,M132+'Statewide Votes'!$L$9/100)</f>
        <v>1.662448207141779E-3</v>
      </c>
      <c r="S132" t="str">
        <f>IF(U132=0,"Tie",INDEX({"TVK","AIADMK+BJP+PMK+AMMK","DMK+INC+VCK","NTK","NOTA"},MATCH(MAX(N132:R132),N132:R132,0)))</f>
        <v>TVK</v>
      </c>
      <c r="T132" t="str">
        <f>INDEX({"TVK","AIADMK+BJP+PMK+AMMK","DMK+INC+VCK","NTK","NOTA"},MATCH(LARGE(N132:R132,2),N132:R132,0))</f>
        <v>AIADMK+BJP+PMK+AMMK</v>
      </c>
      <c r="U132">
        <f t="shared" si="15"/>
        <v>0.5</v>
      </c>
      <c r="V132" t="str">
        <f t="shared" si="16"/>
        <v>Toss-up</v>
      </c>
      <c r="W132" t="str">
        <f>IF(LARGE(I132:M132,1)=LARGE(I132:M132,2),"Tie",INDEX({"TVK","AIADMK+BJP+PMK+AMMK","DMK+INC+VCK","NTK","NOTA"},MATCH(MAX(I132:M132),I132:M132,0)))</f>
        <v>TVK</v>
      </c>
      <c r="X132" s="7">
        <f t="shared" si="17"/>
        <v>0.3893356700290399</v>
      </c>
      <c r="Y132" t="str">
        <f>IF(ISNUMBER(MATCH(A132,{"Maduravoyal","Ambattur","Madavaram","Thiruvottiyur","Sholinganallur","Alandur"},0)),"Chennai",B132)</f>
        <v>Salem</v>
      </c>
    </row>
    <row r="133" spans="1:25" x14ac:dyDescent="0.2">
      <c r="A133" s="3" t="s">
        <v>200</v>
      </c>
      <c r="B133" t="s">
        <v>198</v>
      </c>
      <c r="C133" s="11">
        <v>10</v>
      </c>
      <c r="D133" s="11">
        <v>13</v>
      </c>
      <c r="E133" s="11">
        <v>14</v>
      </c>
      <c r="F133" s="11">
        <v>3</v>
      </c>
      <c r="G133" s="11">
        <v>0</v>
      </c>
      <c r="H133">
        <f t="shared" ref="H133:H196" si="18">SUM(C133:G133)</f>
        <v>40</v>
      </c>
      <c r="I133" s="7">
        <f t="shared" ref="I133:I196" si="19">IF($H133=0,0,C133/$H133)</f>
        <v>0.25</v>
      </c>
      <c r="J133" s="7">
        <f t="shared" ref="J133:J196" si="20">IF($H133=0,0,D133/$H133)</f>
        <v>0.32500000000000001</v>
      </c>
      <c r="K133" s="7">
        <f t="shared" ref="K133:K196" si="21">IF($H133=0,0,E133/$H133)</f>
        <v>0.35</v>
      </c>
      <c r="L133" s="7">
        <f t="shared" ref="L133:L196" si="22">IF($H133=0,0,F133/$H133)</f>
        <v>7.4999999999999997E-2</v>
      </c>
      <c r="M133" s="7">
        <f t="shared" ref="M133:M196" si="23">IF($H133=0,0,G133/$H133)</f>
        <v>0</v>
      </c>
      <c r="N133" s="7">
        <f>MAX(0,I133+'Statewide Votes'!$H$9/100)</f>
        <v>0.20537340587809649</v>
      </c>
      <c r="O133" s="7">
        <f>MAX(0,J133+'Statewide Votes'!$I$9/100)</f>
        <v>0.33239950648982608</v>
      </c>
      <c r="P133" s="7">
        <f>MAX(0,K133+'Statewide Votes'!$J$9/100)</f>
        <v>0.39434795612269558</v>
      </c>
      <c r="Q133" s="7">
        <f>MAX(0,L133+'Statewide Votes'!$K$9/100)</f>
        <v>6.621668330224012E-2</v>
      </c>
      <c r="R133" s="7">
        <f>MAX(0,M133+'Statewide Votes'!$L$9/100)</f>
        <v>1.662448207141779E-3</v>
      </c>
      <c r="S133" t="str">
        <f>IF(U133=0,"Tie",INDEX({"TVK","AIADMK+BJP+PMK+AMMK","DMK+INC+VCK","NTK","NOTA"},MATCH(MAX(N133:R133),N133:R133,0)))</f>
        <v>DMK+INC+VCK</v>
      </c>
      <c r="T133" t="str">
        <f>INDEX({"TVK","AIADMK+BJP+PMK+AMMK","DMK+INC+VCK","NTK","NOTA"},MATCH(LARGE(N133:R133,2),N133:R133,0))</f>
        <v>AIADMK+BJP+PMK+AMMK</v>
      </c>
      <c r="U133">
        <f t="shared" ref="U133:U196" si="24">ROUND((LARGE(N133:R133,1)-LARGE(N133:R133,2))*100,1)</f>
        <v>6.2</v>
      </c>
      <c r="V133" t="str">
        <f t="shared" ref="V133:V196" si="25">IF(U133=0,"Tie",IF(H133&lt;10,"Low sample",IF(AND(H133&gt;=30,U133&gt;=10),"Strong",IF(U133&gt;=5,"Lean","Toss-up"))))</f>
        <v>Lean</v>
      </c>
      <c r="W133" t="str">
        <f>IF(LARGE(I133:M133,1)=LARGE(I133:M133,2),"Tie",INDEX({"TVK","AIADMK+BJP+PMK+AMMK","DMK+INC+VCK","NTK","NOTA"},MATCH(MAX(I133:M133),I133:M133,0)))</f>
        <v>DMK+INC+VCK</v>
      </c>
      <c r="X133" s="7">
        <f t="shared" ref="X133:X196" si="26">MAX(N133:R133)</f>
        <v>0.39434795612269558</v>
      </c>
      <c r="Y133" t="str">
        <f>IF(ISNUMBER(MATCH(A133,{"Maduravoyal","Ambattur","Madavaram","Thiruvottiyur","Sholinganallur","Alandur"},0)),"Chennai",B133)</f>
        <v>Salem</v>
      </c>
    </row>
    <row r="134" spans="1:25" x14ac:dyDescent="0.2">
      <c r="A134" s="3" t="s">
        <v>201</v>
      </c>
      <c r="B134" t="s">
        <v>198</v>
      </c>
      <c r="C134" s="11">
        <v>9</v>
      </c>
      <c r="D134" s="11">
        <v>10</v>
      </c>
      <c r="E134" s="11">
        <v>4</v>
      </c>
      <c r="F134" s="11">
        <v>5</v>
      </c>
      <c r="G134" s="11">
        <v>0</v>
      </c>
      <c r="H134">
        <f t="shared" si="18"/>
        <v>28</v>
      </c>
      <c r="I134" s="7">
        <f t="shared" si="19"/>
        <v>0.32142857142857145</v>
      </c>
      <c r="J134" s="7">
        <f t="shared" si="20"/>
        <v>0.35714285714285715</v>
      </c>
      <c r="K134" s="7">
        <f t="shared" si="21"/>
        <v>0.14285714285714285</v>
      </c>
      <c r="L134" s="7">
        <f t="shared" si="22"/>
        <v>0.17857142857142858</v>
      </c>
      <c r="M134" s="7">
        <f t="shared" si="23"/>
        <v>0</v>
      </c>
      <c r="N134" s="7">
        <f>MAX(0,I134+'Statewide Votes'!$H$9/100)</f>
        <v>0.27680197730666795</v>
      </c>
      <c r="O134" s="7">
        <f>MAX(0,J134+'Statewide Votes'!$I$9/100)</f>
        <v>0.36454236363268322</v>
      </c>
      <c r="P134" s="7">
        <f>MAX(0,K134+'Statewide Votes'!$J$9/100)</f>
        <v>0.18720509897983845</v>
      </c>
      <c r="Q134" s="7">
        <f>MAX(0,L134+'Statewide Votes'!$K$9/100)</f>
        <v>0.16978811187366871</v>
      </c>
      <c r="R134" s="7">
        <f>MAX(0,M134+'Statewide Votes'!$L$9/100)</f>
        <v>1.662448207141779E-3</v>
      </c>
      <c r="S134" t="str">
        <f>IF(U134=0,"Tie",INDEX({"TVK","AIADMK+BJP+PMK+AMMK","DMK+INC+VCK","NTK","NOTA"},MATCH(MAX(N134:R134),N134:R134,0)))</f>
        <v>AIADMK+BJP+PMK+AMMK</v>
      </c>
      <c r="T134" t="str">
        <f>INDEX({"TVK","AIADMK+BJP+PMK+AMMK","DMK+INC+VCK","NTK","NOTA"},MATCH(LARGE(N134:R134,2),N134:R134,0))</f>
        <v>TVK</v>
      </c>
      <c r="U134">
        <f t="shared" si="24"/>
        <v>8.8000000000000007</v>
      </c>
      <c r="V134" t="str">
        <f t="shared" si="25"/>
        <v>Lean</v>
      </c>
      <c r="W134" t="str">
        <f>IF(LARGE(I134:M134,1)=LARGE(I134:M134,2),"Tie",INDEX({"TVK","AIADMK+BJP+PMK+AMMK","DMK+INC+VCK","NTK","NOTA"},MATCH(MAX(I134:M134),I134:M134,0)))</f>
        <v>AIADMK+BJP+PMK+AMMK</v>
      </c>
      <c r="X134" s="7">
        <f t="shared" si="26"/>
        <v>0.36454236363268322</v>
      </c>
      <c r="Y134" t="str">
        <f>IF(ISNUMBER(MATCH(A134,{"Maduravoyal","Ambattur","Madavaram","Thiruvottiyur","Sholinganallur","Alandur"},0)),"Chennai",B134)</f>
        <v>Salem</v>
      </c>
    </row>
    <row r="135" spans="1:25" x14ac:dyDescent="0.2">
      <c r="A135" s="3" t="s">
        <v>202</v>
      </c>
      <c r="B135" t="s">
        <v>198</v>
      </c>
      <c r="C135" s="11">
        <v>21</v>
      </c>
      <c r="D135" s="11">
        <v>19</v>
      </c>
      <c r="E135" s="11">
        <v>6</v>
      </c>
      <c r="F135" s="11">
        <v>0</v>
      </c>
      <c r="G135" s="11">
        <v>0</v>
      </c>
      <c r="H135">
        <f t="shared" si="18"/>
        <v>46</v>
      </c>
      <c r="I135" s="7">
        <f t="shared" si="19"/>
        <v>0.45652173913043476</v>
      </c>
      <c r="J135" s="7">
        <f t="shared" si="20"/>
        <v>0.41304347826086957</v>
      </c>
      <c r="K135" s="7">
        <f t="shared" si="21"/>
        <v>0.13043478260869565</v>
      </c>
      <c r="L135" s="7">
        <f t="shared" si="22"/>
        <v>0</v>
      </c>
      <c r="M135" s="7">
        <f t="shared" si="23"/>
        <v>0</v>
      </c>
      <c r="N135" s="7">
        <f>MAX(0,I135+'Statewide Votes'!$H$9/100)</f>
        <v>0.41189514500853125</v>
      </c>
      <c r="O135" s="7">
        <f>MAX(0,J135+'Statewide Votes'!$I$9/100)</f>
        <v>0.42044298475069564</v>
      </c>
      <c r="P135" s="7">
        <f>MAX(0,K135+'Statewide Votes'!$J$9/100)</f>
        <v>0.17478273873139125</v>
      </c>
      <c r="Q135" s="7">
        <f>MAX(0,L135+'Statewide Votes'!$K$9/100)</f>
        <v>0</v>
      </c>
      <c r="R135" s="7">
        <f>MAX(0,M135+'Statewide Votes'!$L$9/100)</f>
        <v>1.662448207141779E-3</v>
      </c>
      <c r="S135" t="str">
        <f>IF(U135=0,"Tie",INDEX({"TVK","AIADMK+BJP+PMK+AMMK","DMK+INC+VCK","NTK","NOTA"},MATCH(MAX(N135:R135),N135:R135,0)))</f>
        <v>AIADMK+BJP+PMK+AMMK</v>
      </c>
      <c r="T135" t="str">
        <f>INDEX({"TVK","AIADMK+BJP+PMK+AMMK","DMK+INC+VCK","NTK","NOTA"},MATCH(LARGE(N135:R135,2),N135:R135,0))</f>
        <v>TVK</v>
      </c>
      <c r="U135">
        <f t="shared" si="24"/>
        <v>0.9</v>
      </c>
      <c r="V135" t="str">
        <f t="shared" si="25"/>
        <v>Toss-up</v>
      </c>
      <c r="W135" t="str">
        <f>IF(LARGE(I135:M135,1)=LARGE(I135:M135,2),"Tie",INDEX({"TVK","AIADMK+BJP+PMK+AMMK","DMK+INC+VCK","NTK","NOTA"},MATCH(MAX(I135:M135),I135:M135,0)))</f>
        <v>TVK</v>
      </c>
      <c r="X135" s="7">
        <f t="shared" si="26"/>
        <v>0.42044298475069564</v>
      </c>
      <c r="Y135" t="str">
        <f>IF(ISNUMBER(MATCH(A135,{"Maduravoyal","Ambattur","Madavaram","Thiruvottiyur","Sholinganallur","Alandur"},0)),"Chennai",B135)</f>
        <v>Salem</v>
      </c>
    </row>
    <row r="136" spans="1:25" x14ac:dyDescent="0.2">
      <c r="A136" s="3" t="s">
        <v>203</v>
      </c>
      <c r="B136" t="s">
        <v>198</v>
      </c>
      <c r="C136" s="11">
        <v>24</v>
      </c>
      <c r="D136" s="11">
        <v>14</v>
      </c>
      <c r="E136" s="11">
        <v>18</v>
      </c>
      <c r="F136" s="11">
        <v>3</v>
      </c>
      <c r="G136" s="11">
        <v>0</v>
      </c>
      <c r="H136">
        <f t="shared" si="18"/>
        <v>59</v>
      </c>
      <c r="I136" s="7">
        <f t="shared" si="19"/>
        <v>0.40677966101694918</v>
      </c>
      <c r="J136" s="7">
        <f t="shared" si="20"/>
        <v>0.23728813559322035</v>
      </c>
      <c r="K136" s="7">
        <f t="shared" si="21"/>
        <v>0.30508474576271188</v>
      </c>
      <c r="L136" s="7">
        <f t="shared" si="22"/>
        <v>5.0847457627118647E-2</v>
      </c>
      <c r="M136" s="7">
        <f t="shared" si="23"/>
        <v>0</v>
      </c>
      <c r="N136" s="7">
        <f>MAX(0,I136+'Statewide Votes'!$H$9/100)</f>
        <v>0.36215306689504567</v>
      </c>
      <c r="O136" s="7">
        <f>MAX(0,J136+'Statewide Votes'!$I$9/100)</f>
        <v>0.24468764208304641</v>
      </c>
      <c r="P136" s="7">
        <f>MAX(0,K136+'Statewide Votes'!$J$9/100)</f>
        <v>0.34943270188540748</v>
      </c>
      <c r="Q136" s="7">
        <f>MAX(0,L136+'Statewide Votes'!$K$9/100)</f>
        <v>4.206414092935877E-2</v>
      </c>
      <c r="R136" s="7">
        <f>MAX(0,M136+'Statewide Votes'!$L$9/100)</f>
        <v>1.662448207141779E-3</v>
      </c>
      <c r="S136" t="str">
        <f>IF(U136=0,"Tie",INDEX({"TVK","AIADMK+BJP+PMK+AMMK","DMK+INC+VCK","NTK","NOTA"},MATCH(MAX(N136:R136),N136:R136,0)))</f>
        <v>TVK</v>
      </c>
      <c r="T136" t="str">
        <f>INDEX({"TVK","AIADMK+BJP+PMK+AMMK","DMK+INC+VCK","NTK","NOTA"},MATCH(LARGE(N136:R136,2),N136:R136,0))</f>
        <v>DMK+INC+VCK</v>
      </c>
      <c r="U136">
        <f t="shared" si="24"/>
        <v>1.3</v>
      </c>
      <c r="V136" t="str">
        <f t="shared" si="25"/>
        <v>Toss-up</v>
      </c>
      <c r="W136" t="str">
        <f>IF(LARGE(I136:M136,1)=LARGE(I136:M136,2),"Tie",INDEX({"TVK","AIADMK+BJP+PMK+AMMK","DMK+INC+VCK","NTK","NOTA"},MATCH(MAX(I136:M136),I136:M136,0)))</f>
        <v>TVK</v>
      </c>
      <c r="X136" s="7">
        <f t="shared" si="26"/>
        <v>0.36215306689504567</v>
      </c>
      <c r="Y136" t="str">
        <f>IF(ISNUMBER(MATCH(A136,{"Maduravoyal","Ambattur","Madavaram","Thiruvottiyur","Sholinganallur","Alandur"},0)),"Chennai",B136)</f>
        <v>Salem</v>
      </c>
    </row>
    <row r="137" spans="1:25" x14ac:dyDescent="0.2">
      <c r="A137" s="3" t="s">
        <v>204</v>
      </c>
      <c r="B137" t="s">
        <v>198</v>
      </c>
      <c r="C137" s="11">
        <v>28</v>
      </c>
      <c r="D137" s="11">
        <v>5</v>
      </c>
      <c r="E137" s="11">
        <v>11</v>
      </c>
      <c r="F137" s="11">
        <v>4</v>
      </c>
      <c r="G137" s="11">
        <v>0</v>
      </c>
      <c r="H137">
        <f t="shared" si="18"/>
        <v>48</v>
      </c>
      <c r="I137" s="7">
        <f t="shared" si="19"/>
        <v>0.58333333333333337</v>
      </c>
      <c r="J137" s="7">
        <f t="shared" si="20"/>
        <v>0.10416666666666667</v>
      </c>
      <c r="K137" s="7">
        <f t="shared" si="21"/>
        <v>0.22916666666666666</v>
      </c>
      <c r="L137" s="7">
        <f t="shared" si="22"/>
        <v>8.3333333333333329E-2</v>
      </c>
      <c r="M137" s="7">
        <f t="shared" si="23"/>
        <v>0</v>
      </c>
      <c r="N137" s="7">
        <f>MAX(0,I137+'Statewide Votes'!$H$9/100)</f>
        <v>0.53870673921142986</v>
      </c>
      <c r="O137" s="7">
        <f>MAX(0,J137+'Statewide Votes'!$I$9/100)</f>
        <v>0.11156617315649274</v>
      </c>
      <c r="P137" s="7">
        <f>MAX(0,K137+'Statewide Votes'!$J$9/100)</f>
        <v>0.27351462278936223</v>
      </c>
      <c r="Q137" s="7">
        <f>MAX(0,L137+'Statewide Votes'!$K$9/100)</f>
        <v>7.4550016635573452E-2</v>
      </c>
      <c r="R137" s="7">
        <f>MAX(0,M137+'Statewide Votes'!$L$9/100)</f>
        <v>1.662448207141779E-3</v>
      </c>
      <c r="S137" t="str">
        <f>IF(U137=0,"Tie",INDEX({"TVK","AIADMK+BJP+PMK+AMMK","DMK+INC+VCK","NTK","NOTA"},MATCH(MAX(N137:R137),N137:R137,0)))</f>
        <v>TVK</v>
      </c>
      <c r="T137" t="str">
        <f>INDEX({"TVK","AIADMK+BJP+PMK+AMMK","DMK+INC+VCK","NTK","NOTA"},MATCH(LARGE(N137:R137,2),N137:R137,0))</f>
        <v>DMK+INC+VCK</v>
      </c>
      <c r="U137">
        <f t="shared" si="24"/>
        <v>26.5</v>
      </c>
      <c r="V137" t="str">
        <f t="shared" si="25"/>
        <v>Strong</v>
      </c>
      <c r="W137" t="str">
        <f>IF(LARGE(I137:M137,1)=LARGE(I137:M137,2),"Tie",INDEX({"TVK","AIADMK+BJP+PMK+AMMK","DMK+INC+VCK","NTK","NOTA"},MATCH(MAX(I137:M137),I137:M137,0)))</f>
        <v>TVK</v>
      </c>
      <c r="X137" s="7">
        <f t="shared" si="26"/>
        <v>0.53870673921142986</v>
      </c>
      <c r="Y137" t="str">
        <f>IF(ISNUMBER(MATCH(A137,{"Maduravoyal","Ambattur","Madavaram","Thiruvottiyur","Sholinganallur","Alandur"},0)),"Chennai",B137)</f>
        <v>Salem</v>
      </c>
    </row>
    <row r="138" spans="1:25" x14ac:dyDescent="0.2">
      <c r="A138" s="3" t="s">
        <v>205</v>
      </c>
      <c r="B138" t="s">
        <v>198</v>
      </c>
      <c r="C138" s="11">
        <v>24</v>
      </c>
      <c r="D138" s="11">
        <v>17</v>
      </c>
      <c r="E138" s="11">
        <v>10</v>
      </c>
      <c r="F138" s="11">
        <v>6</v>
      </c>
      <c r="G138" s="11">
        <v>0</v>
      </c>
      <c r="H138">
        <f t="shared" si="18"/>
        <v>57</v>
      </c>
      <c r="I138" s="7">
        <f t="shared" si="19"/>
        <v>0.42105263157894735</v>
      </c>
      <c r="J138" s="7">
        <f t="shared" si="20"/>
        <v>0.2982456140350877</v>
      </c>
      <c r="K138" s="7">
        <f t="shared" si="21"/>
        <v>0.17543859649122806</v>
      </c>
      <c r="L138" s="7">
        <f t="shared" si="22"/>
        <v>0.10526315789473684</v>
      </c>
      <c r="M138" s="7">
        <f t="shared" si="23"/>
        <v>0</v>
      </c>
      <c r="N138" s="7">
        <f>MAX(0,I138+'Statewide Votes'!$H$9/100)</f>
        <v>0.37642603745704384</v>
      </c>
      <c r="O138" s="7">
        <f>MAX(0,J138+'Statewide Votes'!$I$9/100)</f>
        <v>0.30564512052491377</v>
      </c>
      <c r="P138" s="7">
        <f>MAX(0,K138+'Statewide Votes'!$J$9/100)</f>
        <v>0.21978655261392366</v>
      </c>
      <c r="Q138" s="7">
        <f>MAX(0,L138+'Statewide Votes'!$K$9/100)</f>
        <v>9.6479841196976959E-2</v>
      </c>
      <c r="R138" s="7">
        <f>MAX(0,M138+'Statewide Votes'!$L$9/100)</f>
        <v>1.662448207141779E-3</v>
      </c>
      <c r="S138" t="str">
        <f>IF(U138=0,"Tie",INDEX({"TVK","AIADMK+BJP+PMK+AMMK","DMK+INC+VCK","NTK","NOTA"},MATCH(MAX(N138:R138),N138:R138,0)))</f>
        <v>TVK</v>
      </c>
      <c r="T138" t="str">
        <f>INDEX({"TVK","AIADMK+BJP+PMK+AMMK","DMK+INC+VCK","NTK","NOTA"},MATCH(LARGE(N138:R138,2),N138:R138,0))</f>
        <v>AIADMK+BJP+PMK+AMMK</v>
      </c>
      <c r="U138">
        <f t="shared" si="24"/>
        <v>7.1</v>
      </c>
      <c r="V138" t="str">
        <f t="shared" si="25"/>
        <v>Lean</v>
      </c>
      <c r="W138" t="str">
        <f>IF(LARGE(I138:M138,1)=LARGE(I138:M138,2),"Tie",INDEX({"TVK","AIADMK+BJP+PMK+AMMK","DMK+INC+VCK","NTK","NOTA"},MATCH(MAX(I138:M138),I138:M138,0)))</f>
        <v>TVK</v>
      </c>
      <c r="X138" s="7">
        <f t="shared" si="26"/>
        <v>0.37642603745704384</v>
      </c>
      <c r="Y138" t="str">
        <f>IF(ISNUMBER(MATCH(A138,{"Maduravoyal","Ambattur","Madavaram","Thiruvottiyur","Sholinganallur","Alandur"},0)),"Chennai",B138)</f>
        <v>Salem</v>
      </c>
    </row>
    <row r="139" spans="1:25" x14ac:dyDescent="0.2">
      <c r="A139" s="3" t="s">
        <v>206</v>
      </c>
      <c r="B139" t="s">
        <v>198</v>
      </c>
      <c r="C139" s="11">
        <v>13</v>
      </c>
      <c r="D139" s="11">
        <v>7</v>
      </c>
      <c r="E139" s="11">
        <v>7</v>
      </c>
      <c r="F139" s="11">
        <v>10</v>
      </c>
      <c r="G139" s="11">
        <v>0</v>
      </c>
      <c r="H139">
        <f t="shared" si="18"/>
        <v>37</v>
      </c>
      <c r="I139" s="7">
        <f t="shared" si="19"/>
        <v>0.35135135135135137</v>
      </c>
      <c r="J139" s="7">
        <f t="shared" si="20"/>
        <v>0.1891891891891892</v>
      </c>
      <c r="K139" s="7">
        <f t="shared" si="21"/>
        <v>0.1891891891891892</v>
      </c>
      <c r="L139" s="7">
        <f t="shared" si="22"/>
        <v>0.27027027027027029</v>
      </c>
      <c r="M139" s="7">
        <f t="shared" si="23"/>
        <v>0</v>
      </c>
      <c r="N139" s="7">
        <f>MAX(0,I139+'Statewide Votes'!$H$9/100)</f>
        <v>0.30672475722944786</v>
      </c>
      <c r="O139" s="7">
        <f>MAX(0,J139+'Statewide Votes'!$I$9/100)</f>
        <v>0.19658869567901527</v>
      </c>
      <c r="P139" s="7">
        <f>MAX(0,K139+'Statewide Votes'!$J$9/100)</f>
        <v>0.2335371453118848</v>
      </c>
      <c r="Q139" s="7">
        <f>MAX(0,L139+'Statewide Votes'!$K$9/100)</f>
        <v>0.26148695357251039</v>
      </c>
      <c r="R139" s="7">
        <f>MAX(0,M139+'Statewide Votes'!$L$9/100)</f>
        <v>1.662448207141779E-3</v>
      </c>
      <c r="S139" t="str">
        <f>IF(U139=0,"Tie",INDEX({"TVK","AIADMK+BJP+PMK+AMMK","DMK+INC+VCK","NTK","NOTA"},MATCH(MAX(N139:R139),N139:R139,0)))</f>
        <v>TVK</v>
      </c>
      <c r="T139" t="str">
        <f>INDEX({"TVK","AIADMK+BJP+PMK+AMMK","DMK+INC+VCK","NTK","NOTA"},MATCH(LARGE(N139:R139,2),N139:R139,0))</f>
        <v>NTK</v>
      </c>
      <c r="U139">
        <f t="shared" si="24"/>
        <v>4.5</v>
      </c>
      <c r="V139" t="str">
        <f t="shared" si="25"/>
        <v>Toss-up</v>
      </c>
      <c r="W139" t="str">
        <f>IF(LARGE(I139:M139,1)=LARGE(I139:M139,2),"Tie",INDEX({"TVK","AIADMK+BJP+PMK+AMMK","DMK+INC+VCK","NTK","NOTA"},MATCH(MAX(I139:M139),I139:M139,0)))</f>
        <v>TVK</v>
      </c>
      <c r="X139" s="7">
        <f t="shared" si="26"/>
        <v>0.30672475722944786</v>
      </c>
      <c r="Y139" t="str">
        <f>IF(ISNUMBER(MATCH(A139,{"Maduravoyal","Ambattur","Madavaram","Thiruvottiyur","Sholinganallur","Alandur"},0)),"Chennai",B139)</f>
        <v>Salem</v>
      </c>
    </row>
    <row r="140" spans="1:25" x14ac:dyDescent="0.2">
      <c r="A140" s="3" t="s">
        <v>207</v>
      </c>
      <c r="B140" t="s">
        <v>198</v>
      </c>
      <c r="C140" s="11">
        <v>23</v>
      </c>
      <c r="D140" s="11">
        <v>12</v>
      </c>
      <c r="E140" s="11">
        <v>7</v>
      </c>
      <c r="F140" s="11">
        <v>2</v>
      </c>
      <c r="G140" s="11">
        <v>0</v>
      </c>
      <c r="H140">
        <f t="shared" si="18"/>
        <v>44</v>
      </c>
      <c r="I140" s="7">
        <f t="shared" si="19"/>
        <v>0.52272727272727271</v>
      </c>
      <c r="J140" s="7">
        <f t="shared" si="20"/>
        <v>0.27272727272727271</v>
      </c>
      <c r="K140" s="7">
        <f t="shared" si="21"/>
        <v>0.15909090909090909</v>
      </c>
      <c r="L140" s="7">
        <f t="shared" si="22"/>
        <v>4.5454545454545456E-2</v>
      </c>
      <c r="M140" s="7">
        <f t="shared" si="23"/>
        <v>0</v>
      </c>
      <c r="N140" s="7">
        <f>MAX(0,I140+'Statewide Votes'!$H$9/100)</f>
        <v>0.4781006786053692</v>
      </c>
      <c r="O140" s="7">
        <f>MAX(0,J140+'Statewide Votes'!$I$9/100)</f>
        <v>0.28012677921709878</v>
      </c>
      <c r="P140" s="7">
        <f>MAX(0,K140+'Statewide Votes'!$J$9/100)</f>
        <v>0.20343886521360469</v>
      </c>
      <c r="Q140" s="7">
        <f>MAX(0,L140+'Statewide Votes'!$K$9/100)</f>
        <v>3.6671228756785579E-2</v>
      </c>
      <c r="R140" s="7">
        <f>MAX(0,M140+'Statewide Votes'!$L$9/100)</f>
        <v>1.662448207141779E-3</v>
      </c>
      <c r="S140" t="str">
        <f>IF(U140=0,"Tie",INDEX({"TVK","AIADMK+BJP+PMK+AMMK","DMK+INC+VCK","NTK","NOTA"},MATCH(MAX(N140:R140),N140:R140,0)))</f>
        <v>TVK</v>
      </c>
      <c r="T140" t="str">
        <f>INDEX({"TVK","AIADMK+BJP+PMK+AMMK","DMK+INC+VCK","NTK","NOTA"},MATCH(LARGE(N140:R140,2),N140:R140,0))</f>
        <v>AIADMK+BJP+PMK+AMMK</v>
      </c>
      <c r="U140">
        <f t="shared" si="24"/>
        <v>19.8</v>
      </c>
      <c r="V140" t="str">
        <f t="shared" si="25"/>
        <v>Strong</v>
      </c>
      <c r="W140" t="str">
        <f>IF(LARGE(I140:M140,1)=LARGE(I140:M140,2),"Tie",INDEX({"TVK","AIADMK+BJP+PMK+AMMK","DMK+INC+VCK","NTK","NOTA"},MATCH(MAX(I140:M140),I140:M140,0)))</f>
        <v>TVK</v>
      </c>
      <c r="X140" s="7">
        <f t="shared" si="26"/>
        <v>0.4781006786053692</v>
      </c>
      <c r="Y140" t="str">
        <f>IF(ISNUMBER(MATCH(A140,{"Maduravoyal","Ambattur","Madavaram","Thiruvottiyur","Sholinganallur","Alandur"},0)),"Chennai",B140)</f>
        <v>Salem</v>
      </c>
    </row>
    <row r="141" spans="1:25" x14ac:dyDescent="0.2">
      <c r="A141" s="3" t="s">
        <v>208</v>
      </c>
      <c r="B141" t="s">
        <v>198</v>
      </c>
      <c r="C141" s="11">
        <v>6</v>
      </c>
      <c r="D141" s="11">
        <v>11</v>
      </c>
      <c r="E141" s="11">
        <v>14</v>
      </c>
      <c r="F141" s="11">
        <v>4</v>
      </c>
      <c r="G141" s="11">
        <v>0</v>
      </c>
      <c r="H141">
        <f t="shared" si="18"/>
        <v>35</v>
      </c>
      <c r="I141" s="7">
        <f t="shared" si="19"/>
        <v>0.17142857142857143</v>
      </c>
      <c r="J141" s="7">
        <f t="shared" si="20"/>
        <v>0.31428571428571428</v>
      </c>
      <c r="K141" s="7">
        <f t="shared" si="21"/>
        <v>0.4</v>
      </c>
      <c r="L141" s="7">
        <f t="shared" si="22"/>
        <v>0.11428571428571428</v>
      </c>
      <c r="M141" s="7">
        <f t="shared" si="23"/>
        <v>0</v>
      </c>
      <c r="N141" s="7">
        <f>MAX(0,I141+'Statewide Votes'!$H$9/100)</f>
        <v>0.12680197730666792</v>
      </c>
      <c r="O141" s="7">
        <f>MAX(0,J141+'Statewide Votes'!$I$9/100)</f>
        <v>0.32168522077554035</v>
      </c>
      <c r="P141" s="7">
        <f>MAX(0,K141+'Statewide Votes'!$J$9/100)</f>
        <v>0.44434795612269562</v>
      </c>
      <c r="Q141" s="7">
        <f>MAX(0,L141+'Statewide Votes'!$K$9/100)</f>
        <v>0.10550239758795441</v>
      </c>
      <c r="R141" s="7">
        <f>MAX(0,M141+'Statewide Votes'!$L$9/100)</f>
        <v>1.662448207141779E-3</v>
      </c>
      <c r="S141" t="str">
        <f>IF(U141=0,"Tie",INDEX({"TVK","AIADMK+BJP+PMK+AMMK","DMK+INC+VCK","NTK","NOTA"},MATCH(MAX(N141:R141),N141:R141,0)))</f>
        <v>DMK+INC+VCK</v>
      </c>
      <c r="T141" t="str">
        <f>INDEX({"TVK","AIADMK+BJP+PMK+AMMK","DMK+INC+VCK","NTK","NOTA"},MATCH(LARGE(N141:R141,2),N141:R141,0))</f>
        <v>AIADMK+BJP+PMK+AMMK</v>
      </c>
      <c r="U141">
        <f t="shared" si="24"/>
        <v>12.3</v>
      </c>
      <c r="V141" t="str">
        <f t="shared" si="25"/>
        <v>Strong</v>
      </c>
      <c r="W141" t="str">
        <f>IF(LARGE(I141:M141,1)=LARGE(I141:M141,2),"Tie",INDEX({"TVK","AIADMK+BJP+PMK+AMMK","DMK+INC+VCK","NTK","NOTA"},MATCH(MAX(I141:M141),I141:M141,0)))</f>
        <v>DMK+INC+VCK</v>
      </c>
      <c r="X141" s="7">
        <f t="shared" si="26"/>
        <v>0.44434795612269562</v>
      </c>
      <c r="Y141" t="str">
        <f>IF(ISNUMBER(MATCH(A141,{"Maduravoyal","Ambattur","Madavaram","Thiruvottiyur","Sholinganallur","Alandur"},0)),"Chennai",B141)</f>
        <v>Salem</v>
      </c>
    </row>
    <row r="142" spans="1:25" x14ac:dyDescent="0.2">
      <c r="A142" s="3" t="s">
        <v>209</v>
      </c>
      <c r="B142" t="s">
        <v>210</v>
      </c>
      <c r="C142" s="11">
        <v>24</v>
      </c>
      <c r="D142" s="11">
        <v>8</v>
      </c>
      <c r="E142" s="11">
        <v>12</v>
      </c>
      <c r="F142" s="11">
        <v>7</v>
      </c>
      <c r="G142" s="11">
        <v>0</v>
      </c>
      <c r="H142">
        <f t="shared" si="18"/>
        <v>51</v>
      </c>
      <c r="I142" s="7">
        <f t="shared" si="19"/>
        <v>0.47058823529411764</v>
      </c>
      <c r="J142" s="7">
        <f t="shared" si="20"/>
        <v>0.15686274509803921</v>
      </c>
      <c r="K142" s="7">
        <f t="shared" si="21"/>
        <v>0.23529411764705882</v>
      </c>
      <c r="L142" s="7">
        <f t="shared" si="22"/>
        <v>0.13725490196078433</v>
      </c>
      <c r="M142" s="7">
        <f t="shared" si="23"/>
        <v>0</v>
      </c>
      <c r="N142" s="7">
        <f>MAX(0,I142+'Statewide Votes'!$H$9/100)</f>
        <v>0.42596164117221413</v>
      </c>
      <c r="O142" s="7">
        <f>MAX(0,J142+'Statewide Votes'!$I$9/100)</f>
        <v>0.16426225158786528</v>
      </c>
      <c r="P142" s="7">
        <f>MAX(0,K142+'Statewide Votes'!$J$9/100)</f>
        <v>0.27964207376975442</v>
      </c>
      <c r="Q142" s="7">
        <f>MAX(0,L142+'Statewide Votes'!$K$9/100)</f>
        <v>0.12847158526302443</v>
      </c>
      <c r="R142" s="7">
        <f>MAX(0,M142+'Statewide Votes'!$L$9/100)</f>
        <v>1.662448207141779E-3</v>
      </c>
      <c r="S142" t="str">
        <f>IF(U142=0,"Tie",INDEX({"TVK","AIADMK+BJP+PMK+AMMK","DMK+INC+VCK","NTK","NOTA"},MATCH(MAX(N142:R142),N142:R142,0)))</f>
        <v>TVK</v>
      </c>
      <c r="T142" t="str">
        <f>INDEX({"TVK","AIADMK+BJP+PMK+AMMK","DMK+INC+VCK","NTK","NOTA"},MATCH(LARGE(N142:R142,2),N142:R142,0))</f>
        <v>DMK+INC+VCK</v>
      </c>
      <c r="U142">
        <f t="shared" si="24"/>
        <v>14.6</v>
      </c>
      <c r="V142" t="str">
        <f t="shared" si="25"/>
        <v>Strong</v>
      </c>
      <c r="W142" t="str">
        <f>IF(LARGE(I142:M142,1)=LARGE(I142:M142,2),"Tie",INDEX({"TVK","AIADMK+BJP+PMK+AMMK","DMK+INC+VCK","NTK","NOTA"},MATCH(MAX(I142:M142),I142:M142,0)))</f>
        <v>TVK</v>
      </c>
      <c r="X142" s="7">
        <f t="shared" si="26"/>
        <v>0.42596164117221413</v>
      </c>
      <c r="Y142" t="str">
        <f>IF(ISNUMBER(MATCH(A142,{"Maduravoyal","Ambattur","Madavaram","Thiruvottiyur","Sholinganallur","Alandur"},0)),"Chennai",B142)</f>
        <v>Sivaganga</v>
      </c>
    </row>
    <row r="143" spans="1:25" x14ac:dyDescent="0.2">
      <c r="A143" s="3" t="s">
        <v>211</v>
      </c>
      <c r="B143" t="s">
        <v>210</v>
      </c>
      <c r="C143" s="11">
        <v>9</v>
      </c>
      <c r="D143" s="11">
        <v>7</v>
      </c>
      <c r="E143" s="11">
        <v>4</v>
      </c>
      <c r="F143" s="11">
        <v>7</v>
      </c>
      <c r="G143" s="11">
        <v>1</v>
      </c>
      <c r="H143">
        <f t="shared" si="18"/>
        <v>28</v>
      </c>
      <c r="I143" s="7">
        <f t="shared" si="19"/>
        <v>0.32142857142857145</v>
      </c>
      <c r="J143" s="7">
        <f t="shared" si="20"/>
        <v>0.25</v>
      </c>
      <c r="K143" s="7">
        <f t="shared" si="21"/>
        <v>0.14285714285714285</v>
      </c>
      <c r="L143" s="7">
        <f t="shared" si="22"/>
        <v>0.25</v>
      </c>
      <c r="M143" s="7">
        <f t="shared" si="23"/>
        <v>3.5714285714285712E-2</v>
      </c>
      <c r="N143" s="7">
        <f>MAX(0,I143+'Statewide Votes'!$H$9/100)</f>
        <v>0.27680197730666795</v>
      </c>
      <c r="O143" s="7">
        <f>MAX(0,J143+'Statewide Votes'!$I$9/100)</f>
        <v>0.25739950648982607</v>
      </c>
      <c r="P143" s="7">
        <f>MAX(0,K143+'Statewide Votes'!$J$9/100)</f>
        <v>0.18720509897983845</v>
      </c>
      <c r="Q143" s="7">
        <f>MAX(0,L143+'Statewide Votes'!$K$9/100)</f>
        <v>0.24121668330224011</v>
      </c>
      <c r="R143" s="7">
        <f>MAX(0,M143+'Statewide Votes'!$L$9/100)</f>
        <v>3.7376733921427492E-2</v>
      </c>
      <c r="S143" t="str">
        <f>IF(U143=0,"Tie",INDEX({"TVK","AIADMK+BJP+PMK+AMMK","DMK+INC+VCK","NTK","NOTA"},MATCH(MAX(N143:R143),N143:R143,0)))</f>
        <v>TVK</v>
      </c>
      <c r="T143" t="str">
        <f>INDEX({"TVK","AIADMK+BJP+PMK+AMMK","DMK+INC+VCK","NTK","NOTA"},MATCH(LARGE(N143:R143,2),N143:R143,0))</f>
        <v>AIADMK+BJP+PMK+AMMK</v>
      </c>
      <c r="U143">
        <f t="shared" si="24"/>
        <v>1.9</v>
      </c>
      <c r="V143" t="str">
        <f t="shared" si="25"/>
        <v>Toss-up</v>
      </c>
      <c r="W143" t="str">
        <f>IF(LARGE(I143:M143,1)=LARGE(I143:M143,2),"Tie",INDEX({"TVK","AIADMK+BJP+PMK+AMMK","DMK+INC+VCK","NTK","NOTA"},MATCH(MAX(I143:M143),I143:M143,0)))</f>
        <v>TVK</v>
      </c>
      <c r="X143" s="7">
        <f t="shared" si="26"/>
        <v>0.27680197730666795</v>
      </c>
      <c r="Y143" t="str">
        <f>IF(ISNUMBER(MATCH(A143,{"Maduravoyal","Ambattur","Madavaram","Thiruvottiyur","Sholinganallur","Alandur"},0)),"Chennai",B143)</f>
        <v>Sivaganga</v>
      </c>
    </row>
    <row r="144" spans="1:25" x14ac:dyDescent="0.2">
      <c r="A144" s="3" t="s">
        <v>210</v>
      </c>
      <c r="B144" t="s">
        <v>210</v>
      </c>
      <c r="C144" s="11">
        <v>17</v>
      </c>
      <c r="D144" s="11">
        <v>12</v>
      </c>
      <c r="E144" s="11">
        <v>8</v>
      </c>
      <c r="F144" s="11">
        <v>3</v>
      </c>
      <c r="G144" s="11">
        <v>0</v>
      </c>
      <c r="H144">
        <f t="shared" si="18"/>
        <v>40</v>
      </c>
      <c r="I144" s="7">
        <f t="shared" si="19"/>
        <v>0.42499999999999999</v>
      </c>
      <c r="J144" s="7">
        <f t="shared" si="20"/>
        <v>0.3</v>
      </c>
      <c r="K144" s="7">
        <f t="shared" si="21"/>
        <v>0.2</v>
      </c>
      <c r="L144" s="7">
        <f t="shared" si="22"/>
        <v>7.4999999999999997E-2</v>
      </c>
      <c r="M144" s="7">
        <f t="shared" si="23"/>
        <v>0</v>
      </c>
      <c r="N144" s="7">
        <f>MAX(0,I144+'Statewide Votes'!$H$9/100)</f>
        <v>0.38037340587809648</v>
      </c>
      <c r="O144" s="7">
        <f>MAX(0,J144+'Statewide Votes'!$I$9/100)</f>
        <v>0.30739950648982606</v>
      </c>
      <c r="P144" s="7">
        <f>MAX(0,K144+'Statewide Votes'!$J$9/100)</f>
        <v>0.24434795612269561</v>
      </c>
      <c r="Q144" s="7">
        <f>MAX(0,L144+'Statewide Votes'!$K$9/100)</f>
        <v>6.621668330224012E-2</v>
      </c>
      <c r="R144" s="7">
        <f>MAX(0,M144+'Statewide Votes'!$L$9/100)</f>
        <v>1.662448207141779E-3</v>
      </c>
      <c r="S144" t="str">
        <f>IF(U144=0,"Tie",INDEX({"TVK","AIADMK+BJP+PMK+AMMK","DMK+INC+VCK","NTK","NOTA"},MATCH(MAX(N144:R144),N144:R144,0)))</f>
        <v>TVK</v>
      </c>
      <c r="T144" t="str">
        <f>INDEX({"TVK","AIADMK+BJP+PMK+AMMK","DMK+INC+VCK","NTK","NOTA"},MATCH(LARGE(N144:R144,2),N144:R144,0))</f>
        <v>AIADMK+BJP+PMK+AMMK</v>
      </c>
      <c r="U144">
        <f t="shared" si="24"/>
        <v>7.3</v>
      </c>
      <c r="V144" t="str">
        <f t="shared" si="25"/>
        <v>Lean</v>
      </c>
      <c r="W144" t="str">
        <f>IF(LARGE(I144:M144,1)=LARGE(I144:M144,2),"Tie",INDEX({"TVK","AIADMK+BJP+PMK+AMMK","DMK+INC+VCK","NTK","NOTA"},MATCH(MAX(I144:M144),I144:M144,0)))</f>
        <v>TVK</v>
      </c>
      <c r="X144" s="7">
        <f t="shared" si="26"/>
        <v>0.38037340587809648</v>
      </c>
      <c r="Y144" t="str">
        <f>IF(ISNUMBER(MATCH(A144,{"Maduravoyal","Ambattur","Madavaram","Thiruvottiyur","Sholinganallur","Alandur"},0)),"Chennai",B144)</f>
        <v>Sivaganga</v>
      </c>
    </row>
    <row r="145" spans="1:25" x14ac:dyDescent="0.2">
      <c r="A145" s="3" t="s">
        <v>212</v>
      </c>
      <c r="B145" t="s">
        <v>210</v>
      </c>
      <c r="C145" s="11">
        <v>6</v>
      </c>
      <c r="D145" s="11">
        <v>2</v>
      </c>
      <c r="E145" s="11">
        <v>2</v>
      </c>
      <c r="F145" s="11">
        <v>4</v>
      </c>
      <c r="G145" s="11">
        <v>0</v>
      </c>
      <c r="H145">
        <f t="shared" si="18"/>
        <v>14</v>
      </c>
      <c r="I145" s="7">
        <f t="shared" si="19"/>
        <v>0.42857142857142855</v>
      </c>
      <c r="J145" s="7">
        <f t="shared" si="20"/>
        <v>0.14285714285714285</v>
      </c>
      <c r="K145" s="7">
        <f t="shared" si="21"/>
        <v>0.14285714285714285</v>
      </c>
      <c r="L145" s="7">
        <f t="shared" si="22"/>
        <v>0.2857142857142857</v>
      </c>
      <c r="M145" s="7">
        <f t="shared" si="23"/>
        <v>0</v>
      </c>
      <c r="N145" s="7">
        <f>MAX(0,I145+'Statewide Votes'!$H$9/100)</f>
        <v>0.38394483444952504</v>
      </c>
      <c r="O145" s="7">
        <f>MAX(0,J145+'Statewide Votes'!$I$9/100)</f>
        <v>0.15025664934696892</v>
      </c>
      <c r="P145" s="7">
        <f>MAX(0,K145+'Statewide Votes'!$J$9/100)</f>
        <v>0.18720509897983845</v>
      </c>
      <c r="Q145" s="7">
        <f>MAX(0,L145+'Statewide Votes'!$K$9/100)</f>
        <v>0.27693096901652581</v>
      </c>
      <c r="R145" s="7">
        <f>MAX(0,M145+'Statewide Votes'!$L$9/100)</f>
        <v>1.662448207141779E-3</v>
      </c>
      <c r="S145" t="str">
        <f>IF(U145=0,"Tie",INDEX({"TVK","AIADMK+BJP+PMK+AMMK","DMK+INC+VCK","NTK","NOTA"},MATCH(MAX(N145:R145),N145:R145,0)))</f>
        <v>TVK</v>
      </c>
      <c r="T145" t="str">
        <f>INDEX({"TVK","AIADMK+BJP+PMK+AMMK","DMK+INC+VCK","NTK","NOTA"},MATCH(LARGE(N145:R145,2),N145:R145,0))</f>
        <v>NTK</v>
      </c>
      <c r="U145">
        <f t="shared" si="24"/>
        <v>10.7</v>
      </c>
      <c r="V145" t="str">
        <f t="shared" si="25"/>
        <v>Lean</v>
      </c>
      <c r="W145" t="str">
        <f>IF(LARGE(I145:M145,1)=LARGE(I145:M145,2),"Tie",INDEX({"TVK","AIADMK+BJP+PMK+AMMK","DMK+INC+VCK","NTK","NOTA"},MATCH(MAX(I145:M145),I145:M145,0)))</f>
        <v>TVK</v>
      </c>
      <c r="X145" s="7">
        <f t="shared" si="26"/>
        <v>0.38394483444952504</v>
      </c>
      <c r="Y145" t="str">
        <f>IF(ISNUMBER(MATCH(A145,{"Maduravoyal","Ambattur","Madavaram","Thiruvottiyur","Sholinganallur","Alandur"},0)),"Chennai",B145)</f>
        <v>Sivaganga</v>
      </c>
    </row>
    <row r="146" spans="1:25" x14ac:dyDescent="0.2">
      <c r="A146" s="3" t="s">
        <v>213</v>
      </c>
      <c r="B146" t="s">
        <v>214</v>
      </c>
      <c r="C146" s="11">
        <v>13</v>
      </c>
      <c r="D146" s="11">
        <v>6</v>
      </c>
      <c r="E146" s="11">
        <v>13</v>
      </c>
      <c r="F146" s="11">
        <v>10</v>
      </c>
      <c r="G146" s="11">
        <v>0</v>
      </c>
      <c r="H146">
        <f t="shared" si="18"/>
        <v>42</v>
      </c>
      <c r="I146" s="7">
        <f t="shared" si="19"/>
        <v>0.30952380952380953</v>
      </c>
      <c r="J146" s="7">
        <f t="shared" si="20"/>
        <v>0.14285714285714285</v>
      </c>
      <c r="K146" s="7">
        <f t="shared" si="21"/>
        <v>0.30952380952380953</v>
      </c>
      <c r="L146" s="7">
        <f t="shared" si="22"/>
        <v>0.23809523809523808</v>
      </c>
      <c r="M146" s="7">
        <f t="shared" si="23"/>
        <v>0</v>
      </c>
      <c r="N146" s="7">
        <f>MAX(0,I146+'Statewide Votes'!$H$9/100)</f>
        <v>0.26489721540190603</v>
      </c>
      <c r="O146" s="7">
        <f>MAX(0,J146+'Statewide Votes'!$I$9/100)</f>
        <v>0.15025664934696892</v>
      </c>
      <c r="P146" s="7">
        <f>MAX(0,K146+'Statewide Votes'!$J$9/100)</f>
        <v>0.35387176564650513</v>
      </c>
      <c r="Q146" s="7">
        <f>MAX(0,L146+'Statewide Votes'!$K$9/100)</f>
        <v>0.22931192139747819</v>
      </c>
      <c r="R146" s="7">
        <f>MAX(0,M146+'Statewide Votes'!$L$9/100)</f>
        <v>1.662448207141779E-3</v>
      </c>
      <c r="S146" t="str">
        <f>IF(U146=0,"Tie",INDEX({"TVK","AIADMK+BJP+PMK+AMMK","DMK+INC+VCK","NTK","NOTA"},MATCH(MAX(N146:R146),N146:R146,0)))</f>
        <v>DMK+INC+VCK</v>
      </c>
      <c r="T146" t="str">
        <f>INDEX({"TVK","AIADMK+BJP+PMK+AMMK","DMK+INC+VCK","NTK","NOTA"},MATCH(LARGE(N146:R146,2),N146:R146,0))</f>
        <v>TVK</v>
      </c>
      <c r="U146">
        <f t="shared" si="24"/>
        <v>8.9</v>
      </c>
      <c r="V146" t="str">
        <f t="shared" si="25"/>
        <v>Lean</v>
      </c>
      <c r="W146" t="str">
        <f>IF(LARGE(I146:M146,1)=LARGE(I146:M146,2),"Tie",INDEX({"TVK","AIADMK+BJP+PMK+AMMK","DMK+INC+VCK","NTK","NOTA"},MATCH(MAX(I146:M146),I146:M146,0)))</f>
        <v>Tie</v>
      </c>
      <c r="X146" s="7">
        <f t="shared" si="26"/>
        <v>0.35387176564650513</v>
      </c>
      <c r="Y146" t="str">
        <f>IF(ISNUMBER(MATCH(A146,{"Maduravoyal","Ambattur","Madavaram","Thiruvottiyur","Sholinganallur","Alandur"},0)),"Chennai",B146)</f>
        <v>Tenkasi</v>
      </c>
    </row>
    <row r="147" spans="1:25" x14ac:dyDescent="0.2">
      <c r="A147" s="3" t="s">
        <v>215</v>
      </c>
      <c r="B147" t="s">
        <v>214</v>
      </c>
      <c r="C147" s="11">
        <v>12</v>
      </c>
      <c r="D147" s="11">
        <v>9</v>
      </c>
      <c r="E147" s="11">
        <v>10</v>
      </c>
      <c r="F147" s="11">
        <v>9</v>
      </c>
      <c r="G147" s="11">
        <v>0</v>
      </c>
      <c r="H147">
        <f t="shared" si="18"/>
        <v>40</v>
      </c>
      <c r="I147" s="7">
        <f t="shared" si="19"/>
        <v>0.3</v>
      </c>
      <c r="J147" s="7">
        <f t="shared" si="20"/>
        <v>0.22500000000000001</v>
      </c>
      <c r="K147" s="7">
        <f t="shared" si="21"/>
        <v>0.25</v>
      </c>
      <c r="L147" s="7">
        <f t="shared" si="22"/>
        <v>0.22500000000000001</v>
      </c>
      <c r="M147" s="7">
        <f t="shared" si="23"/>
        <v>0</v>
      </c>
      <c r="N147" s="7">
        <f>MAX(0,I147+'Statewide Votes'!$H$9/100)</f>
        <v>0.25537340587809648</v>
      </c>
      <c r="O147" s="7">
        <f>MAX(0,J147+'Statewide Votes'!$I$9/100)</f>
        <v>0.23239950648982607</v>
      </c>
      <c r="P147" s="7">
        <f>MAX(0,K147+'Statewide Votes'!$J$9/100)</f>
        <v>0.2943479561226956</v>
      </c>
      <c r="Q147" s="7">
        <f>MAX(0,L147+'Statewide Votes'!$K$9/100)</f>
        <v>0.21621668330224014</v>
      </c>
      <c r="R147" s="7">
        <f>MAX(0,M147+'Statewide Votes'!$L$9/100)</f>
        <v>1.662448207141779E-3</v>
      </c>
      <c r="S147" t="str">
        <f>IF(U147=0,"Tie",INDEX({"TVK","AIADMK+BJP+PMK+AMMK","DMK+INC+VCK","NTK","NOTA"},MATCH(MAX(N147:R147),N147:R147,0)))</f>
        <v>DMK+INC+VCK</v>
      </c>
      <c r="T147" t="str">
        <f>INDEX({"TVK","AIADMK+BJP+PMK+AMMK","DMK+INC+VCK","NTK","NOTA"},MATCH(LARGE(N147:R147,2),N147:R147,0))</f>
        <v>TVK</v>
      </c>
      <c r="U147">
        <f t="shared" si="24"/>
        <v>3.9</v>
      </c>
      <c r="V147" t="str">
        <f t="shared" si="25"/>
        <v>Toss-up</v>
      </c>
      <c r="W147" t="str">
        <f>IF(LARGE(I147:M147,1)=LARGE(I147:M147,2),"Tie",INDEX({"TVK","AIADMK+BJP+PMK+AMMK","DMK+INC+VCK","NTK","NOTA"},MATCH(MAX(I147:M147),I147:M147,0)))</f>
        <v>TVK</v>
      </c>
      <c r="X147" s="7">
        <f t="shared" si="26"/>
        <v>0.2943479561226956</v>
      </c>
      <c r="Y147" t="str">
        <f>IF(ISNUMBER(MATCH(A147,{"Maduravoyal","Ambattur","Madavaram","Thiruvottiyur","Sholinganallur","Alandur"},0)),"Chennai",B147)</f>
        <v>Tenkasi</v>
      </c>
    </row>
    <row r="148" spans="1:25" x14ac:dyDescent="0.2">
      <c r="A148" s="3" t="s">
        <v>216</v>
      </c>
      <c r="B148" t="s">
        <v>214</v>
      </c>
      <c r="C148" s="11">
        <v>15</v>
      </c>
      <c r="D148" s="11">
        <v>18</v>
      </c>
      <c r="E148" s="11">
        <v>14</v>
      </c>
      <c r="F148" s="11">
        <v>6</v>
      </c>
      <c r="G148" s="11">
        <v>0</v>
      </c>
      <c r="H148">
        <f t="shared" si="18"/>
        <v>53</v>
      </c>
      <c r="I148" s="7">
        <f t="shared" si="19"/>
        <v>0.28301886792452829</v>
      </c>
      <c r="J148" s="7">
        <f t="shared" si="20"/>
        <v>0.33962264150943394</v>
      </c>
      <c r="K148" s="7">
        <f t="shared" si="21"/>
        <v>0.26415094339622641</v>
      </c>
      <c r="L148" s="7">
        <f t="shared" si="22"/>
        <v>0.11320754716981132</v>
      </c>
      <c r="M148" s="7">
        <f t="shared" si="23"/>
        <v>0</v>
      </c>
      <c r="N148" s="7">
        <f>MAX(0,I148+'Statewide Votes'!$H$9/100)</f>
        <v>0.23839227380262479</v>
      </c>
      <c r="O148" s="7">
        <f>MAX(0,J148+'Statewide Votes'!$I$9/100)</f>
        <v>0.34702214799926001</v>
      </c>
      <c r="P148" s="7">
        <f>MAX(0,K148+'Statewide Votes'!$J$9/100)</f>
        <v>0.30849889951892201</v>
      </c>
      <c r="Q148" s="7">
        <f>MAX(0,L148+'Statewide Votes'!$K$9/100)</f>
        <v>0.10442423047205145</v>
      </c>
      <c r="R148" s="7">
        <f>MAX(0,M148+'Statewide Votes'!$L$9/100)</f>
        <v>1.662448207141779E-3</v>
      </c>
      <c r="S148" t="str">
        <f>IF(U148=0,"Tie",INDEX({"TVK","AIADMK+BJP+PMK+AMMK","DMK+INC+VCK","NTK","NOTA"},MATCH(MAX(N148:R148),N148:R148,0)))</f>
        <v>AIADMK+BJP+PMK+AMMK</v>
      </c>
      <c r="T148" t="str">
        <f>INDEX({"TVK","AIADMK+BJP+PMK+AMMK","DMK+INC+VCK","NTK","NOTA"},MATCH(LARGE(N148:R148,2),N148:R148,0))</f>
        <v>DMK+INC+VCK</v>
      </c>
      <c r="U148">
        <f t="shared" si="24"/>
        <v>3.9</v>
      </c>
      <c r="V148" t="str">
        <f t="shared" si="25"/>
        <v>Toss-up</v>
      </c>
      <c r="W148" t="str">
        <f>IF(LARGE(I148:M148,1)=LARGE(I148:M148,2),"Tie",INDEX({"TVK","AIADMK+BJP+PMK+AMMK","DMK+INC+VCK","NTK","NOTA"},MATCH(MAX(I148:M148),I148:M148,0)))</f>
        <v>AIADMK+BJP+PMK+AMMK</v>
      </c>
      <c r="X148" s="7">
        <f t="shared" si="26"/>
        <v>0.34702214799926001</v>
      </c>
      <c r="Y148" t="str">
        <f>IF(ISNUMBER(MATCH(A148,{"Maduravoyal","Ambattur","Madavaram","Thiruvottiyur","Sholinganallur","Alandur"},0)),"Chennai",B148)</f>
        <v>Tenkasi</v>
      </c>
    </row>
    <row r="149" spans="1:25" x14ac:dyDescent="0.2">
      <c r="A149" s="3" t="s">
        <v>214</v>
      </c>
      <c r="B149" t="s">
        <v>214</v>
      </c>
      <c r="C149" s="11">
        <v>25</v>
      </c>
      <c r="D149" s="11">
        <v>20</v>
      </c>
      <c r="E149" s="11">
        <v>19</v>
      </c>
      <c r="F149" s="11">
        <v>13</v>
      </c>
      <c r="G149" s="11">
        <v>0</v>
      </c>
      <c r="H149">
        <f t="shared" si="18"/>
        <v>77</v>
      </c>
      <c r="I149" s="7">
        <f t="shared" si="19"/>
        <v>0.32467532467532467</v>
      </c>
      <c r="J149" s="7">
        <f t="shared" si="20"/>
        <v>0.25974025974025972</v>
      </c>
      <c r="K149" s="7">
        <f t="shared" si="21"/>
        <v>0.24675324675324675</v>
      </c>
      <c r="L149" s="7">
        <f t="shared" si="22"/>
        <v>0.16883116883116883</v>
      </c>
      <c r="M149" s="7">
        <f t="shared" si="23"/>
        <v>0</v>
      </c>
      <c r="N149" s="7">
        <f>MAX(0,I149+'Statewide Votes'!$H$9/100)</f>
        <v>0.28004873055342117</v>
      </c>
      <c r="O149" s="7">
        <f>MAX(0,J149+'Statewide Votes'!$I$9/100)</f>
        <v>0.26713976623008578</v>
      </c>
      <c r="P149" s="7">
        <f>MAX(0,K149+'Statewide Votes'!$J$9/100)</f>
        <v>0.29110120287594232</v>
      </c>
      <c r="Q149" s="7">
        <f>MAX(0,L149+'Statewide Votes'!$K$9/100)</f>
        <v>0.16004785213340894</v>
      </c>
      <c r="R149" s="7">
        <f>MAX(0,M149+'Statewide Votes'!$L$9/100)</f>
        <v>1.662448207141779E-3</v>
      </c>
      <c r="S149" t="str">
        <f>IF(U149=0,"Tie",INDEX({"TVK","AIADMK+BJP+PMK+AMMK","DMK+INC+VCK","NTK","NOTA"},MATCH(MAX(N149:R149),N149:R149,0)))</f>
        <v>DMK+INC+VCK</v>
      </c>
      <c r="T149" t="str">
        <f>INDEX({"TVK","AIADMK+BJP+PMK+AMMK","DMK+INC+VCK","NTK","NOTA"},MATCH(LARGE(N149:R149,2),N149:R149,0))</f>
        <v>TVK</v>
      </c>
      <c r="U149">
        <f t="shared" si="24"/>
        <v>1.1000000000000001</v>
      </c>
      <c r="V149" t="str">
        <f t="shared" si="25"/>
        <v>Toss-up</v>
      </c>
      <c r="W149" t="str">
        <f>IF(LARGE(I149:M149,1)=LARGE(I149:M149,2),"Tie",INDEX({"TVK","AIADMK+BJP+PMK+AMMK","DMK+INC+VCK","NTK","NOTA"},MATCH(MAX(I149:M149),I149:M149,0)))</f>
        <v>TVK</v>
      </c>
      <c r="X149" s="7">
        <f t="shared" si="26"/>
        <v>0.29110120287594232</v>
      </c>
      <c r="Y149" t="str">
        <f>IF(ISNUMBER(MATCH(A149,{"Maduravoyal","Ambattur","Madavaram","Thiruvottiyur","Sholinganallur","Alandur"},0)),"Chennai",B149)</f>
        <v>Tenkasi</v>
      </c>
    </row>
    <row r="150" spans="1:25" x14ac:dyDescent="0.2">
      <c r="A150" s="3" t="s">
        <v>217</v>
      </c>
      <c r="B150" t="s">
        <v>214</v>
      </c>
      <c r="C150" s="11">
        <v>10</v>
      </c>
      <c r="D150" s="11">
        <v>18</v>
      </c>
      <c r="E150" s="11">
        <v>7</v>
      </c>
      <c r="F150" s="11">
        <v>4</v>
      </c>
      <c r="G150" s="11">
        <v>0</v>
      </c>
      <c r="H150">
        <f t="shared" si="18"/>
        <v>39</v>
      </c>
      <c r="I150" s="7">
        <f t="shared" si="19"/>
        <v>0.25641025641025639</v>
      </c>
      <c r="J150" s="7">
        <f t="shared" si="20"/>
        <v>0.46153846153846156</v>
      </c>
      <c r="K150" s="7">
        <f t="shared" si="21"/>
        <v>0.17948717948717949</v>
      </c>
      <c r="L150" s="7">
        <f t="shared" si="22"/>
        <v>0.10256410256410256</v>
      </c>
      <c r="M150" s="7">
        <f t="shared" si="23"/>
        <v>0</v>
      </c>
      <c r="N150" s="7">
        <f>MAX(0,I150+'Statewide Votes'!$H$9/100)</f>
        <v>0.21178366228835288</v>
      </c>
      <c r="O150" s="7">
        <f>MAX(0,J150+'Statewide Votes'!$I$9/100)</f>
        <v>0.46893796802828763</v>
      </c>
      <c r="P150" s="7">
        <f>MAX(0,K150+'Statewide Votes'!$J$9/100)</f>
        <v>0.22383513560987509</v>
      </c>
      <c r="Q150" s="7">
        <f>MAX(0,L150+'Statewide Votes'!$K$9/100)</f>
        <v>9.3780785866342684E-2</v>
      </c>
      <c r="R150" s="7">
        <f>MAX(0,M150+'Statewide Votes'!$L$9/100)</f>
        <v>1.662448207141779E-3</v>
      </c>
      <c r="S150" t="str">
        <f>IF(U150=0,"Tie",INDEX({"TVK","AIADMK+BJP+PMK+AMMK","DMK+INC+VCK","NTK","NOTA"},MATCH(MAX(N150:R150),N150:R150,0)))</f>
        <v>AIADMK+BJP+PMK+AMMK</v>
      </c>
      <c r="T150" t="str">
        <f>INDEX({"TVK","AIADMK+BJP+PMK+AMMK","DMK+INC+VCK","NTK","NOTA"},MATCH(LARGE(N150:R150,2),N150:R150,0))</f>
        <v>DMK+INC+VCK</v>
      </c>
      <c r="U150">
        <f t="shared" si="24"/>
        <v>24.5</v>
      </c>
      <c r="V150" t="str">
        <f t="shared" si="25"/>
        <v>Strong</v>
      </c>
      <c r="W150" t="str">
        <f>IF(LARGE(I150:M150,1)=LARGE(I150:M150,2),"Tie",INDEX({"TVK","AIADMK+BJP+PMK+AMMK","DMK+INC+VCK","NTK","NOTA"},MATCH(MAX(I150:M150),I150:M150,0)))</f>
        <v>AIADMK+BJP+PMK+AMMK</v>
      </c>
      <c r="X150" s="7">
        <f t="shared" si="26"/>
        <v>0.46893796802828763</v>
      </c>
      <c r="Y150" t="str">
        <f>IF(ISNUMBER(MATCH(A150,{"Maduravoyal","Ambattur","Madavaram","Thiruvottiyur","Sholinganallur","Alandur"},0)),"Chennai",B150)</f>
        <v>Tenkasi</v>
      </c>
    </row>
    <row r="151" spans="1:25" x14ac:dyDescent="0.2">
      <c r="A151" s="3" t="s">
        <v>218</v>
      </c>
      <c r="B151" t="s">
        <v>219</v>
      </c>
      <c r="C151" s="11">
        <v>22</v>
      </c>
      <c r="D151" s="11">
        <v>17</v>
      </c>
      <c r="E151" s="11">
        <v>14</v>
      </c>
      <c r="F151" s="11">
        <v>11</v>
      </c>
      <c r="G151" s="11">
        <v>0</v>
      </c>
      <c r="H151">
        <f t="shared" si="18"/>
        <v>64</v>
      </c>
      <c r="I151" s="7">
        <f t="shared" si="19"/>
        <v>0.34375</v>
      </c>
      <c r="J151" s="7">
        <f t="shared" si="20"/>
        <v>0.265625</v>
      </c>
      <c r="K151" s="7">
        <f t="shared" si="21"/>
        <v>0.21875</v>
      </c>
      <c r="L151" s="7">
        <f t="shared" si="22"/>
        <v>0.171875</v>
      </c>
      <c r="M151" s="7">
        <f t="shared" si="23"/>
        <v>0</v>
      </c>
      <c r="N151" s="7">
        <f>MAX(0,I151+'Statewide Votes'!$H$9/100)</f>
        <v>0.29912340587809649</v>
      </c>
      <c r="O151" s="7">
        <f>MAX(0,J151+'Statewide Votes'!$I$9/100)</f>
        <v>0.27302450648982607</v>
      </c>
      <c r="P151" s="7">
        <f>MAX(0,K151+'Statewide Votes'!$J$9/100)</f>
        <v>0.2630979561226956</v>
      </c>
      <c r="Q151" s="7">
        <f>MAX(0,L151+'Statewide Votes'!$K$9/100)</f>
        <v>0.16309168330224011</v>
      </c>
      <c r="R151" s="7">
        <f>MAX(0,M151+'Statewide Votes'!$L$9/100)</f>
        <v>1.662448207141779E-3</v>
      </c>
      <c r="S151" t="str">
        <f>IF(U151=0,"Tie",INDEX({"TVK","AIADMK+BJP+PMK+AMMK","DMK+INC+VCK","NTK","NOTA"},MATCH(MAX(N151:R151),N151:R151,0)))</f>
        <v>TVK</v>
      </c>
      <c r="T151" t="str">
        <f>INDEX({"TVK","AIADMK+BJP+PMK+AMMK","DMK+INC+VCK","NTK","NOTA"},MATCH(LARGE(N151:R151,2),N151:R151,0))</f>
        <v>AIADMK+BJP+PMK+AMMK</v>
      </c>
      <c r="U151">
        <f t="shared" si="24"/>
        <v>2.6</v>
      </c>
      <c r="V151" t="str">
        <f t="shared" si="25"/>
        <v>Toss-up</v>
      </c>
      <c r="W151" t="str">
        <f>IF(LARGE(I151:M151,1)=LARGE(I151:M151,2),"Tie",INDEX({"TVK","AIADMK+BJP+PMK+AMMK","DMK+INC+VCK","NTK","NOTA"},MATCH(MAX(I151:M151),I151:M151,0)))</f>
        <v>TVK</v>
      </c>
      <c r="X151" s="7">
        <f t="shared" si="26"/>
        <v>0.29912340587809649</v>
      </c>
      <c r="Y151" t="str">
        <f>IF(ISNUMBER(MATCH(A151,{"Maduravoyal","Ambattur","Madavaram","Thiruvottiyur","Sholinganallur","Alandur"},0)),"Chennai",B151)</f>
        <v>Thanjavur</v>
      </c>
    </row>
    <row r="152" spans="1:25" x14ac:dyDescent="0.2">
      <c r="A152" s="3" t="s">
        <v>220</v>
      </c>
      <c r="B152" t="s">
        <v>219</v>
      </c>
      <c r="C152" s="11">
        <v>8</v>
      </c>
      <c r="D152" s="11">
        <v>2</v>
      </c>
      <c r="E152" s="11">
        <v>3</v>
      </c>
      <c r="F152" s="11">
        <v>4</v>
      </c>
      <c r="G152" s="11">
        <v>0</v>
      </c>
      <c r="H152">
        <f t="shared" si="18"/>
        <v>17</v>
      </c>
      <c r="I152" s="7">
        <f t="shared" si="19"/>
        <v>0.47058823529411764</v>
      </c>
      <c r="J152" s="7">
        <f t="shared" si="20"/>
        <v>0.11764705882352941</v>
      </c>
      <c r="K152" s="7">
        <f t="shared" si="21"/>
        <v>0.17647058823529413</v>
      </c>
      <c r="L152" s="7">
        <f t="shared" si="22"/>
        <v>0.23529411764705882</v>
      </c>
      <c r="M152" s="7">
        <f t="shared" si="23"/>
        <v>0</v>
      </c>
      <c r="N152" s="7">
        <f>MAX(0,I152+'Statewide Votes'!$H$9/100)</f>
        <v>0.42596164117221413</v>
      </c>
      <c r="O152" s="7">
        <f>MAX(0,J152+'Statewide Votes'!$I$9/100)</f>
        <v>0.12504656531335548</v>
      </c>
      <c r="P152" s="7">
        <f>MAX(0,K152+'Statewide Votes'!$J$9/100)</f>
        <v>0.22081854435798973</v>
      </c>
      <c r="Q152" s="7">
        <f>MAX(0,L152+'Statewide Votes'!$K$9/100)</f>
        <v>0.22651080094929893</v>
      </c>
      <c r="R152" s="7">
        <f>MAX(0,M152+'Statewide Votes'!$L$9/100)</f>
        <v>1.662448207141779E-3</v>
      </c>
      <c r="S152" t="str">
        <f>IF(U152=0,"Tie",INDEX({"TVK","AIADMK+BJP+PMK+AMMK","DMK+INC+VCK","NTK","NOTA"},MATCH(MAX(N152:R152),N152:R152,0)))</f>
        <v>TVK</v>
      </c>
      <c r="T152" t="str">
        <f>INDEX({"TVK","AIADMK+BJP+PMK+AMMK","DMK+INC+VCK","NTK","NOTA"},MATCH(LARGE(N152:R152,2),N152:R152,0))</f>
        <v>NTK</v>
      </c>
      <c r="U152">
        <f t="shared" si="24"/>
        <v>19.899999999999999</v>
      </c>
      <c r="V152" t="str">
        <f t="shared" si="25"/>
        <v>Lean</v>
      </c>
      <c r="W152" t="str">
        <f>IF(LARGE(I152:M152,1)=LARGE(I152:M152,2),"Tie",INDEX({"TVK","AIADMK+BJP+PMK+AMMK","DMK+INC+VCK","NTK","NOTA"},MATCH(MAX(I152:M152),I152:M152,0)))</f>
        <v>TVK</v>
      </c>
      <c r="X152" s="7">
        <f t="shared" si="26"/>
        <v>0.42596164117221413</v>
      </c>
      <c r="Y152" t="str">
        <f>IF(ISNUMBER(MATCH(A152,{"Maduravoyal","Ambattur","Madavaram","Thiruvottiyur","Sholinganallur","Alandur"},0)),"Chennai",B152)</f>
        <v>Thanjavur</v>
      </c>
    </row>
    <row r="153" spans="1:25" x14ac:dyDescent="0.2">
      <c r="A153" s="3" t="s">
        <v>221</v>
      </c>
      <c r="B153" t="s">
        <v>219</v>
      </c>
      <c r="C153" s="11">
        <v>16</v>
      </c>
      <c r="D153" s="11">
        <v>11</v>
      </c>
      <c r="E153" s="11">
        <v>10</v>
      </c>
      <c r="F153" s="11">
        <v>2</v>
      </c>
      <c r="G153" s="11">
        <v>0</v>
      </c>
      <c r="H153">
        <f t="shared" si="18"/>
        <v>39</v>
      </c>
      <c r="I153" s="7">
        <f t="shared" si="19"/>
        <v>0.41025641025641024</v>
      </c>
      <c r="J153" s="7">
        <f t="shared" si="20"/>
        <v>0.28205128205128205</v>
      </c>
      <c r="K153" s="7">
        <f t="shared" si="21"/>
        <v>0.25641025641025639</v>
      </c>
      <c r="L153" s="7">
        <f t="shared" si="22"/>
        <v>5.128205128205128E-2</v>
      </c>
      <c r="M153" s="7">
        <f t="shared" si="23"/>
        <v>0</v>
      </c>
      <c r="N153" s="7">
        <f>MAX(0,I153+'Statewide Votes'!$H$9/100)</f>
        <v>0.36562981613450674</v>
      </c>
      <c r="O153" s="7">
        <f>MAX(0,J153+'Statewide Votes'!$I$9/100)</f>
        <v>0.28945078854110812</v>
      </c>
      <c r="P153" s="7">
        <f>MAX(0,K153+'Statewide Votes'!$J$9/100)</f>
        <v>0.30075821253295199</v>
      </c>
      <c r="Q153" s="7">
        <f>MAX(0,L153+'Statewide Votes'!$K$9/100)</f>
        <v>4.2498734584291403E-2</v>
      </c>
      <c r="R153" s="7">
        <f>MAX(0,M153+'Statewide Votes'!$L$9/100)</f>
        <v>1.662448207141779E-3</v>
      </c>
      <c r="S153" t="str">
        <f>IF(U153=0,"Tie",INDEX({"TVK","AIADMK+BJP+PMK+AMMK","DMK+INC+VCK","NTK","NOTA"},MATCH(MAX(N153:R153),N153:R153,0)))</f>
        <v>TVK</v>
      </c>
      <c r="T153" t="str">
        <f>INDEX({"TVK","AIADMK+BJP+PMK+AMMK","DMK+INC+VCK","NTK","NOTA"},MATCH(LARGE(N153:R153,2),N153:R153,0))</f>
        <v>DMK+INC+VCK</v>
      </c>
      <c r="U153">
        <f t="shared" si="24"/>
        <v>6.5</v>
      </c>
      <c r="V153" t="str">
        <f t="shared" si="25"/>
        <v>Lean</v>
      </c>
      <c r="W153" t="str">
        <f>IF(LARGE(I153:M153,1)=LARGE(I153:M153,2),"Tie",INDEX({"TVK","AIADMK+BJP+PMK+AMMK","DMK+INC+VCK","NTK","NOTA"},MATCH(MAX(I153:M153),I153:M153,0)))</f>
        <v>TVK</v>
      </c>
      <c r="X153" s="7">
        <f t="shared" si="26"/>
        <v>0.36562981613450674</v>
      </c>
      <c r="Y153" t="str">
        <f>IF(ISNUMBER(MATCH(A153,{"Maduravoyal","Ambattur","Madavaram","Thiruvottiyur","Sholinganallur","Alandur"},0)),"Chennai",B153)</f>
        <v>Thanjavur</v>
      </c>
    </row>
    <row r="154" spans="1:25" x14ac:dyDescent="0.2">
      <c r="A154" s="3" t="s">
        <v>222</v>
      </c>
      <c r="B154" t="s">
        <v>219</v>
      </c>
      <c r="C154" s="11">
        <v>7</v>
      </c>
      <c r="D154" s="11">
        <v>6</v>
      </c>
      <c r="E154" s="11">
        <v>10</v>
      </c>
      <c r="F154" s="11">
        <v>16</v>
      </c>
      <c r="G154" s="11">
        <v>0</v>
      </c>
      <c r="H154">
        <f t="shared" si="18"/>
        <v>39</v>
      </c>
      <c r="I154" s="7">
        <f t="shared" si="19"/>
        <v>0.17948717948717949</v>
      </c>
      <c r="J154" s="7">
        <f t="shared" si="20"/>
        <v>0.15384615384615385</v>
      </c>
      <c r="K154" s="7">
        <f t="shared" si="21"/>
        <v>0.25641025641025639</v>
      </c>
      <c r="L154" s="7">
        <f t="shared" si="22"/>
        <v>0.41025641025641024</v>
      </c>
      <c r="M154" s="7">
        <f t="shared" si="23"/>
        <v>0</v>
      </c>
      <c r="N154" s="7">
        <f>MAX(0,I154+'Statewide Votes'!$H$9/100)</f>
        <v>0.13486058536527598</v>
      </c>
      <c r="O154" s="7">
        <f>MAX(0,J154+'Statewide Votes'!$I$9/100)</f>
        <v>0.16124566033597992</v>
      </c>
      <c r="P154" s="7">
        <f>MAX(0,K154+'Statewide Votes'!$J$9/100)</f>
        <v>0.30075821253295199</v>
      </c>
      <c r="Q154" s="7">
        <f>MAX(0,L154+'Statewide Votes'!$K$9/100)</f>
        <v>0.40147309355865035</v>
      </c>
      <c r="R154" s="7">
        <f>MAX(0,M154+'Statewide Votes'!$L$9/100)</f>
        <v>1.662448207141779E-3</v>
      </c>
      <c r="S154" t="str">
        <f>IF(U154=0,"Tie",INDEX({"TVK","AIADMK+BJP+PMK+AMMK","DMK+INC+VCK","NTK","NOTA"},MATCH(MAX(N154:R154),N154:R154,0)))</f>
        <v>NTK</v>
      </c>
      <c r="T154" t="str">
        <f>INDEX({"TVK","AIADMK+BJP+PMK+AMMK","DMK+INC+VCK","NTK","NOTA"},MATCH(LARGE(N154:R154,2),N154:R154,0))</f>
        <v>DMK+INC+VCK</v>
      </c>
      <c r="U154">
        <f t="shared" si="24"/>
        <v>10.1</v>
      </c>
      <c r="V154" t="str">
        <f t="shared" si="25"/>
        <v>Strong</v>
      </c>
      <c r="W154" t="str">
        <f>IF(LARGE(I154:M154,1)=LARGE(I154:M154,2),"Tie",INDEX({"TVK","AIADMK+BJP+PMK+AMMK","DMK+INC+VCK","NTK","NOTA"},MATCH(MAX(I154:M154),I154:M154,0)))</f>
        <v>NTK</v>
      </c>
      <c r="X154" s="7">
        <f t="shared" si="26"/>
        <v>0.40147309355865035</v>
      </c>
      <c r="Y154" t="str">
        <f>IF(ISNUMBER(MATCH(A154,{"Maduravoyal","Ambattur","Madavaram","Thiruvottiyur","Sholinganallur","Alandur"},0)),"Chennai",B154)</f>
        <v>Thanjavur</v>
      </c>
    </row>
    <row r="155" spans="1:25" x14ac:dyDescent="0.2">
      <c r="A155" s="3" t="s">
        <v>223</v>
      </c>
      <c r="B155" t="s">
        <v>219</v>
      </c>
      <c r="C155" s="11">
        <v>7</v>
      </c>
      <c r="D155" s="11">
        <v>6</v>
      </c>
      <c r="E155" s="11">
        <v>3</v>
      </c>
      <c r="F155" s="11">
        <v>4</v>
      </c>
      <c r="G155" s="11">
        <v>0</v>
      </c>
      <c r="H155">
        <f t="shared" si="18"/>
        <v>20</v>
      </c>
      <c r="I155" s="7">
        <f t="shared" si="19"/>
        <v>0.35</v>
      </c>
      <c r="J155" s="7">
        <f t="shared" si="20"/>
        <v>0.3</v>
      </c>
      <c r="K155" s="7">
        <f t="shared" si="21"/>
        <v>0.15</v>
      </c>
      <c r="L155" s="7">
        <f t="shared" si="22"/>
        <v>0.2</v>
      </c>
      <c r="M155" s="7">
        <f t="shared" si="23"/>
        <v>0</v>
      </c>
      <c r="N155" s="7">
        <f>MAX(0,I155+'Statewide Votes'!$H$9/100)</f>
        <v>0.30537340587809647</v>
      </c>
      <c r="O155" s="7">
        <f>MAX(0,J155+'Statewide Votes'!$I$9/100)</f>
        <v>0.30739950648982606</v>
      </c>
      <c r="P155" s="7">
        <f>MAX(0,K155+'Statewide Votes'!$J$9/100)</f>
        <v>0.19434795612269559</v>
      </c>
      <c r="Q155" s="7">
        <f>MAX(0,L155+'Statewide Votes'!$K$9/100)</f>
        <v>0.19121668330224012</v>
      </c>
      <c r="R155" s="7">
        <f>MAX(0,M155+'Statewide Votes'!$L$9/100)</f>
        <v>1.662448207141779E-3</v>
      </c>
      <c r="S155" t="str">
        <f>IF(U155=0,"Tie",INDEX({"TVK","AIADMK+BJP+PMK+AMMK","DMK+INC+VCK","NTK","NOTA"},MATCH(MAX(N155:R155),N155:R155,0)))</f>
        <v>AIADMK+BJP+PMK+AMMK</v>
      </c>
      <c r="T155" t="str">
        <f>INDEX({"TVK","AIADMK+BJP+PMK+AMMK","DMK+INC+VCK","NTK","NOTA"},MATCH(LARGE(N155:R155,2),N155:R155,0))</f>
        <v>TVK</v>
      </c>
      <c r="U155">
        <f t="shared" si="24"/>
        <v>0.2</v>
      </c>
      <c r="V155" t="str">
        <f t="shared" si="25"/>
        <v>Toss-up</v>
      </c>
      <c r="W155" t="str">
        <f>IF(LARGE(I155:M155,1)=LARGE(I155:M155,2),"Tie",INDEX({"TVK","AIADMK+BJP+PMK+AMMK","DMK+INC+VCK","NTK","NOTA"},MATCH(MAX(I155:M155),I155:M155,0)))</f>
        <v>TVK</v>
      </c>
      <c r="X155" s="7">
        <f t="shared" si="26"/>
        <v>0.30739950648982606</v>
      </c>
      <c r="Y155" t="str">
        <f>IF(ISNUMBER(MATCH(A155,{"Maduravoyal","Ambattur","Madavaram","Thiruvottiyur","Sholinganallur","Alandur"},0)),"Chennai",B155)</f>
        <v>Thanjavur</v>
      </c>
    </row>
    <row r="156" spans="1:25" x14ac:dyDescent="0.2">
      <c r="A156" s="3" t="s">
        <v>219</v>
      </c>
      <c r="B156" t="s">
        <v>219</v>
      </c>
      <c r="C156" s="11">
        <v>44</v>
      </c>
      <c r="D156" s="11">
        <v>15</v>
      </c>
      <c r="E156" s="11">
        <v>28</v>
      </c>
      <c r="F156" s="11">
        <v>5</v>
      </c>
      <c r="G156" s="11">
        <v>2</v>
      </c>
      <c r="H156">
        <f t="shared" si="18"/>
        <v>94</v>
      </c>
      <c r="I156" s="7">
        <f t="shared" si="19"/>
        <v>0.46808510638297873</v>
      </c>
      <c r="J156" s="7">
        <f t="shared" si="20"/>
        <v>0.15957446808510639</v>
      </c>
      <c r="K156" s="7">
        <f t="shared" si="21"/>
        <v>0.2978723404255319</v>
      </c>
      <c r="L156" s="7">
        <f t="shared" si="22"/>
        <v>5.3191489361702128E-2</v>
      </c>
      <c r="M156" s="7">
        <f t="shared" si="23"/>
        <v>2.1276595744680851E-2</v>
      </c>
      <c r="N156" s="7">
        <f>MAX(0,I156+'Statewide Votes'!$H$9/100)</f>
        <v>0.42345851226107523</v>
      </c>
      <c r="O156" s="7">
        <f>MAX(0,J156+'Statewide Votes'!$I$9/100)</f>
        <v>0.16697397457493246</v>
      </c>
      <c r="P156" s="7">
        <f>MAX(0,K156+'Statewide Votes'!$J$9/100)</f>
        <v>0.3422202965482275</v>
      </c>
      <c r="Q156" s="7">
        <f>MAX(0,L156+'Statewide Votes'!$K$9/100)</f>
        <v>4.4408172663942251E-2</v>
      </c>
      <c r="R156" s="7">
        <f>MAX(0,M156+'Statewide Votes'!$L$9/100)</f>
        <v>2.293904395182263E-2</v>
      </c>
      <c r="S156" t="str">
        <f>IF(U156=0,"Tie",INDEX({"TVK","AIADMK+BJP+PMK+AMMK","DMK+INC+VCK","NTK","NOTA"},MATCH(MAX(N156:R156),N156:R156,0)))</f>
        <v>TVK</v>
      </c>
      <c r="T156" t="str">
        <f>INDEX({"TVK","AIADMK+BJP+PMK+AMMK","DMK+INC+VCK","NTK","NOTA"},MATCH(LARGE(N156:R156,2),N156:R156,0))</f>
        <v>DMK+INC+VCK</v>
      </c>
      <c r="U156">
        <f t="shared" si="24"/>
        <v>8.1</v>
      </c>
      <c r="V156" t="str">
        <f t="shared" si="25"/>
        <v>Lean</v>
      </c>
      <c r="W156" t="str">
        <f>IF(LARGE(I156:M156,1)=LARGE(I156:M156,2),"Tie",INDEX({"TVK","AIADMK+BJP+PMK+AMMK","DMK+INC+VCK","NTK","NOTA"},MATCH(MAX(I156:M156),I156:M156,0)))</f>
        <v>TVK</v>
      </c>
      <c r="X156" s="7">
        <f t="shared" si="26"/>
        <v>0.42345851226107523</v>
      </c>
      <c r="Y156" t="str">
        <f>IF(ISNUMBER(MATCH(A156,{"Maduravoyal","Ambattur","Madavaram","Thiruvottiyur","Sholinganallur","Alandur"},0)),"Chennai",B156)</f>
        <v>Thanjavur</v>
      </c>
    </row>
    <row r="157" spans="1:25" x14ac:dyDescent="0.2">
      <c r="A157" s="3" t="s">
        <v>224</v>
      </c>
      <c r="B157" t="s">
        <v>219</v>
      </c>
      <c r="C157" s="11">
        <v>11</v>
      </c>
      <c r="D157" s="11">
        <v>13</v>
      </c>
      <c r="E157" s="11">
        <v>8</v>
      </c>
      <c r="F157" s="11">
        <v>0</v>
      </c>
      <c r="G157" s="11">
        <v>0</v>
      </c>
      <c r="H157">
        <f t="shared" si="18"/>
        <v>32</v>
      </c>
      <c r="I157" s="7">
        <f t="shared" si="19"/>
        <v>0.34375</v>
      </c>
      <c r="J157" s="7">
        <f t="shared" si="20"/>
        <v>0.40625</v>
      </c>
      <c r="K157" s="7">
        <f t="shared" si="21"/>
        <v>0.25</v>
      </c>
      <c r="L157" s="7">
        <f t="shared" si="22"/>
        <v>0</v>
      </c>
      <c r="M157" s="7">
        <f t="shared" si="23"/>
        <v>0</v>
      </c>
      <c r="N157" s="7">
        <f>MAX(0,I157+'Statewide Votes'!$H$9/100)</f>
        <v>0.29912340587809649</v>
      </c>
      <c r="O157" s="7">
        <f>MAX(0,J157+'Statewide Votes'!$I$9/100)</f>
        <v>0.41364950648982607</v>
      </c>
      <c r="P157" s="7">
        <f>MAX(0,K157+'Statewide Votes'!$J$9/100)</f>
        <v>0.2943479561226956</v>
      </c>
      <c r="Q157" s="7">
        <f>MAX(0,L157+'Statewide Votes'!$K$9/100)</f>
        <v>0</v>
      </c>
      <c r="R157" s="7">
        <f>MAX(0,M157+'Statewide Votes'!$L$9/100)</f>
        <v>1.662448207141779E-3</v>
      </c>
      <c r="S157" t="str">
        <f>IF(U157=0,"Tie",INDEX({"TVK","AIADMK+BJP+PMK+AMMK","DMK+INC+VCK","NTK","NOTA"},MATCH(MAX(N157:R157),N157:R157,0)))</f>
        <v>AIADMK+BJP+PMK+AMMK</v>
      </c>
      <c r="T157" t="str">
        <f>INDEX({"TVK","AIADMK+BJP+PMK+AMMK","DMK+INC+VCK","NTK","NOTA"},MATCH(LARGE(N157:R157,2),N157:R157,0))</f>
        <v>TVK</v>
      </c>
      <c r="U157">
        <f t="shared" si="24"/>
        <v>11.5</v>
      </c>
      <c r="V157" t="str">
        <f t="shared" si="25"/>
        <v>Strong</v>
      </c>
      <c r="W157" t="str">
        <f>IF(LARGE(I157:M157,1)=LARGE(I157:M157,2),"Tie",INDEX({"TVK","AIADMK+BJP+PMK+AMMK","DMK+INC+VCK","NTK","NOTA"},MATCH(MAX(I157:M157),I157:M157,0)))</f>
        <v>AIADMK+BJP+PMK+AMMK</v>
      </c>
      <c r="X157" s="7">
        <f t="shared" si="26"/>
        <v>0.41364950648982607</v>
      </c>
      <c r="Y157" t="str">
        <f>IF(ISNUMBER(MATCH(A157,{"Maduravoyal","Ambattur","Madavaram","Thiruvottiyur","Sholinganallur","Alandur"},0)),"Chennai",B157)</f>
        <v>Thanjavur</v>
      </c>
    </row>
    <row r="158" spans="1:25" x14ac:dyDescent="0.2">
      <c r="A158" s="3" t="s">
        <v>225</v>
      </c>
      <c r="B158" t="s">
        <v>219</v>
      </c>
      <c r="C158" s="11">
        <v>11</v>
      </c>
      <c r="D158" s="11">
        <v>12</v>
      </c>
      <c r="E158" s="11">
        <v>14</v>
      </c>
      <c r="F158" s="11">
        <v>4</v>
      </c>
      <c r="G158" s="11">
        <v>0</v>
      </c>
      <c r="H158">
        <f t="shared" si="18"/>
        <v>41</v>
      </c>
      <c r="I158" s="7">
        <f t="shared" si="19"/>
        <v>0.26829268292682928</v>
      </c>
      <c r="J158" s="7">
        <f t="shared" si="20"/>
        <v>0.29268292682926828</v>
      </c>
      <c r="K158" s="7">
        <f t="shared" si="21"/>
        <v>0.34146341463414637</v>
      </c>
      <c r="L158" s="7">
        <f t="shared" si="22"/>
        <v>9.7560975609756101E-2</v>
      </c>
      <c r="M158" s="7">
        <f t="shared" si="23"/>
        <v>0</v>
      </c>
      <c r="N158" s="7">
        <f>MAX(0,I158+'Statewide Votes'!$H$9/100)</f>
        <v>0.22366608880492578</v>
      </c>
      <c r="O158" s="7">
        <f>MAX(0,J158+'Statewide Votes'!$I$9/100)</f>
        <v>0.30008243331909434</v>
      </c>
      <c r="P158" s="7">
        <f>MAX(0,K158+'Statewide Votes'!$J$9/100)</f>
        <v>0.38581137075684196</v>
      </c>
      <c r="Q158" s="7">
        <f>MAX(0,L158+'Statewide Votes'!$K$9/100)</f>
        <v>8.8777658911996224E-2</v>
      </c>
      <c r="R158" s="7">
        <f>MAX(0,M158+'Statewide Votes'!$L$9/100)</f>
        <v>1.662448207141779E-3</v>
      </c>
      <c r="S158" t="str">
        <f>IF(U158=0,"Tie",INDEX({"TVK","AIADMK+BJP+PMK+AMMK","DMK+INC+VCK","NTK","NOTA"},MATCH(MAX(N158:R158),N158:R158,0)))</f>
        <v>DMK+INC+VCK</v>
      </c>
      <c r="T158" t="str">
        <f>INDEX({"TVK","AIADMK+BJP+PMK+AMMK","DMK+INC+VCK","NTK","NOTA"},MATCH(LARGE(N158:R158,2),N158:R158,0))</f>
        <v>AIADMK+BJP+PMK+AMMK</v>
      </c>
      <c r="U158">
        <f t="shared" si="24"/>
        <v>8.6</v>
      </c>
      <c r="V158" t="str">
        <f t="shared" si="25"/>
        <v>Lean</v>
      </c>
      <c r="W158" t="str">
        <f>IF(LARGE(I158:M158,1)=LARGE(I158:M158,2),"Tie",INDEX({"TVK","AIADMK+BJP+PMK+AMMK","DMK+INC+VCK","NTK","NOTA"},MATCH(MAX(I158:M158),I158:M158,0)))</f>
        <v>DMK+INC+VCK</v>
      </c>
      <c r="X158" s="7">
        <f t="shared" si="26"/>
        <v>0.38581137075684196</v>
      </c>
      <c r="Y158" t="str">
        <f>IF(ISNUMBER(MATCH(A158,{"Maduravoyal","Ambattur","Madavaram","Thiruvottiyur","Sholinganallur","Alandur"},0)),"Chennai",B158)</f>
        <v>Thanjavur</v>
      </c>
    </row>
    <row r="159" spans="1:25" x14ac:dyDescent="0.2">
      <c r="A159" s="3" t="s">
        <v>226</v>
      </c>
      <c r="B159" t="s">
        <v>227</v>
      </c>
      <c r="C159" s="11">
        <v>14</v>
      </c>
      <c r="D159" s="11">
        <v>12</v>
      </c>
      <c r="E159" s="11">
        <v>4</v>
      </c>
      <c r="F159" s="11">
        <v>4</v>
      </c>
      <c r="G159" s="11">
        <v>0</v>
      </c>
      <c r="H159">
        <f t="shared" si="18"/>
        <v>34</v>
      </c>
      <c r="I159" s="7">
        <f t="shared" si="19"/>
        <v>0.41176470588235292</v>
      </c>
      <c r="J159" s="7">
        <f t="shared" si="20"/>
        <v>0.35294117647058826</v>
      </c>
      <c r="K159" s="7">
        <f t="shared" si="21"/>
        <v>0.11764705882352941</v>
      </c>
      <c r="L159" s="7">
        <f t="shared" si="22"/>
        <v>0.11764705882352941</v>
      </c>
      <c r="M159" s="7">
        <f t="shared" si="23"/>
        <v>0</v>
      </c>
      <c r="N159" s="7">
        <f>MAX(0,I159+'Statewide Votes'!$H$9/100)</f>
        <v>0.36713811176044941</v>
      </c>
      <c r="O159" s="7">
        <f>MAX(0,J159+'Statewide Votes'!$I$9/100)</f>
        <v>0.36034068296041433</v>
      </c>
      <c r="P159" s="7">
        <f>MAX(0,K159+'Statewide Votes'!$J$9/100)</f>
        <v>0.16199501494622501</v>
      </c>
      <c r="Q159" s="7">
        <f>MAX(0,L159+'Statewide Votes'!$K$9/100)</f>
        <v>0.10886374212576953</v>
      </c>
      <c r="R159" s="7">
        <f>MAX(0,M159+'Statewide Votes'!$L$9/100)</f>
        <v>1.662448207141779E-3</v>
      </c>
      <c r="S159" t="str">
        <f>IF(U159=0,"Tie",INDEX({"TVK","AIADMK+BJP+PMK+AMMK","DMK+INC+VCK","NTK","NOTA"},MATCH(MAX(N159:R159),N159:R159,0)))</f>
        <v>TVK</v>
      </c>
      <c r="T159" t="str">
        <f>INDEX({"TVK","AIADMK+BJP+PMK+AMMK","DMK+INC+VCK","NTK","NOTA"},MATCH(LARGE(N159:R159,2),N159:R159,0))</f>
        <v>AIADMK+BJP+PMK+AMMK</v>
      </c>
      <c r="U159">
        <f t="shared" si="24"/>
        <v>0.7</v>
      </c>
      <c r="V159" t="str">
        <f t="shared" si="25"/>
        <v>Toss-up</v>
      </c>
      <c r="W159" t="str">
        <f>IF(LARGE(I159:M159,1)=LARGE(I159:M159,2),"Tie",INDEX({"TVK","AIADMK+BJP+PMK+AMMK","DMK+INC+VCK","NTK","NOTA"},MATCH(MAX(I159:M159),I159:M159,0)))</f>
        <v>TVK</v>
      </c>
      <c r="X159" s="7">
        <f t="shared" si="26"/>
        <v>0.36713811176044941</v>
      </c>
      <c r="Y159" t="str">
        <f>IF(ISNUMBER(MATCH(A159,{"Maduravoyal","Ambattur","Madavaram","Thiruvottiyur","Sholinganallur","Alandur"},0)),"Chennai",B159)</f>
        <v>The Nilgiris</v>
      </c>
    </row>
    <row r="160" spans="1:25" x14ac:dyDescent="0.2">
      <c r="A160" s="3" t="s">
        <v>228</v>
      </c>
      <c r="B160" t="s">
        <v>227</v>
      </c>
      <c r="C160" s="11">
        <v>9</v>
      </c>
      <c r="D160" s="11">
        <v>1</v>
      </c>
      <c r="E160" s="11">
        <v>7</v>
      </c>
      <c r="F160" s="11">
        <v>5</v>
      </c>
      <c r="G160" s="11">
        <v>1</v>
      </c>
      <c r="H160">
        <f t="shared" si="18"/>
        <v>23</v>
      </c>
      <c r="I160" s="7">
        <f t="shared" si="19"/>
        <v>0.39130434782608697</v>
      </c>
      <c r="J160" s="7">
        <f t="shared" si="20"/>
        <v>4.3478260869565216E-2</v>
      </c>
      <c r="K160" s="7">
        <f t="shared" si="21"/>
        <v>0.30434782608695654</v>
      </c>
      <c r="L160" s="7">
        <f t="shared" si="22"/>
        <v>0.21739130434782608</v>
      </c>
      <c r="M160" s="7">
        <f t="shared" si="23"/>
        <v>4.3478260869565216E-2</v>
      </c>
      <c r="N160" s="7">
        <f>MAX(0,I160+'Statewide Votes'!$H$9/100)</f>
        <v>0.34667775370418347</v>
      </c>
      <c r="O160" s="7">
        <f>MAX(0,J160+'Statewide Votes'!$I$9/100)</f>
        <v>5.0877767359391285E-2</v>
      </c>
      <c r="P160" s="7">
        <f>MAX(0,K160+'Statewide Votes'!$J$9/100)</f>
        <v>0.34869578220965214</v>
      </c>
      <c r="Q160" s="7">
        <f>MAX(0,L160+'Statewide Votes'!$K$9/100)</f>
        <v>0.20860798765006622</v>
      </c>
      <c r="R160" s="7">
        <f>MAX(0,M160+'Statewide Votes'!$L$9/100)</f>
        <v>4.5140709076706996E-2</v>
      </c>
      <c r="S160" t="str">
        <f>IF(U160=0,"Tie",INDEX({"TVK","AIADMK+BJP+PMK+AMMK","DMK+INC+VCK","NTK","NOTA"},MATCH(MAX(N160:R160),N160:R160,0)))</f>
        <v>DMK+INC+VCK</v>
      </c>
      <c r="T160" t="str">
        <f>INDEX({"TVK","AIADMK+BJP+PMK+AMMK","DMK+INC+VCK","NTK","NOTA"},MATCH(LARGE(N160:R160,2),N160:R160,0))</f>
        <v>TVK</v>
      </c>
      <c r="U160">
        <f t="shared" si="24"/>
        <v>0.2</v>
      </c>
      <c r="V160" t="str">
        <f t="shared" si="25"/>
        <v>Toss-up</v>
      </c>
      <c r="W160" t="str">
        <f>IF(LARGE(I160:M160,1)=LARGE(I160:M160,2),"Tie",INDEX({"TVK","AIADMK+BJP+PMK+AMMK","DMK+INC+VCK","NTK","NOTA"},MATCH(MAX(I160:M160),I160:M160,0)))</f>
        <v>TVK</v>
      </c>
      <c r="X160" s="7">
        <f t="shared" si="26"/>
        <v>0.34869578220965214</v>
      </c>
      <c r="Y160" t="str">
        <f>IF(ISNUMBER(MATCH(A160,{"Maduravoyal","Ambattur","Madavaram","Thiruvottiyur","Sholinganallur","Alandur"},0)),"Chennai",B160)</f>
        <v>The Nilgiris</v>
      </c>
    </row>
    <row r="161" spans="1:25" x14ac:dyDescent="0.2">
      <c r="A161" s="3" t="s">
        <v>229</v>
      </c>
      <c r="B161" t="s">
        <v>227</v>
      </c>
      <c r="C161" s="11">
        <v>11</v>
      </c>
      <c r="D161" s="11">
        <v>9</v>
      </c>
      <c r="E161" s="11">
        <v>5</v>
      </c>
      <c r="F161" s="11">
        <v>2</v>
      </c>
      <c r="G161" s="11">
        <v>0</v>
      </c>
      <c r="H161">
        <f t="shared" si="18"/>
        <v>27</v>
      </c>
      <c r="I161" s="7">
        <f t="shared" si="19"/>
        <v>0.40740740740740738</v>
      </c>
      <c r="J161" s="7">
        <f t="shared" si="20"/>
        <v>0.33333333333333331</v>
      </c>
      <c r="K161" s="7">
        <f t="shared" si="21"/>
        <v>0.18518518518518517</v>
      </c>
      <c r="L161" s="7">
        <f t="shared" si="22"/>
        <v>7.407407407407407E-2</v>
      </c>
      <c r="M161" s="7">
        <f t="shared" si="23"/>
        <v>0</v>
      </c>
      <c r="N161" s="7">
        <f>MAX(0,I161+'Statewide Votes'!$H$9/100)</f>
        <v>0.36278081328550388</v>
      </c>
      <c r="O161" s="7">
        <f>MAX(0,J161+'Statewide Votes'!$I$9/100)</f>
        <v>0.34073283982315938</v>
      </c>
      <c r="P161" s="7">
        <f>MAX(0,K161+'Statewide Votes'!$J$9/100)</f>
        <v>0.22953314130788077</v>
      </c>
      <c r="Q161" s="7">
        <f>MAX(0,L161+'Statewide Votes'!$K$9/100)</f>
        <v>6.5290757376314193E-2</v>
      </c>
      <c r="R161" s="7">
        <f>MAX(0,M161+'Statewide Votes'!$L$9/100)</f>
        <v>1.662448207141779E-3</v>
      </c>
      <c r="S161" t="str">
        <f>IF(U161=0,"Tie",INDEX({"TVK","AIADMK+BJP+PMK+AMMK","DMK+INC+VCK","NTK","NOTA"},MATCH(MAX(N161:R161),N161:R161,0)))</f>
        <v>TVK</v>
      </c>
      <c r="T161" t="str">
        <f>INDEX({"TVK","AIADMK+BJP+PMK+AMMK","DMK+INC+VCK","NTK","NOTA"},MATCH(LARGE(N161:R161,2),N161:R161,0))</f>
        <v>AIADMK+BJP+PMK+AMMK</v>
      </c>
      <c r="U161">
        <f t="shared" si="24"/>
        <v>2.2000000000000002</v>
      </c>
      <c r="V161" t="str">
        <f t="shared" si="25"/>
        <v>Toss-up</v>
      </c>
      <c r="W161" t="str">
        <f>IF(LARGE(I161:M161,1)=LARGE(I161:M161,2),"Tie",INDEX({"TVK","AIADMK+BJP+PMK+AMMK","DMK+INC+VCK","NTK","NOTA"},MATCH(MAX(I161:M161),I161:M161,0)))</f>
        <v>TVK</v>
      </c>
      <c r="X161" s="7">
        <f t="shared" si="26"/>
        <v>0.36278081328550388</v>
      </c>
      <c r="Y161" t="str">
        <f>IF(ISNUMBER(MATCH(A161,{"Maduravoyal","Ambattur","Madavaram","Thiruvottiyur","Sholinganallur","Alandur"},0)),"Chennai",B161)</f>
        <v>The Nilgiris</v>
      </c>
    </row>
    <row r="162" spans="1:25" x14ac:dyDescent="0.2">
      <c r="A162" s="3" t="s">
        <v>230</v>
      </c>
      <c r="B162" t="s">
        <v>231</v>
      </c>
      <c r="C162" s="11">
        <v>11</v>
      </c>
      <c r="D162" s="11">
        <v>1</v>
      </c>
      <c r="E162" s="11">
        <v>14</v>
      </c>
      <c r="F162" s="11">
        <v>5</v>
      </c>
      <c r="G162" s="11">
        <v>0</v>
      </c>
      <c r="H162">
        <f t="shared" si="18"/>
        <v>31</v>
      </c>
      <c r="I162" s="7">
        <f t="shared" si="19"/>
        <v>0.35483870967741937</v>
      </c>
      <c r="J162" s="7">
        <f t="shared" si="20"/>
        <v>3.2258064516129031E-2</v>
      </c>
      <c r="K162" s="7">
        <f t="shared" si="21"/>
        <v>0.45161290322580644</v>
      </c>
      <c r="L162" s="7">
        <f t="shared" si="22"/>
        <v>0.16129032258064516</v>
      </c>
      <c r="M162" s="7">
        <f t="shared" si="23"/>
        <v>0</v>
      </c>
      <c r="N162" s="7">
        <f>MAX(0,I162+'Statewide Votes'!$H$9/100)</f>
        <v>0.31021211555551587</v>
      </c>
      <c r="O162" s="7">
        <f>MAX(0,J162+'Statewide Votes'!$I$9/100)</f>
        <v>3.96575710059551E-2</v>
      </c>
      <c r="P162" s="7">
        <f>MAX(0,K162+'Statewide Votes'!$J$9/100)</f>
        <v>0.49596085934850204</v>
      </c>
      <c r="Q162" s="7">
        <f>MAX(0,L162+'Statewide Votes'!$K$9/100)</f>
        <v>0.15250700588288529</v>
      </c>
      <c r="R162" s="7">
        <f>MAX(0,M162+'Statewide Votes'!$L$9/100)</f>
        <v>1.662448207141779E-3</v>
      </c>
      <c r="S162" t="str">
        <f>IF(U162=0,"Tie",INDEX({"TVK","AIADMK+BJP+PMK+AMMK","DMK+INC+VCK","NTK","NOTA"},MATCH(MAX(N162:R162),N162:R162,0)))</f>
        <v>DMK+INC+VCK</v>
      </c>
      <c r="T162" t="str">
        <f>INDEX({"TVK","AIADMK+BJP+PMK+AMMK","DMK+INC+VCK","NTK","NOTA"},MATCH(LARGE(N162:R162,2),N162:R162,0))</f>
        <v>TVK</v>
      </c>
      <c r="U162">
        <f t="shared" si="24"/>
        <v>18.600000000000001</v>
      </c>
      <c r="V162" t="str">
        <f t="shared" si="25"/>
        <v>Strong</v>
      </c>
      <c r="W162" t="str">
        <f>IF(LARGE(I162:M162,1)=LARGE(I162:M162,2),"Tie",INDEX({"TVK","AIADMK+BJP+PMK+AMMK","DMK+INC+VCK","NTK","NOTA"},MATCH(MAX(I162:M162),I162:M162,0)))</f>
        <v>DMK+INC+VCK</v>
      </c>
      <c r="X162" s="7">
        <f t="shared" si="26"/>
        <v>0.49596085934850204</v>
      </c>
      <c r="Y162" t="str">
        <f>IF(ISNUMBER(MATCH(A162,{"Maduravoyal","Ambattur","Madavaram","Thiruvottiyur","Sholinganallur","Alandur"},0)),"Chennai",B162)</f>
        <v>Theni</v>
      </c>
    </row>
    <row r="163" spans="1:25" x14ac:dyDescent="0.2">
      <c r="A163" s="3" t="s">
        <v>232</v>
      </c>
      <c r="B163" t="s">
        <v>231</v>
      </c>
      <c r="C163" s="11">
        <v>29</v>
      </c>
      <c r="D163" s="11">
        <v>8</v>
      </c>
      <c r="E163" s="11">
        <v>20</v>
      </c>
      <c r="F163" s="11">
        <v>3</v>
      </c>
      <c r="G163" s="11">
        <v>0</v>
      </c>
      <c r="H163">
        <f t="shared" si="18"/>
        <v>60</v>
      </c>
      <c r="I163" s="7">
        <f t="shared" si="19"/>
        <v>0.48333333333333334</v>
      </c>
      <c r="J163" s="7">
        <f t="shared" si="20"/>
        <v>0.13333333333333333</v>
      </c>
      <c r="K163" s="7">
        <f t="shared" si="21"/>
        <v>0.33333333333333331</v>
      </c>
      <c r="L163" s="7">
        <f t="shared" si="22"/>
        <v>0.05</v>
      </c>
      <c r="M163" s="7">
        <f t="shared" si="23"/>
        <v>0</v>
      </c>
      <c r="N163" s="7">
        <f>MAX(0,I163+'Statewide Votes'!$H$9/100)</f>
        <v>0.43870673921142983</v>
      </c>
      <c r="O163" s="7">
        <f>MAX(0,J163+'Statewide Votes'!$I$9/100)</f>
        <v>0.1407328398231594</v>
      </c>
      <c r="P163" s="7">
        <f>MAX(0,K163+'Statewide Votes'!$J$9/100)</f>
        <v>0.37768128945602891</v>
      </c>
      <c r="Q163" s="7">
        <f>MAX(0,L163+'Statewide Votes'!$K$9/100)</f>
        <v>4.1216683302240126E-2</v>
      </c>
      <c r="R163" s="7">
        <f>MAX(0,M163+'Statewide Votes'!$L$9/100)</f>
        <v>1.662448207141779E-3</v>
      </c>
      <c r="S163" t="str">
        <f>IF(U163=0,"Tie",INDEX({"TVK","AIADMK+BJP+PMK+AMMK","DMK+INC+VCK","NTK","NOTA"},MATCH(MAX(N163:R163),N163:R163,0)))</f>
        <v>TVK</v>
      </c>
      <c r="T163" t="str">
        <f>INDEX({"TVK","AIADMK+BJP+PMK+AMMK","DMK+INC+VCK","NTK","NOTA"},MATCH(LARGE(N163:R163,2),N163:R163,0))</f>
        <v>DMK+INC+VCK</v>
      </c>
      <c r="U163">
        <f t="shared" si="24"/>
        <v>6.1</v>
      </c>
      <c r="V163" t="str">
        <f t="shared" si="25"/>
        <v>Lean</v>
      </c>
      <c r="W163" t="str">
        <f>IF(LARGE(I163:M163,1)=LARGE(I163:M163,2),"Tie",INDEX({"TVK","AIADMK+BJP+PMK+AMMK","DMK+INC+VCK","NTK","NOTA"},MATCH(MAX(I163:M163),I163:M163,0)))</f>
        <v>TVK</v>
      </c>
      <c r="X163" s="7">
        <f t="shared" si="26"/>
        <v>0.43870673921142983</v>
      </c>
      <c r="Y163" t="str">
        <f>IF(ISNUMBER(MATCH(A163,{"Maduravoyal","Ambattur","Madavaram","Thiruvottiyur","Sholinganallur","Alandur"},0)),"Chennai",B163)</f>
        <v>Theni</v>
      </c>
    </row>
    <row r="164" spans="1:25" x14ac:dyDescent="0.2">
      <c r="A164" s="3" t="s">
        <v>233</v>
      </c>
      <c r="B164" t="s">
        <v>231</v>
      </c>
      <c r="C164" s="11">
        <v>15</v>
      </c>
      <c r="D164" s="11">
        <v>15</v>
      </c>
      <c r="E164" s="11">
        <v>7</v>
      </c>
      <c r="F164" s="11">
        <v>4</v>
      </c>
      <c r="G164" s="11">
        <v>0</v>
      </c>
      <c r="H164">
        <f t="shared" si="18"/>
        <v>41</v>
      </c>
      <c r="I164" s="7">
        <f t="shared" si="19"/>
        <v>0.36585365853658536</v>
      </c>
      <c r="J164" s="7">
        <f t="shared" si="20"/>
        <v>0.36585365853658536</v>
      </c>
      <c r="K164" s="7">
        <f t="shared" si="21"/>
        <v>0.17073170731707318</v>
      </c>
      <c r="L164" s="7">
        <f t="shared" si="22"/>
        <v>9.7560975609756101E-2</v>
      </c>
      <c r="M164" s="7">
        <f t="shared" si="23"/>
        <v>0</v>
      </c>
      <c r="N164" s="7">
        <f>MAX(0,I164+'Statewide Votes'!$H$9/100)</f>
        <v>0.32122706441468185</v>
      </c>
      <c r="O164" s="7">
        <f>MAX(0,J164+'Statewide Votes'!$I$9/100)</f>
        <v>0.37325316502641143</v>
      </c>
      <c r="P164" s="7">
        <f>MAX(0,K164+'Statewide Votes'!$J$9/100)</f>
        <v>0.21507966343976878</v>
      </c>
      <c r="Q164" s="7">
        <f>MAX(0,L164+'Statewide Votes'!$K$9/100)</f>
        <v>8.8777658911996224E-2</v>
      </c>
      <c r="R164" s="7">
        <f>MAX(0,M164+'Statewide Votes'!$L$9/100)</f>
        <v>1.662448207141779E-3</v>
      </c>
      <c r="S164" t="str">
        <f>IF(U164=0,"Tie",INDEX({"TVK","AIADMK+BJP+PMK+AMMK","DMK+INC+VCK","NTK","NOTA"},MATCH(MAX(N164:R164),N164:R164,0)))</f>
        <v>AIADMK+BJP+PMK+AMMK</v>
      </c>
      <c r="T164" t="str">
        <f>INDEX({"TVK","AIADMK+BJP+PMK+AMMK","DMK+INC+VCK","NTK","NOTA"},MATCH(LARGE(N164:R164,2),N164:R164,0))</f>
        <v>TVK</v>
      </c>
      <c r="U164">
        <f t="shared" si="24"/>
        <v>5.2</v>
      </c>
      <c r="V164" t="str">
        <f t="shared" si="25"/>
        <v>Lean</v>
      </c>
      <c r="W164" t="str">
        <f>IF(LARGE(I164:M164,1)=LARGE(I164:M164,2),"Tie",INDEX({"TVK","AIADMK+BJP+PMK+AMMK","DMK+INC+VCK","NTK","NOTA"},MATCH(MAX(I164:M164),I164:M164,0)))</f>
        <v>Tie</v>
      </c>
      <c r="X164" s="7">
        <f t="shared" si="26"/>
        <v>0.37325316502641143</v>
      </c>
      <c r="Y164" t="str">
        <f>IF(ISNUMBER(MATCH(A164,{"Maduravoyal","Ambattur","Madavaram","Thiruvottiyur","Sholinganallur","Alandur"},0)),"Chennai",B164)</f>
        <v>Theni</v>
      </c>
    </row>
    <row r="165" spans="1:25" x14ac:dyDescent="0.2">
      <c r="A165" s="3" t="s">
        <v>234</v>
      </c>
      <c r="B165" t="s">
        <v>231</v>
      </c>
      <c r="C165" s="11">
        <v>18</v>
      </c>
      <c r="D165" s="11">
        <v>10</v>
      </c>
      <c r="E165" s="11">
        <v>15</v>
      </c>
      <c r="F165" s="11">
        <v>6</v>
      </c>
      <c r="G165" s="11">
        <v>0</v>
      </c>
      <c r="H165">
        <f t="shared" si="18"/>
        <v>49</v>
      </c>
      <c r="I165" s="7">
        <f t="shared" si="19"/>
        <v>0.36734693877551022</v>
      </c>
      <c r="J165" s="7">
        <f t="shared" si="20"/>
        <v>0.20408163265306123</v>
      </c>
      <c r="K165" s="7">
        <f t="shared" si="21"/>
        <v>0.30612244897959184</v>
      </c>
      <c r="L165" s="7">
        <f t="shared" si="22"/>
        <v>0.12244897959183673</v>
      </c>
      <c r="M165" s="7">
        <f t="shared" si="23"/>
        <v>0</v>
      </c>
      <c r="N165" s="7">
        <f>MAX(0,I165+'Statewide Votes'!$H$9/100)</f>
        <v>0.32272034465360672</v>
      </c>
      <c r="O165" s="7">
        <f>MAX(0,J165+'Statewide Votes'!$I$9/100)</f>
        <v>0.2114811391428873</v>
      </c>
      <c r="P165" s="7">
        <f>MAX(0,K165+'Statewide Votes'!$J$9/100)</f>
        <v>0.35047040510228744</v>
      </c>
      <c r="Q165" s="7">
        <f>MAX(0,L165+'Statewide Votes'!$K$9/100)</f>
        <v>0.11366566289407685</v>
      </c>
      <c r="R165" s="7">
        <f>MAX(0,M165+'Statewide Votes'!$L$9/100)</f>
        <v>1.662448207141779E-3</v>
      </c>
      <c r="S165" t="str">
        <f>IF(U165=0,"Tie",INDEX({"TVK","AIADMK+BJP+PMK+AMMK","DMK+INC+VCK","NTK","NOTA"},MATCH(MAX(N165:R165),N165:R165,0)))</f>
        <v>DMK+INC+VCK</v>
      </c>
      <c r="T165" t="str">
        <f>INDEX({"TVK","AIADMK+BJP+PMK+AMMK","DMK+INC+VCK","NTK","NOTA"},MATCH(LARGE(N165:R165,2),N165:R165,0))</f>
        <v>TVK</v>
      </c>
      <c r="U165">
        <f t="shared" si="24"/>
        <v>2.8</v>
      </c>
      <c r="V165" t="str">
        <f t="shared" si="25"/>
        <v>Toss-up</v>
      </c>
      <c r="W165" t="str">
        <f>IF(LARGE(I165:M165,1)=LARGE(I165:M165,2),"Tie",INDEX({"TVK","AIADMK+BJP+PMK+AMMK","DMK+INC+VCK","NTK","NOTA"},MATCH(MAX(I165:M165),I165:M165,0)))</f>
        <v>TVK</v>
      </c>
      <c r="X165" s="7">
        <f t="shared" si="26"/>
        <v>0.35047040510228744</v>
      </c>
      <c r="Y165" t="str">
        <f>IF(ISNUMBER(MATCH(A165,{"Maduravoyal","Ambattur","Madavaram","Thiruvottiyur","Sholinganallur","Alandur"},0)),"Chennai",B165)</f>
        <v>Theni</v>
      </c>
    </row>
    <row r="166" spans="1:25" x14ac:dyDescent="0.2">
      <c r="A166" s="3" t="s">
        <v>235</v>
      </c>
      <c r="B166" t="s">
        <v>236</v>
      </c>
      <c r="C166" s="11">
        <v>32</v>
      </c>
      <c r="D166" s="11">
        <v>25</v>
      </c>
      <c r="E166" s="11">
        <v>22</v>
      </c>
      <c r="F166" s="11">
        <v>5</v>
      </c>
      <c r="G166" s="11">
        <v>3</v>
      </c>
      <c r="H166">
        <f t="shared" si="18"/>
        <v>87</v>
      </c>
      <c r="I166" s="7">
        <f t="shared" si="19"/>
        <v>0.36781609195402298</v>
      </c>
      <c r="J166" s="7">
        <f t="shared" si="20"/>
        <v>0.28735632183908044</v>
      </c>
      <c r="K166" s="7">
        <f t="shared" si="21"/>
        <v>0.25287356321839083</v>
      </c>
      <c r="L166" s="7">
        <f t="shared" si="22"/>
        <v>5.7471264367816091E-2</v>
      </c>
      <c r="M166" s="7">
        <f t="shared" si="23"/>
        <v>3.4482758620689655E-2</v>
      </c>
      <c r="N166" s="7">
        <f>MAX(0,I166+'Statewide Votes'!$H$9/100)</f>
        <v>0.32318949783211948</v>
      </c>
      <c r="O166" s="7">
        <f>MAX(0,J166+'Statewide Votes'!$I$9/100)</f>
        <v>0.29475582832890651</v>
      </c>
      <c r="P166" s="7">
        <f>MAX(0,K166+'Statewide Votes'!$J$9/100)</f>
        <v>0.29722151934108643</v>
      </c>
      <c r="Q166" s="7">
        <f>MAX(0,L166+'Statewide Votes'!$K$9/100)</f>
        <v>4.8687947670056214E-2</v>
      </c>
      <c r="R166" s="7">
        <f>MAX(0,M166+'Statewide Votes'!$L$9/100)</f>
        <v>3.6145206827831435E-2</v>
      </c>
      <c r="S166" t="str">
        <f>IF(U166=0,"Tie",INDEX({"TVK","AIADMK+BJP+PMK+AMMK","DMK+INC+VCK","NTK","NOTA"},MATCH(MAX(N166:R166),N166:R166,0)))</f>
        <v>TVK</v>
      </c>
      <c r="T166" t="str">
        <f>INDEX({"TVK","AIADMK+BJP+PMK+AMMK","DMK+INC+VCK","NTK","NOTA"},MATCH(LARGE(N166:R166,2),N166:R166,0))</f>
        <v>DMK+INC+VCK</v>
      </c>
      <c r="U166">
        <f t="shared" si="24"/>
        <v>2.6</v>
      </c>
      <c r="V166" t="str">
        <f t="shared" si="25"/>
        <v>Toss-up</v>
      </c>
      <c r="W166" t="str">
        <f>IF(LARGE(I166:M166,1)=LARGE(I166:M166,2),"Tie",INDEX({"TVK","AIADMK+BJP+PMK+AMMK","DMK+INC+VCK","NTK","NOTA"},MATCH(MAX(I166:M166),I166:M166,0)))</f>
        <v>TVK</v>
      </c>
      <c r="X166" s="7">
        <f t="shared" si="26"/>
        <v>0.32318949783211948</v>
      </c>
      <c r="Y166" t="str">
        <f>IF(ISNUMBER(MATCH(A166,{"Maduravoyal","Ambattur","Madavaram","Thiruvottiyur","Sholinganallur","Alandur"},0)),"Chennai",B166)</f>
        <v>Chennai</v>
      </c>
    </row>
    <row r="167" spans="1:25" x14ac:dyDescent="0.2">
      <c r="A167" s="3" t="s">
        <v>237</v>
      </c>
      <c r="B167" t="s">
        <v>236</v>
      </c>
      <c r="C167" s="11">
        <v>47</v>
      </c>
      <c r="D167" s="11">
        <v>20</v>
      </c>
      <c r="E167" s="11">
        <v>40</v>
      </c>
      <c r="F167" s="11">
        <v>10</v>
      </c>
      <c r="G167" s="11">
        <v>0</v>
      </c>
      <c r="H167">
        <f t="shared" si="18"/>
        <v>117</v>
      </c>
      <c r="I167" s="7">
        <f t="shared" si="19"/>
        <v>0.40170940170940173</v>
      </c>
      <c r="J167" s="7">
        <f t="shared" si="20"/>
        <v>0.17094017094017094</v>
      </c>
      <c r="K167" s="7">
        <f t="shared" si="21"/>
        <v>0.34188034188034189</v>
      </c>
      <c r="L167" s="7">
        <f t="shared" si="22"/>
        <v>8.5470085470085472E-2</v>
      </c>
      <c r="M167" s="7">
        <f t="shared" si="23"/>
        <v>0</v>
      </c>
      <c r="N167" s="7">
        <f>MAX(0,I167+'Statewide Votes'!$H$9/100)</f>
        <v>0.35708280758749822</v>
      </c>
      <c r="O167" s="7">
        <f>MAX(0,J167+'Statewide Votes'!$I$9/100)</f>
        <v>0.17833967742999701</v>
      </c>
      <c r="P167" s="7">
        <f>MAX(0,K167+'Statewide Votes'!$J$9/100)</f>
        <v>0.38622829800303748</v>
      </c>
      <c r="Q167" s="7">
        <f>MAX(0,L167+'Statewide Votes'!$K$9/100)</f>
        <v>7.6686768772325595E-2</v>
      </c>
      <c r="R167" s="7">
        <f>MAX(0,M167+'Statewide Votes'!$L$9/100)</f>
        <v>1.662448207141779E-3</v>
      </c>
      <c r="S167" t="str">
        <f>IF(U167=0,"Tie",INDEX({"TVK","AIADMK+BJP+PMK+AMMK","DMK+INC+VCK","NTK","NOTA"},MATCH(MAX(N167:R167),N167:R167,0)))</f>
        <v>DMK+INC+VCK</v>
      </c>
      <c r="T167" t="str">
        <f>INDEX({"TVK","AIADMK+BJP+PMK+AMMK","DMK+INC+VCK","NTK","NOTA"},MATCH(LARGE(N167:R167,2),N167:R167,0))</f>
        <v>TVK</v>
      </c>
      <c r="U167">
        <f t="shared" si="24"/>
        <v>2.9</v>
      </c>
      <c r="V167" t="str">
        <f t="shared" si="25"/>
        <v>Toss-up</v>
      </c>
      <c r="W167" t="str">
        <f>IF(LARGE(I167:M167,1)=LARGE(I167:M167,2),"Tie",INDEX({"TVK","AIADMK+BJP+PMK+AMMK","DMK+INC+VCK","NTK","NOTA"},MATCH(MAX(I167:M167),I167:M167,0)))</f>
        <v>TVK</v>
      </c>
      <c r="X167" s="7">
        <f t="shared" si="26"/>
        <v>0.38622829800303748</v>
      </c>
      <c r="Y167" t="str">
        <f>IF(ISNUMBER(MATCH(A167,{"Maduravoyal","Ambattur","Madavaram","Thiruvottiyur","Sholinganallur","Alandur"},0)),"Chennai",B167)</f>
        <v>Thiruvallur</v>
      </c>
    </row>
    <row r="168" spans="1:25" x14ac:dyDescent="0.2">
      <c r="A168" s="3" t="s">
        <v>238</v>
      </c>
      <c r="B168" t="s">
        <v>236</v>
      </c>
      <c r="C168" s="11">
        <v>22</v>
      </c>
      <c r="D168" s="11">
        <v>9</v>
      </c>
      <c r="E168" s="11">
        <v>12</v>
      </c>
      <c r="F168" s="11">
        <v>2</v>
      </c>
      <c r="G168" s="11">
        <v>0</v>
      </c>
      <c r="H168">
        <f t="shared" si="18"/>
        <v>45</v>
      </c>
      <c r="I168" s="7">
        <f t="shared" si="19"/>
        <v>0.48888888888888887</v>
      </c>
      <c r="J168" s="7">
        <f t="shared" si="20"/>
        <v>0.2</v>
      </c>
      <c r="K168" s="7">
        <f t="shared" si="21"/>
        <v>0.26666666666666666</v>
      </c>
      <c r="L168" s="7">
        <f t="shared" si="22"/>
        <v>4.4444444444444446E-2</v>
      </c>
      <c r="M168" s="7">
        <f t="shared" si="23"/>
        <v>0</v>
      </c>
      <c r="N168" s="7">
        <f>MAX(0,I168+'Statewide Votes'!$H$9/100)</f>
        <v>0.44426229476698537</v>
      </c>
      <c r="O168" s="7">
        <f>MAX(0,J168+'Statewide Votes'!$I$9/100)</f>
        <v>0.20739950648982608</v>
      </c>
      <c r="P168" s="7">
        <f>MAX(0,K168+'Statewide Votes'!$J$9/100)</f>
        <v>0.31101462278936226</v>
      </c>
      <c r="Q168" s="7">
        <f>MAX(0,L168+'Statewide Votes'!$K$9/100)</f>
        <v>3.5661127746684569E-2</v>
      </c>
      <c r="R168" s="7">
        <f>MAX(0,M168+'Statewide Votes'!$L$9/100)</f>
        <v>1.662448207141779E-3</v>
      </c>
      <c r="S168" t="str">
        <f>IF(U168=0,"Tie",INDEX({"TVK","AIADMK+BJP+PMK+AMMK","DMK+INC+VCK","NTK","NOTA"},MATCH(MAX(N168:R168),N168:R168,0)))</f>
        <v>TVK</v>
      </c>
      <c r="T168" t="str">
        <f>INDEX({"TVK","AIADMK+BJP+PMK+AMMK","DMK+INC+VCK","NTK","NOTA"},MATCH(LARGE(N168:R168,2),N168:R168,0))</f>
        <v>DMK+INC+VCK</v>
      </c>
      <c r="U168">
        <f t="shared" si="24"/>
        <v>13.3</v>
      </c>
      <c r="V168" t="str">
        <f t="shared" si="25"/>
        <v>Strong</v>
      </c>
      <c r="W168" t="str">
        <f>IF(LARGE(I168:M168,1)=LARGE(I168:M168,2),"Tie",INDEX({"TVK","AIADMK+BJP+PMK+AMMK","DMK+INC+VCK","NTK","NOTA"},MATCH(MAX(I168:M168),I168:M168,0)))</f>
        <v>TVK</v>
      </c>
      <c r="X168" s="7">
        <f t="shared" si="26"/>
        <v>0.44426229476698537</v>
      </c>
      <c r="Y168" t="str">
        <f>IF(ISNUMBER(MATCH(A168,{"Maduravoyal","Ambattur","Madavaram","Thiruvottiyur","Sholinganallur","Alandur"},0)),"Chennai",B168)</f>
        <v>Thiruvallur</v>
      </c>
    </row>
    <row r="169" spans="1:25" x14ac:dyDescent="0.2">
      <c r="A169" s="3" t="s">
        <v>239</v>
      </c>
      <c r="B169" t="s">
        <v>236</v>
      </c>
      <c r="C169" s="11">
        <v>34</v>
      </c>
      <c r="D169" s="11">
        <v>22</v>
      </c>
      <c r="E169" s="11">
        <v>16</v>
      </c>
      <c r="F169" s="11">
        <v>6</v>
      </c>
      <c r="G169" s="11">
        <v>0</v>
      </c>
      <c r="H169">
        <f t="shared" si="18"/>
        <v>78</v>
      </c>
      <c r="I169" s="7">
        <f t="shared" si="19"/>
        <v>0.4358974358974359</v>
      </c>
      <c r="J169" s="7">
        <f t="shared" si="20"/>
        <v>0.28205128205128205</v>
      </c>
      <c r="K169" s="7">
        <f t="shared" si="21"/>
        <v>0.20512820512820512</v>
      </c>
      <c r="L169" s="7">
        <f t="shared" si="22"/>
        <v>7.6923076923076927E-2</v>
      </c>
      <c r="M169" s="7">
        <f t="shared" si="23"/>
        <v>0</v>
      </c>
      <c r="N169" s="7">
        <f>MAX(0,I169+'Statewide Votes'!$H$9/100)</f>
        <v>0.3912708417755324</v>
      </c>
      <c r="O169" s="7">
        <f>MAX(0,J169+'Statewide Votes'!$I$9/100)</f>
        <v>0.28945078854110812</v>
      </c>
      <c r="P169" s="7">
        <f>MAX(0,K169+'Statewide Votes'!$J$9/100)</f>
        <v>0.24947616125090072</v>
      </c>
      <c r="Q169" s="7">
        <f>MAX(0,L169+'Statewide Votes'!$K$9/100)</f>
        <v>6.813976022531705E-2</v>
      </c>
      <c r="R169" s="7">
        <f>MAX(0,M169+'Statewide Votes'!$L$9/100)</f>
        <v>1.662448207141779E-3</v>
      </c>
      <c r="S169" t="str">
        <f>IF(U169=0,"Tie",INDEX({"TVK","AIADMK+BJP+PMK+AMMK","DMK+INC+VCK","NTK","NOTA"},MATCH(MAX(N169:R169),N169:R169,0)))</f>
        <v>TVK</v>
      </c>
      <c r="T169" t="str">
        <f>INDEX({"TVK","AIADMK+BJP+PMK+AMMK","DMK+INC+VCK","NTK","NOTA"},MATCH(LARGE(N169:R169,2),N169:R169,0))</f>
        <v>AIADMK+BJP+PMK+AMMK</v>
      </c>
      <c r="U169">
        <f t="shared" si="24"/>
        <v>10.199999999999999</v>
      </c>
      <c r="V169" t="str">
        <f t="shared" si="25"/>
        <v>Strong</v>
      </c>
      <c r="W169" t="str">
        <f>IF(LARGE(I169:M169,1)=LARGE(I169:M169,2),"Tie",INDEX({"TVK","AIADMK+BJP+PMK+AMMK","DMK+INC+VCK","NTK","NOTA"},MATCH(MAX(I169:M169),I169:M169,0)))</f>
        <v>TVK</v>
      </c>
      <c r="X169" s="7">
        <f t="shared" si="26"/>
        <v>0.3912708417755324</v>
      </c>
      <c r="Y169" t="str">
        <f>IF(ISNUMBER(MATCH(A169,{"Maduravoyal","Ambattur","Madavaram","Thiruvottiyur","Sholinganallur","Alandur"},0)),"Chennai",B169)</f>
        <v>Chennai</v>
      </c>
    </row>
    <row r="170" spans="1:25" x14ac:dyDescent="0.2">
      <c r="A170" s="3" t="s">
        <v>240</v>
      </c>
      <c r="B170" t="s">
        <v>236</v>
      </c>
      <c r="C170" s="11">
        <v>49</v>
      </c>
      <c r="D170" s="11">
        <v>28</v>
      </c>
      <c r="E170" s="11">
        <v>20</v>
      </c>
      <c r="F170" s="11">
        <v>6</v>
      </c>
      <c r="G170" s="11">
        <v>2</v>
      </c>
      <c r="H170">
        <f t="shared" si="18"/>
        <v>105</v>
      </c>
      <c r="I170" s="7">
        <f t="shared" si="19"/>
        <v>0.46666666666666667</v>
      </c>
      <c r="J170" s="7">
        <f t="shared" si="20"/>
        <v>0.26666666666666666</v>
      </c>
      <c r="K170" s="7">
        <f t="shared" si="21"/>
        <v>0.19047619047619047</v>
      </c>
      <c r="L170" s="7">
        <f t="shared" si="22"/>
        <v>5.7142857142857141E-2</v>
      </c>
      <c r="M170" s="7">
        <f t="shared" si="23"/>
        <v>1.9047619047619049E-2</v>
      </c>
      <c r="N170" s="7">
        <f>MAX(0,I170+'Statewide Votes'!$H$9/100)</f>
        <v>0.42204007254476317</v>
      </c>
      <c r="O170" s="7">
        <f>MAX(0,J170+'Statewide Votes'!$I$9/100)</f>
        <v>0.27406617315649273</v>
      </c>
      <c r="P170" s="7">
        <f>MAX(0,K170+'Statewide Votes'!$J$9/100)</f>
        <v>0.23482414659888606</v>
      </c>
      <c r="Q170" s="7">
        <f>MAX(0,L170+'Statewide Votes'!$K$9/100)</f>
        <v>4.8359540445097264E-2</v>
      </c>
      <c r="R170" s="7">
        <f>MAX(0,M170+'Statewide Votes'!$L$9/100)</f>
        <v>2.0710067254760829E-2</v>
      </c>
      <c r="S170" t="str">
        <f>IF(U170=0,"Tie",INDEX({"TVK","AIADMK+BJP+PMK+AMMK","DMK+INC+VCK","NTK","NOTA"},MATCH(MAX(N170:R170),N170:R170,0)))</f>
        <v>TVK</v>
      </c>
      <c r="T170" t="str">
        <f>INDEX({"TVK","AIADMK+BJP+PMK+AMMK","DMK+INC+VCK","NTK","NOTA"},MATCH(LARGE(N170:R170,2),N170:R170,0))</f>
        <v>AIADMK+BJP+PMK+AMMK</v>
      </c>
      <c r="U170">
        <f t="shared" si="24"/>
        <v>14.8</v>
      </c>
      <c r="V170" t="str">
        <f t="shared" si="25"/>
        <v>Strong</v>
      </c>
      <c r="W170" t="str">
        <f>IF(LARGE(I170:M170,1)=LARGE(I170:M170,2),"Tie",INDEX({"TVK","AIADMK+BJP+PMK+AMMK","DMK+INC+VCK","NTK","NOTA"},MATCH(MAX(I170:M170),I170:M170,0)))</f>
        <v>TVK</v>
      </c>
      <c r="X170" s="7">
        <f t="shared" si="26"/>
        <v>0.42204007254476317</v>
      </c>
      <c r="Y170" t="str">
        <f>IF(ISNUMBER(MATCH(A170,{"Maduravoyal","Ambattur","Madavaram","Thiruvottiyur","Sholinganallur","Alandur"},0)),"Chennai",B170)</f>
        <v>Chennai</v>
      </c>
    </row>
    <row r="171" spans="1:25" x14ac:dyDescent="0.2">
      <c r="A171" s="3" t="s">
        <v>241</v>
      </c>
      <c r="B171" t="s">
        <v>236</v>
      </c>
      <c r="C171" s="11">
        <v>41</v>
      </c>
      <c r="D171" s="11">
        <v>14</v>
      </c>
      <c r="E171" s="11">
        <v>18</v>
      </c>
      <c r="F171" s="11">
        <v>4</v>
      </c>
      <c r="G171" s="11">
        <v>1</v>
      </c>
      <c r="H171">
        <f t="shared" si="18"/>
        <v>78</v>
      </c>
      <c r="I171" s="7">
        <f t="shared" si="19"/>
        <v>0.52564102564102566</v>
      </c>
      <c r="J171" s="7">
        <f t="shared" si="20"/>
        <v>0.17948717948717949</v>
      </c>
      <c r="K171" s="7">
        <f t="shared" si="21"/>
        <v>0.23076923076923078</v>
      </c>
      <c r="L171" s="7">
        <f t="shared" si="22"/>
        <v>5.128205128205128E-2</v>
      </c>
      <c r="M171" s="7">
        <f t="shared" si="23"/>
        <v>1.282051282051282E-2</v>
      </c>
      <c r="N171" s="7">
        <f>MAX(0,I171+'Statewide Votes'!$H$9/100)</f>
        <v>0.48101443151912215</v>
      </c>
      <c r="O171" s="7">
        <f>MAX(0,J171+'Statewide Votes'!$I$9/100)</f>
        <v>0.18688668597700556</v>
      </c>
      <c r="P171" s="7">
        <f>MAX(0,K171+'Statewide Votes'!$J$9/100)</f>
        <v>0.27511718689192638</v>
      </c>
      <c r="Q171" s="7">
        <f>MAX(0,L171+'Statewide Votes'!$K$9/100)</f>
        <v>4.2498734584291403E-2</v>
      </c>
      <c r="R171" s="7">
        <f>MAX(0,M171+'Statewide Votes'!$L$9/100)</f>
        <v>1.44829610276546E-2</v>
      </c>
      <c r="S171" t="str">
        <f>IF(U171=0,"Tie",INDEX({"TVK","AIADMK+BJP+PMK+AMMK","DMK+INC+VCK","NTK","NOTA"},MATCH(MAX(N171:R171),N171:R171,0)))</f>
        <v>TVK</v>
      </c>
      <c r="T171" t="str">
        <f>INDEX({"TVK","AIADMK+BJP+PMK+AMMK","DMK+INC+VCK","NTK","NOTA"},MATCH(LARGE(N171:R171,2),N171:R171,0))</f>
        <v>DMK+INC+VCK</v>
      </c>
      <c r="U171">
        <f t="shared" si="24"/>
        <v>20.6</v>
      </c>
      <c r="V171" t="str">
        <f t="shared" si="25"/>
        <v>Strong</v>
      </c>
      <c r="W171" t="str">
        <f>IF(LARGE(I171:M171,1)=LARGE(I171:M171,2),"Tie",INDEX({"TVK","AIADMK+BJP+PMK+AMMK","DMK+INC+VCK","NTK","NOTA"},MATCH(MAX(I171:M171),I171:M171,0)))</f>
        <v>TVK</v>
      </c>
      <c r="X171" s="7">
        <f t="shared" si="26"/>
        <v>0.48101443151912215</v>
      </c>
      <c r="Y171" t="str">
        <f>IF(ISNUMBER(MATCH(A171,{"Maduravoyal","Ambattur","Madavaram","Thiruvottiyur","Sholinganallur","Alandur"},0)),"Chennai",B171)</f>
        <v>Thiruvallur</v>
      </c>
    </row>
    <row r="172" spans="1:25" x14ac:dyDescent="0.2">
      <c r="A172" s="3" t="s">
        <v>242</v>
      </c>
      <c r="B172" t="s">
        <v>236</v>
      </c>
      <c r="C172" s="11">
        <v>34</v>
      </c>
      <c r="D172" s="11">
        <v>19</v>
      </c>
      <c r="E172" s="11">
        <v>19</v>
      </c>
      <c r="F172" s="11">
        <v>7</v>
      </c>
      <c r="G172" s="11">
        <v>3</v>
      </c>
      <c r="H172">
        <f t="shared" si="18"/>
        <v>82</v>
      </c>
      <c r="I172" s="7">
        <f t="shared" si="19"/>
        <v>0.41463414634146339</v>
      </c>
      <c r="J172" s="7">
        <f t="shared" si="20"/>
        <v>0.23170731707317074</v>
      </c>
      <c r="K172" s="7">
        <f t="shared" si="21"/>
        <v>0.23170731707317074</v>
      </c>
      <c r="L172" s="7">
        <f t="shared" si="22"/>
        <v>8.5365853658536592E-2</v>
      </c>
      <c r="M172" s="7">
        <f t="shared" si="23"/>
        <v>3.6585365853658534E-2</v>
      </c>
      <c r="N172" s="7">
        <f>MAX(0,I172+'Statewide Votes'!$H$9/100)</f>
        <v>0.37000755221955989</v>
      </c>
      <c r="O172" s="7">
        <f>MAX(0,J172+'Statewide Votes'!$I$9/100)</f>
        <v>0.23910682356299681</v>
      </c>
      <c r="P172" s="7">
        <f>MAX(0,K172+'Statewide Votes'!$J$9/100)</f>
        <v>0.27605527319586631</v>
      </c>
      <c r="Q172" s="7">
        <f>MAX(0,L172+'Statewide Votes'!$K$9/100)</f>
        <v>7.6582536960776715E-2</v>
      </c>
      <c r="R172" s="7">
        <f>MAX(0,M172+'Statewide Votes'!$L$9/100)</f>
        <v>3.8247814060800314E-2</v>
      </c>
      <c r="S172" t="str">
        <f>IF(U172=0,"Tie",INDEX({"TVK","AIADMK+BJP+PMK+AMMK","DMK+INC+VCK","NTK","NOTA"},MATCH(MAX(N172:R172),N172:R172,0)))</f>
        <v>TVK</v>
      </c>
      <c r="T172" t="str">
        <f>INDEX({"TVK","AIADMK+BJP+PMK+AMMK","DMK+INC+VCK","NTK","NOTA"},MATCH(LARGE(N172:R172,2),N172:R172,0))</f>
        <v>DMK+INC+VCK</v>
      </c>
      <c r="U172">
        <f t="shared" si="24"/>
        <v>9.4</v>
      </c>
      <c r="V172" t="str">
        <f t="shared" si="25"/>
        <v>Lean</v>
      </c>
      <c r="W172" t="str">
        <f>IF(LARGE(I172:M172,1)=LARGE(I172:M172,2),"Tie",INDEX({"TVK","AIADMK+BJP+PMK+AMMK","DMK+INC+VCK","NTK","NOTA"},MATCH(MAX(I172:M172),I172:M172,0)))</f>
        <v>TVK</v>
      </c>
      <c r="X172" s="7">
        <f t="shared" si="26"/>
        <v>0.37000755221955989</v>
      </c>
      <c r="Y172" t="str">
        <f>IF(ISNUMBER(MATCH(A172,{"Maduravoyal","Ambattur","Madavaram","Thiruvottiyur","Sholinganallur","Alandur"},0)),"Chennai",B172)</f>
        <v>Thiruvallur</v>
      </c>
    </row>
    <row r="173" spans="1:25" x14ac:dyDescent="0.2">
      <c r="A173" s="3" t="s">
        <v>236</v>
      </c>
      <c r="B173" t="s">
        <v>236</v>
      </c>
      <c r="C173" s="11">
        <v>57</v>
      </c>
      <c r="D173" s="11">
        <v>15</v>
      </c>
      <c r="E173" s="11">
        <v>33</v>
      </c>
      <c r="F173" s="11">
        <v>4</v>
      </c>
      <c r="G173" s="11">
        <v>1</v>
      </c>
      <c r="H173">
        <f t="shared" si="18"/>
        <v>110</v>
      </c>
      <c r="I173" s="7">
        <f t="shared" si="19"/>
        <v>0.51818181818181819</v>
      </c>
      <c r="J173" s="7">
        <f t="shared" si="20"/>
        <v>0.13636363636363635</v>
      </c>
      <c r="K173" s="7">
        <f t="shared" si="21"/>
        <v>0.3</v>
      </c>
      <c r="L173" s="7">
        <f t="shared" si="22"/>
        <v>3.6363636363636362E-2</v>
      </c>
      <c r="M173" s="7">
        <f t="shared" si="23"/>
        <v>9.0909090909090905E-3</v>
      </c>
      <c r="N173" s="7">
        <f>MAX(0,I173+'Statewide Votes'!$H$9/100)</f>
        <v>0.47355522405991468</v>
      </c>
      <c r="O173" s="7">
        <f>MAX(0,J173+'Statewide Votes'!$I$9/100)</f>
        <v>0.14376314285346242</v>
      </c>
      <c r="P173" s="7">
        <f>MAX(0,K173+'Statewide Votes'!$J$9/100)</f>
        <v>0.34434795612269559</v>
      </c>
      <c r="Q173" s="7">
        <f>MAX(0,L173+'Statewide Votes'!$K$9/100)</f>
        <v>2.7580319665876485E-2</v>
      </c>
      <c r="R173" s="7">
        <f>MAX(0,M173+'Statewide Votes'!$L$9/100)</f>
        <v>1.075335729805087E-2</v>
      </c>
      <c r="S173" t="str">
        <f>IF(U173=0,"Tie",INDEX({"TVK","AIADMK+BJP+PMK+AMMK","DMK+INC+VCK","NTK","NOTA"},MATCH(MAX(N173:R173),N173:R173,0)))</f>
        <v>TVK</v>
      </c>
      <c r="T173" t="str">
        <f>INDEX({"TVK","AIADMK+BJP+PMK+AMMK","DMK+INC+VCK","NTK","NOTA"},MATCH(LARGE(N173:R173,2),N173:R173,0))</f>
        <v>DMK+INC+VCK</v>
      </c>
      <c r="U173">
        <f t="shared" si="24"/>
        <v>12.9</v>
      </c>
      <c r="V173" t="str">
        <f t="shared" si="25"/>
        <v>Strong</v>
      </c>
      <c r="W173" t="str">
        <f>IF(LARGE(I173:M173,1)=LARGE(I173:M173,2),"Tie",INDEX({"TVK","AIADMK+BJP+PMK+AMMK","DMK+INC+VCK","NTK","NOTA"},MATCH(MAX(I173:M173),I173:M173,0)))</f>
        <v>TVK</v>
      </c>
      <c r="X173" s="7">
        <f t="shared" si="26"/>
        <v>0.47355522405991468</v>
      </c>
      <c r="Y173" t="str">
        <f>IF(ISNUMBER(MATCH(A173,{"Maduravoyal","Ambattur","Madavaram","Thiruvottiyur","Sholinganallur","Alandur"},0)),"Chennai",B173)</f>
        <v>Thiruvallur</v>
      </c>
    </row>
    <row r="174" spans="1:25" x14ac:dyDescent="0.2">
      <c r="A174" s="3" t="s">
        <v>243</v>
      </c>
      <c r="B174" t="s">
        <v>236</v>
      </c>
      <c r="C174" s="11">
        <v>18</v>
      </c>
      <c r="D174" s="11">
        <v>11</v>
      </c>
      <c r="E174" s="11">
        <v>16</v>
      </c>
      <c r="F174" s="11">
        <v>5</v>
      </c>
      <c r="G174" s="11">
        <v>0</v>
      </c>
      <c r="H174">
        <f t="shared" si="18"/>
        <v>50</v>
      </c>
      <c r="I174" s="7">
        <f t="shared" si="19"/>
        <v>0.36</v>
      </c>
      <c r="J174" s="7">
        <f t="shared" si="20"/>
        <v>0.22</v>
      </c>
      <c r="K174" s="7">
        <f t="shared" si="21"/>
        <v>0.32</v>
      </c>
      <c r="L174" s="7">
        <f t="shared" si="22"/>
        <v>0.1</v>
      </c>
      <c r="M174" s="7">
        <f t="shared" si="23"/>
        <v>0</v>
      </c>
      <c r="N174" s="7">
        <f>MAX(0,I174+'Statewide Votes'!$H$9/100)</f>
        <v>0.31537340587809648</v>
      </c>
      <c r="O174" s="7">
        <f>MAX(0,J174+'Statewide Votes'!$I$9/100)</f>
        <v>0.22739950648982607</v>
      </c>
      <c r="P174" s="7">
        <f>MAX(0,K174+'Statewide Votes'!$J$9/100)</f>
        <v>0.3643479561226956</v>
      </c>
      <c r="Q174" s="7">
        <f>MAX(0,L174+'Statewide Votes'!$K$9/100)</f>
        <v>9.1216683302240129E-2</v>
      </c>
      <c r="R174" s="7">
        <f>MAX(0,M174+'Statewide Votes'!$L$9/100)</f>
        <v>1.662448207141779E-3</v>
      </c>
      <c r="S174" t="str">
        <f>IF(U174=0,"Tie",INDEX({"TVK","AIADMK+BJP+PMK+AMMK","DMK+INC+VCK","NTK","NOTA"},MATCH(MAX(N174:R174),N174:R174,0)))</f>
        <v>DMK+INC+VCK</v>
      </c>
      <c r="T174" t="str">
        <f>INDEX({"TVK","AIADMK+BJP+PMK+AMMK","DMK+INC+VCK","NTK","NOTA"},MATCH(LARGE(N174:R174,2),N174:R174,0))</f>
        <v>TVK</v>
      </c>
      <c r="U174">
        <f t="shared" si="24"/>
        <v>4.9000000000000004</v>
      </c>
      <c r="V174" t="str">
        <f t="shared" si="25"/>
        <v>Toss-up</v>
      </c>
      <c r="W174" t="str">
        <f>IF(LARGE(I174:M174,1)=LARGE(I174:M174,2),"Tie",INDEX({"TVK","AIADMK+BJP+PMK+AMMK","DMK+INC+VCK","NTK","NOTA"},MATCH(MAX(I174:M174),I174:M174,0)))</f>
        <v>TVK</v>
      </c>
      <c r="X174" s="7">
        <f t="shared" si="26"/>
        <v>0.3643479561226956</v>
      </c>
      <c r="Y174" t="str">
        <f>IF(ISNUMBER(MATCH(A174,{"Maduravoyal","Ambattur","Madavaram","Thiruvottiyur","Sholinganallur","Alandur"},0)),"Chennai",B174)</f>
        <v>Chennai</v>
      </c>
    </row>
    <row r="175" spans="1:25" x14ac:dyDescent="0.2">
      <c r="A175" s="3" t="s">
        <v>244</v>
      </c>
      <c r="B175" t="s">
        <v>236</v>
      </c>
      <c r="C175" s="11">
        <v>25</v>
      </c>
      <c r="D175" s="11">
        <v>16</v>
      </c>
      <c r="E175" s="11">
        <v>15</v>
      </c>
      <c r="F175" s="11">
        <v>2</v>
      </c>
      <c r="G175" s="11">
        <v>1</v>
      </c>
      <c r="H175">
        <f t="shared" si="18"/>
        <v>59</v>
      </c>
      <c r="I175" s="7">
        <f t="shared" si="19"/>
        <v>0.42372881355932202</v>
      </c>
      <c r="J175" s="7">
        <f t="shared" si="20"/>
        <v>0.2711864406779661</v>
      </c>
      <c r="K175" s="7">
        <f t="shared" si="21"/>
        <v>0.25423728813559321</v>
      </c>
      <c r="L175" s="7">
        <f t="shared" si="22"/>
        <v>3.3898305084745763E-2</v>
      </c>
      <c r="M175" s="7">
        <f t="shared" si="23"/>
        <v>1.6949152542372881E-2</v>
      </c>
      <c r="N175" s="7">
        <f>MAX(0,I175+'Statewide Votes'!$H$9/100)</f>
        <v>0.37910221943741851</v>
      </c>
      <c r="O175" s="7">
        <f>MAX(0,J175+'Statewide Votes'!$I$9/100)</f>
        <v>0.27858594716779217</v>
      </c>
      <c r="P175" s="7">
        <f>MAX(0,K175+'Statewide Votes'!$J$9/100)</f>
        <v>0.29858524425828881</v>
      </c>
      <c r="Q175" s="7">
        <f>MAX(0,L175+'Statewide Votes'!$K$9/100)</f>
        <v>2.5114988386985886E-2</v>
      </c>
      <c r="R175" s="7">
        <f>MAX(0,M175+'Statewide Votes'!$L$9/100)</f>
        <v>1.8611600749514661E-2</v>
      </c>
      <c r="S175" t="str">
        <f>IF(U175=0,"Tie",INDEX({"TVK","AIADMK+BJP+PMK+AMMK","DMK+INC+VCK","NTK","NOTA"},MATCH(MAX(N175:R175),N175:R175,0)))</f>
        <v>TVK</v>
      </c>
      <c r="T175" t="str">
        <f>INDEX({"TVK","AIADMK+BJP+PMK+AMMK","DMK+INC+VCK","NTK","NOTA"},MATCH(LARGE(N175:R175,2),N175:R175,0))</f>
        <v>DMK+INC+VCK</v>
      </c>
      <c r="U175">
        <f t="shared" si="24"/>
        <v>8.1</v>
      </c>
      <c r="V175" t="str">
        <f t="shared" si="25"/>
        <v>Lean</v>
      </c>
      <c r="W175" t="str">
        <f>IF(LARGE(I175:M175,1)=LARGE(I175:M175,2),"Tie",INDEX({"TVK","AIADMK+BJP+PMK+AMMK","DMK+INC+VCK","NTK","NOTA"},MATCH(MAX(I175:M175),I175:M175,0)))</f>
        <v>TVK</v>
      </c>
      <c r="X175" s="7">
        <f t="shared" si="26"/>
        <v>0.37910221943741851</v>
      </c>
      <c r="Y175" t="str">
        <f>IF(ISNUMBER(MATCH(A175,{"Maduravoyal","Ambattur","Madavaram","Thiruvottiyur","Sholinganallur","Alandur"},0)),"Chennai",B175)</f>
        <v>Thiruvallur</v>
      </c>
    </row>
    <row r="176" spans="1:25" x14ac:dyDescent="0.2">
      <c r="A176" s="3" t="s">
        <v>245</v>
      </c>
      <c r="B176" t="s">
        <v>246</v>
      </c>
      <c r="C176" s="11">
        <v>17</v>
      </c>
      <c r="D176" s="11">
        <v>14</v>
      </c>
      <c r="E176" s="11">
        <v>10</v>
      </c>
      <c r="F176" s="11">
        <v>8</v>
      </c>
      <c r="G176" s="11">
        <v>0</v>
      </c>
      <c r="H176">
        <f t="shared" si="18"/>
        <v>49</v>
      </c>
      <c r="I176" s="7">
        <f t="shared" si="19"/>
        <v>0.34693877551020408</v>
      </c>
      <c r="J176" s="7">
        <f t="shared" si="20"/>
        <v>0.2857142857142857</v>
      </c>
      <c r="K176" s="7">
        <f t="shared" si="21"/>
        <v>0.20408163265306123</v>
      </c>
      <c r="L176" s="7">
        <f t="shared" si="22"/>
        <v>0.16326530612244897</v>
      </c>
      <c r="M176" s="7">
        <f t="shared" si="23"/>
        <v>0</v>
      </c>
      <c r="N176" s="7">
        <f>MAX(0,I176+'Statewide Votes'!$H$9/100)</f>
        <v>0.30231218138830057</v>
      </c>
      <c r="O176" s="7">
        <f>MAX(0,J176+'Statewide Votes'!$I$9/100)</f>
        <v>0.29311379220411177</v>
      </c>
      <c r="P176" s="7">
        <f>MAX(0,K176+'Statewide Votes'!$J$9/100)</f>
        <v>0.24842958877575683</v>
      </c>
      <c r="Q176" s="7">
        <f>MAX(0,L176+'Statewide Votes'!$K$9/100)</f>
        <v>0.1544819894246891</v>
      </c>
      <c r="R176" s="7">
        <f>MAX(0,M176+'Statewide Votes'!$L$9/100)</f>
        <v>1.662448207141779E-3</v>
      </c>
      <c r="S176" t="str">
        <f>IF(U176=0,"Tie",INDEX({"TVK","AIADMK+BJP+PMK+AMMK","DMK+INC+VCK","NTK","NOTA"},MATCH(MAX(N176:R176),N176:R176,0)))</f>
        <v>TVK</v>
      </c>
      <c r="T176" t="str">
        <f>INDEX({"TVK","AIADMK+BJP+PMK+AMMK","DMK+INC+VCK","NTK","NOTA"},MATCH(LARGE(N176:R176,2),N176:R176,0))</f>
        <v>AIADMK+BJP+PMK+AMMK</v>
      </c>
      <c r="U176">
        <f t="shared" si="24"/>
        <v>0.9</v>
      </c>
      <c r="V176" t="str">
        <f t="shared" si="25"/>
        <v>Toss-up</v>
      </c>
      <c r="W176" t="str">
        <f>IF(LARGE(I176:M176,1)=LARGE(I176:M176,2),"Tie",INDEX({"TVK","AIADMK+BJP+PMK+AMMK","DMK+INC+VCK","NTK","NOTA"},MATCH(MAX(I176:M176),I176:M176,0)))</f>
        <v>TVK</v>
      </c>
      <c r="X176" s="7">
        <f t="shared" si="26"/>
        <v>0.30231218138830057</v>
      </c>
      <c r="Y176" t="str">
        <f>IF(ISNUMBER(MATCH(A176,{"Maduravoyal","Ambattur","Madavaram","Thiruvottiyur","Sholinganallur","Alandur"},0)),"Chennai",B176)</f>
        <v>Thoothukudi</v>
      </c>
    </row>
    <row r="177" spans="1:25" x14ac:dyDescent="0.2">
      <c r="A177" s="3" t="s">
        <v>247</v>
      </c>
      <c r="B177" t="s">
        <v>246</v>
      </c>
      <c r="C177" s="11">
        <v>18</v>
      </c>
      <c r="D177" s="11">
        <v>17</v>
      </c>
      <c r="E177" s="11">
        <v>17</v>
      </c>
      <c r="F177" s="11">
        <v>2</v>
      </c>
      <c r="G177" s="11">
        <v>0</v>
      </c>
      <c r="H177">
        <f t="shared" si="18"/>
        <v>54</v>
      </c>
      <c r="I177" s="7">
        <f t="shared" si="19"/>
        <v>0.33333333333333331</v>
      </c>
      <c r="J177" s="7">
        <f t="shared" si="20"/>
        <v>0.31481481481481483</v>
      </c>
      <c r="K177" s="7">
        <f t="shared" si="21"/>
        <v>0.31481481481481483</v>
      </c>
      <c r="L177" s="7">
        <f t="shared" si="22"/>
        <v>3.7037037037037035E-2</v>
      </c>
      <c r="M177" s="7">
        <f t="shared" si="23"/>
        <v>0</v>
      </c>
      <c r="N177" s="7">
        <f>MAX(0,I177+'Statewide Votes'!$H$9/100)</f>
        <v>0.28870673921142981</v>
      </c>
      <c r="O177" s="7">
        <f>MAX(0,J177+'Statewide Votes'!$I$9/100)</f>
        <v>0.32221432130464089</v>
      </c>
      <c r="P177" s="7">
        <f>MAX(0,K177+'Statewide Votes'!$J$9/100)</f>
        <v>0.35916277093751042</v>
      </c>
      <c r="Q177" s="7">
        <f>MAX(0,L177+'Statewide Votes'!$K$9/100)</f>
        <v>2.8253720339277158E-2</v>
      </c>
      <c r="R177" s="7">
        <f>MAX(0,M177+'Statewide Votes'!$L$9/100)</f>
        <v>1.662448207141779E-3</v>
      </c>
      <c r="S177" t="str">
        <f>IF(U177=0,"Tie",INDEX({"TVK","AIADMK+BJP+PMK+AMMK","DMK+INC+VCK","NTK","NOTA"},MATCH(MAX(N177:R177),N177:R177,0)))</f>
        <v>DMK+INC+VCK</v>
      </c>
      <c r="T177" t="str">
        <f>INDEX({"TVK","AIADMK+BJP+PMK+AMMK","DMK+INC+VCK","NTK","NOTA"},MATCH(LARGE(N177:R177,2),N177:R177,0))</f>
        <v>AIADMK+BJP+PMK+AMMK</v>
      </c>
      <c r="U177">
        <f t="shared" si="24"/>
        <v>3.7</v>
      </c>
      <c r="V177" t="str">
        <f t="shared" si="25"/>
        <v>Toss-up</v>
      </c>
      <c r="W177" t="str">
        <f>IF(LARGE(I177:M177,1)=LARGE(I177:M177,2),"Tie",INDEX({"TVK","AIADMK+BJP+PMK+AMMK","DMK+INC+VCK","NTK","NOTA"},MATCH(MAX(I177:M177),I177:M177,0)))</f>
        <v>TVK</v>
      </c>
      <c r="X177" s="7">
        <f t="shared" si="26"/>
        <v>0.35916277093751042</v>
      </c>
      <c r="Y177" t="str">
        <f>IF(ISNUMBER(MATCH(A177,{"Maduravoyal","Ambattur","Madavaram","Thiruvottiyur","Sholinganallur","Alandur"},0)),"Chennai",B177)</f>
        <v>Thoothukudi</v>
      </c>
    </row>
    <row r="178" spans="1:25" x14ac:dyDescent="0.2">
      <c r="A178" s="3" t="s">
        <v>248</v>
      </c>
      <c r="B178" t="s">
        <v>246</v>
      </c>
      <c r="C178" s="11">
        <v>16</v>
      </c>
      <c r="D178" s="11">
        <v>11</v>
      </c>
      <c r="E178" s="11">
        <v>16</v>
      </c>
      <c r="F178" s="11">
        <v>6</v>
      </c>
      <c r="G178" s="11">
        <v>0</v>
      </c>
      <c r="H178">
        <f t="shared" si="18"/>
        <v>49</v>
      </c>
      <c r="I178" s="7">
        <f t="shared" si="19"/>
        <v>0.32653061224489793</v>
      </c>
      <c r="J178" s="7">
        <f t="shared" si="20"/>
        <v>0.22448979591836735</v>
      </c>
      <c r="K178" s="7">
        <f t="shared" si="21"/>
        <v>0.32653061224489793</v>
      </c>
      <c r="L178" s="7">
        <f t="shared" si="22"/>
        <v>0.12244897959183673</v>
      </c>
      <c r="M178" s="7">
        <f t="shared" si="23"/>
        <v>0</v>
      </c>
      <c r="N178" s="7">
        <f>MAX(0,I178+'Statewide Votes'!$H$9/100)</f>
        <v>0.28190401812299443</v>
      </c>
      <c r="O178" s="7">
        <f>MAX(0,J178+'Statewide Votes'!$I$9/100)</f>
        <v>0.23188930240819342</v>
      </c>
      <c r="P178" s="7">
        <f>MAX(0,K178+'Statewide Votes'!$J$9/100)</f>
        <v>0.37087856836759353</v>
      </c>
      <c r="Q178" s="7">
        <f>MAX(0,L178+'Statewide Votes'!$K$9/100)</f>
        <v>0.11366566289407685</v>
      </c>
      <c r="R178" s="7">
        <f>MAX(0,M178+'Statewide Votes'!$L$9/100)</f>
        <v>1.662448207141779E-3</v>
      </c>
      <c r="S178" t="str">
        <f>IF(U178=0,"Tie",INDEX({"TVK","AIADMK+BJP+PMK+AMMK","DMK+INC+VCK","NTK","NOTA"},MATCH(MAX(N178:R178),N178:R178,0)))</f>
        <v>DMK+INC+VCK</v>
      </c>
      <c r="T178" t="str">
        <f>INDEX({"TVK","AIADMK+BJP+PMK+AMMK","DMK+INC+VCK","NTK","NOTA"},MATCH(LARGE(N178:R178,2),N178:R178,0))</f>
        <v>TVK</v>
      </c>
      <c r="U178">
        <f t="shared" si="24"/>
        <v>8.9</v>
      </c>
      <c r="V178" t="str">
        <f t="shared" si="25"/>
        <v>Lean</v>
      </c>
      <c r="W178" t="str">
        <f>IF(LARGE(I178:M178,1)=LARGE(I178:M178,2),"Tie",INDEX({"TVK","AIADMK+BJP+PMK+AMMK","DMK+INC+VCK","NTK","NOTA"},MATCH(MAX(I178:M178),I178:M178,0)))</f>
        <v>Tie</v>
      </c>
      <c r="X178" s="7">
        <f t="shared" si="26"/>
        <v>0.37087856836759353</v>
      </c>
      <c r="Y178" t="str">
        <f>IF(ISNUMBER(MATCH(A178,{"Maduravoyal","Ambattur","Madavaram","Thiruvottiyur","Sholinganallur","Alandur"},0)),"Chennai",B178)</f>
        <v>Thoothukudi</v>
      </c>
    </row>
    <row r="179" spans="1:25" x14ac:dyDescent="0.2">
      <c r="A179" s="3" t="s">
        <v>249</v>
      </c>
      <c r="B179" t="s">
        <v>246</v>
      </c>
      <c r="C179" s="11">
        <v>45</v>
      </c>
      <c r="D179" s="11">
        <v>19</v>
      </c>
      <c r="E179" s="11">
        <v>22</v>
      </c>
      <c r="F179" s="11">
        <v>9</v>
      </c>
      <c r="G179" s="11">
        <v>0</v>
      </c>
      <c r="H179">
        <f t="shared" si="18"/>
        <v>95</v>
      </c>
      <c r="I179" s="7">
        <f t="shared" si="19"/>
        <v>0.47368421052631576</v>
      </c>
      <c r="J179" s="7">
        <f t="shared" si="20"/>
        <v>0.2</v>
      </c>
      <c r="K179" s="7">
        <f t="shared" si="21"/>
        <v>0.23157894736842105</v>
      </c>
      <c r="L179" s="7">
        <f t="shared" si="22"/>
        <v>9.4736842105263161E-2</v>
      </c>
      <c r="M179" s="7">
        <f t="shared" si="23"/>
        <v>0</v>
      </c>
      <c r="N179" s="7">
        <f>MAX(0,I179+'Statewide Votes'!$H$9/100)</f>
        <v>0.42905761640441226</v>
      </c>
      <c r="O179" s="7">
        <f>MAX(0,J179+'Statewide Votes'!$I$9/100)</f>
        <v>0.20739950648982608</v>
      </c>
      <c r="P179" s="7">
        <f>MAX(0,K179+'Statewide Votes'!$J$9/100)</f>
        <v>0.27592690349111665</v>
      </c>
      <c r="Q179" s="7">
        <f>MAX(0,L179+'Statewide Votes'!$K$9/100)</f>
        <v>8.5953525407503284E-2</v>
      </c>
      <c r="R179" s="7">
        <f>MAX(0,M179+'Statewide Votes'!$L$9/100)</f>
        <v>1.662448207141779E-3</v>
      </c>
      <c r="S179" t="str">
        <f>IF(U179=0,"Tie",INDEX({"TVK","AIADMK+BJP+PMK+AMMK","DMK+INC+VCK","NTK","NOTA"},MATCH(MAX(N179:R179),N179:R179,0)))</f>
        <v>TVK</v>
      </c>
      <c r="T179" t="str">
        <f>INDEX({"TVK","AIADMK+BJP+PMK+AMMK","DMK+INC+VCK","NTK","NOTA"},MATCH(LARGE(N179:R179,2),N179:R179,0))</f>
        <v>DMK+INC+VCK</v>
      </c>
      <c r="U179">
        <f t="shared" si="24"/>
        <v>15.3</v>
      </c>
      <c r="V179" t="str">
        <f t="shared" si="25"/>
        <v>Strong</v>
      </c>
      <c r="W179" t="str">
        <f>IF(LARGE(I179:M179,1)=LARGE(I179:M179,2),"Tie",INDEX({"TVK","AIADMK+BJP+PMK+AMMK","DMK+INC+VCK","NTK","NOTA"},MATCH(MAX(I179:M179),I179:M179,0)))</f>
        <v>TVK</v>
      </c>
      <c r="X179" s="7">
        <f t="shared" si="26"/>
        <v>0.42905761640441226</v>
      </c>
      <c r="Y179" t="str">
        <f>IF(ISNUMBER(MATCH(A179,{"Maduravoyal","Ambattur","Madavaram","Thiruvottiyur","Sholinganallur","Alandur"},0)),"Chennai",B179)</f>
        <v>Thoothukudi</v>
      </c>
    </row>
    <row r="180" spans="1:25" x14ac:dyDescent="0.2">
      <c r="A180" s="3" t="s">
        <v>250</v>
      </c>
      <c r="B180" t="s">
        <v>246</v>
      </c>
      <c r="C180" s="11">
        <v>14</v>
      </c>
      <c r="D180" s="11">
        <v>4</v>
      </c>
      <c r="E180" s="11">
        <v>17</v>
      </c>
      <c r="F180" s="11">
        <v>3</v>
      </c>
      <c r="G180" s="11">
        <v>1</v>
      </c>
      <c r="H180">
        <f t="shared" si="18"/>
        <v>39</v>
      </c>
      <c r="I180" s="7">
        <f t="shared" si="19"/>
        <v>0.35897435897435898</v>
      </c>
      <c r="J180" s="7">
        <f t="shared" si="20"/>
        <v>0.10256410256410256</v>
      </c>
      <c r="K180" s="7">
        <f t="shared" si="21"/>
        <v>0.4358974358974359</v>
      </c>
      <c r="L180" s="7">
        <f t="shared" si="22"/>
        <v>7.6923076923076927E-2</v>
      </c>
      <c r="M180" s="7">
        <f t="shared" si="23"/>
        <v>2.564102564102564E-2</v>
      </c>
      <c r="N180" s="7">
        <f>MAX(0,I180+'Statewide Votes'!$H$9/100)</f>
        <v>0.31434776485245547</v>
      </c>
      <c r="O180" s="7">
        <f>MAX(0,J180+'Statewide Votes'!$I$9/100)</f>
        <v>0.10996360905392863</v>
      </c>
      <c r="P180" s="7">
        <f>MAX(0,K180+'Statewide Votes'!$J$9/100)</f>
        <v>0.4802453920201315</v>
      </c>
      <c r="Q180" s="7">
        <f>MAX(0,L180+'Statewide Votes'!$K$9/100)</f>
        <v>6.813976022531705E-2</v>
      </c>
      <c r="R180" s="7">
        <f>MAX(0,M180+'Statewide Votes'!$L$9/100)</f>
        <v>2.730347384816742E-2</v>
      </c>
      <c r="S180" t="str">
        <f>IF(U180=0,"Tie",INDEX({"TVK","AIADMK+BJP+PMK+AMMK","DMK+INC+VCK","NTK","NOTA"},MATCH(MAX(N180:R180),N180:R180,0)))</f>
        <v>DMK+INC+VCK</v>
      </c>
      <c r="T180" t="str">
        <f>INDEX({"TVK","AIADMK+BJP+PMK+AMMK","DMK+INC+VCK","NTK","NOTA"},MATCH(LARGE(N180:R180,2),N180:R180,0))</f>
        <v>TVK</v>
      </c>
      <c r="U180">
        <f t="shared" si="24"/>
        <v>16.600000000000001</v>
      </c>
      <c r="V180" t="str">
        <f t="shared" si="25"/>
        <v>Strong</v>
      </c>
      <c r="W180" t="str">
        <f>IF(LARGE(I180:M180,1)=LARGE(I180:M180,2),"Tie",INDEX({"TVK","AIADMK+BJP+PMK+AMMK","DMK+INC+VCK","NTK","NOTA"},MATCH(MAX(I180:M180),I180:M180,0)))</f>
        <v>DMK+INC+VCK</v>
      </c>
      <c r="X180" s="7">
        <f t="shared" si="26"/>
        <v>0.4802453920201315</v>
      </c>
      <c r="Y180" t="str">
        <f>IF(ISNUMBER(MATCH(A180,{"Maduravoyal","Ambattur","Madavaram","Thiruvottiyur","Sholinganallur","Alandur"},0)),"Chennai",B180)</f>
        <v>Thoothukudi</v>
      </c>
    </row>
    <row r="181" spans="1:25" x14ac:dyDescent="0.2">
      <c r="A181" s="3" t="s">
        <v>251</v>
      </c>
      <c r="B181" t="s">
        <v>246</v>
      </c>
      <c r="C181" s="11">
        <v>10</v>
      </c>
      <c r="D181" s="11">
        <v>9</v>
      </c>
      <c r="E181" s="11">
        <v>4</v>
      </c>
      <c r="F181" s="11">
        <v>5</v>
      </c>
      <c r="G181" s="11">
        <v>0</v>
      </c>
      <c r="H181">
        <f t="shared" si="18"/>
        <v>28</v>
      </c>
      <c r="I181" s="7">
        <f t="shared" si="19"/>
        <v>0.35714285714285715</v>
      </c>
      <c r="J181" s="7">
        <f t="shared" si="20"/>
        <v>0.32142857142857145</v>
      </c>
      <c r="K181" s="7">
        <f t="shared" si="21"/>
        <v>0.14285714285714285</v>
      </c>
      <c r="L181" s="7">
        <f t="shared" si="22"/>
        <v>0.17857142857142858</v>
      </c>
      <c r="M181" s="7">
        <f t="shared" si="23"/>
        <v>0</v>
      </c>
      <c r="N181" s="7">
        <f>MAX(0,I181+'Statewide Votes'!$H$9/100)</f>
        <v>0.31251626302095364</v>
      </c>
      <c r="O181" s="7">
        <f>MAX(0,J181+'Statewide Votes'!$I$9/100)</f>
        <v>0.32882807791839752</v>
      </c>
      <c r="P181" s="7">
        <f>MAX(0,K181+'Statewide Votes'!$J$9/100)</f>
        <v>0.18720509897983845</v>
      </c>
      <c r="Q181" s="7">
        <f>MAX(0,L181+'Statewide Votes'!$K$9/100)</f>
        <v>0.16978811187366871</v>
      </c>
      <c r="R181" s="7">
        <f>MAX(0,M181+'Statewide Votes'!$L$9/100)</f>
        <v>1.662448207141779E-3</v>
      </c>
      <c r="S181" t="str">
        <f>IF(U181=0,"Tie",INDEX({"TVK","AIADMK+BJP+PMK+AMMK","DMK+INC+VCK","NTK","NOTA"},MATCH(MAX(N181:R181),N181:R181,0)))</f>
        <v>AIADMK+BJP+PMK+AMMK</v>
      </c>
      <c r="T181" t="str">
        <f>INDEX({"TVK","AIADMK+BJP+PMK+AMMK","DMK+INC+VCK","NTK","NOTA"},MATCH(LARGE(N181:R181,2),N181:R181,0))</f>
        <v>TVK</v>
      </c>
      <c r="U181">
        <f t="shared" si="24"/>
        <v>1.6</v>
      </c>
      <c r="V181" t="str">
        <f t="shared" si="25"/>
        <v>Toss-up</v>
      </c>
      <c r="W181" t="str">
        <f>IF(LARGE(I181:M181,1)=LARGE(I181:M181,2),"Tie",INDEX({"TVK","AIADMK+BJP+PMK+AMMK","DMK+INC+VCK","NTK","NOTA"},MATCH(MAX(I181:M181),I181:M181,0)))</f>
        <v>TVK</v>
      </c>
      <c r="X181" s="7">
        <f t="shared" si="26"/>
        <v>0.32882807791839752</v>
      </c>
      <c r="Y181" t="str">
        <f>IF(ISNUMBER(MATCH(A181,{"Maduravoyal","Ambattur","Madavaram","Thiruvottiyur","Sholinganallur","Alandur"},0)),"Chennai",B181)</f>
        <v>Thoothukudi</v>
      </c>
    </row>
    <row r="182" spans="1:25" x14ac:dyDescent="0.2">
      <c r="A182" s="3" t="s">
        <v>252</v>
      </c>
      <c r="B182" t="s">
        <v>253</v>
      </c>
      <c r="C182" s="11">
        <v>14</v>
      </c>
      <c r="D182" s="11">
        <v>6</v>
      </c>
      <c r="E182" s="11">
        <v>3</v>
      </c>
      <c r="F182" s="11">
        <v>4</v>
      </c>
      <c r="G182" s="11">
        <v>0</v>
      </c>
      <c r="H182">
        <f t="shared" si="18"/>
        <v>27</v>
      </c>
      <c r="I182" s="7">
        <f t="shared" si="19"/>
        <v>0.51851851851851849</v>
      </c>
      <c r="J182" s="7">
        <f t="shared" si="20"/>
        <v>0.22222222222222221</v>
      </c>
      <c r="K182" s="7">
        <f t="shared" si="21"/>
        <v>0.1111111111111111</v>
      </c>
      <c r="L182" s="7">
        <f t="shared" si="22"/>
        <v>0.14814814814814814</v>
      </c>
      <c r="M182" s="7">
        <f t="shared" si="23"/>
        <v>0</v>
      </c>
      <c r="N182" s="7">
        <f>MAX(0,I182+'Statewide Votes'!$H$9/100)</f>
        <v>0.47389192439661498</v>
      </c>
      <c r="O182" s="7">
        <f>MAX(0,J182+'Statewide Votes'!$I$9/100)</f>
        <v>0.22962172871204828</v>
      </c>
      <c r="P182" s="7">
        <f>MAX(0,K182+'Statewide Votes'!$J$9/100)</f>
        <v>0.1554590672338067</v>
      </c>
      <c r="Q182" s="7">
        <f>MAX(0,L182+'Statewide Votes'!$K$9/100)</f>
        <v>0.13936483145038825</v>
      </c>
      <c r="R182" s="7">
        <f>MAX(0,M182+'Statewide Votes'!$L$9/100)</f>
        <v>1.662448207141779E-3</v>
      </c>
      <c r="S182" t="str">
        <f>IF(U182=0,"Tie",INDEX({"TVK","AIADMK+BJP+PMK+AMMK","DMK+INC+VCK","NTK","NOTA"},MATCH(MAX(N182:R182),N182:R182,0)))</f>
        <v>TVK</v>
      </c>
      <c r="T182" t="str">
        <f>INDEX({"TVK","AIADMK+BJP+PMK+AMMK","DMK+INC+VCK","NTK","NOTA"},MATCH(LARGE(N182:R182,2),N182:R182,0))</f>
        <v>AIADMK+BJP+PMK+AMMK</v>
      </c>
      <c r="U182">
        <f t="shared" si="24"/>
        <v>24.4</v>
      </c>
      <c r="V182" t="str">
        <f t="shared" si="25"/>
        <v>Lean</v>
      </c>
      <c r="W182" t="str">
        <f>IF(LARGE(I182:M182,1)=LARGE(I182:M182,2),"Tie",INDEX({"TVK","AIADMK+BJP+PMK+AMMK","DMK+INC+VCK","NTK","NOTA"},MATCH(MAX(I182:M182),I182:M182,0)))</f>
        <v>TVK</v>
      </c>
      <c r="X182" s="7">
        <f t="shared" si="26"/>
        <v>0.47389192439661498</v>
      </c>
      <c r="Y182" t="str">
        <f>IF(ISNUMBER(MATCH(A182,{"Maduravoyal","Ambattur","Madavaram","Thiruvottiyur","Sholinganallur","Alandur"},0)),"Chennai",B182)</f>
        <v>Tiruchirappalli</v>
      </c>
    </row>
    <row r="183" spans="1:25" x14ac:dyDescent="0.2">
      <c r="A183" s="3" t="s">
        <v>254</v>
      </c>
      <c r="B183" t="s">
        <v>253</v>
      </c>
      <c r="C183" s="11">
        <v>16</v>
      </c>
      <c r="D183" s="11">
        <v>4</v>
      </c>
      <c r="E183" s="11">
        <v>13</v>
      </c>
      <c r="F183" s="11">
        <v>6</v>
      </c>
      <c r="G183" s="11">
        <v>0</v>
      </c>
      <c r="H183">
        <f t="shared" si="18"/>
        <v>39</v>
      </c>
      <c r="I183" s="7">
        <f t="shared" si="19"/>
        <v>0.41025641025641024</v>
      </c>
      <c r="J183" s="7">
        <f t="shared" si="20"/>
        <v>0.10256410256410256</v>
      </c>
      <c r="K183" s="7">
        <f t="shared" si="21"/>
        <v>0.33333333333333331</v>
      </c>
      <c r="L183" s="7">
        <f t="shared" si="22"/>
        <v>0.15384615384615385</v>
      </c>
      <c r="M183" s="7">
        <f t="shared" si="23"/>
        <v>0</v>
      </c>
      <c r="N183" s="7">
        <f>MAX(0,I183+'Statewide Votes'!$H$9/100)</f>
        <v>0.36562981613450674</v>
      </c>
      <c r="O183" s="7">
        <f>MAX(0,J183+'Statewide Votes'!$I$9/100)</f>
        <v>0.10996360905392863</v>
      </c>
      <c r="P183" s="7">
        <f>MAX(0,K183+'Statewide Votes'!$J$9/100)</f>
        <v>0.37768128945602891</v>
      </c>
      <c r="Q183" s="7">
        <f>MAX(0,L183+'Statewide Votes'!$K$9/100)</f>
        <v>0.14506283714839396</v>
      </c>
      <c r="R183" s="7">
        <f>MAX(0,M183+'Statewide Votes'!$L$9/100)</f>
        <v>1.662448207141779E-3</v>
      </c>
      <c r="S183" t="str">
        <f>IF(U183=0,"Tie",INDEX({"TVK","AIADMK+BJP+PMK+AMMK","DMK+INC+VCK","NTK","NOTA"},MATCH(MAX(N183:R183),N183:R183,0)))</f>
        <v>DMK+INC+VCK</v>
      </c>
      <c r="T183" t="str">
        <f>INDEX({"TVK","AIADMK+BJP+PMK+AMMK","DMK+INC+VCK","NTK","NOTA"},MATCH(LARGE(N183:R183,2),N183:R183,0))</f>
        <v>TVK</v>
      </c>
      <c r="U183">
        <f t="shared" si="24"/>
        <v>1.2</v>
      </c>
      <c r="V183" t="str">
        <f t="shared" si="25"/>
        <v>Toss-up</v>
      </c>
      <c r="W183" t="str">
        <f>IF(LARGE(I183:M183,1)=LARGE(I183:M183,2),"Tie",INDEX({"TVK","AIADMK+BJP+PMK+AMMK","DMK+INC+VCK","NTK","NOTA"},MATCH(MAX(I183:M183),I183:M183,0)))</f>
        <v>TVK</v>
      </c>
      <c r="X183" s="7">
        <f t="shared" si="26"/>
        <v>0.37768128945602891</v>
      </c>
      <c r="Y183" t="str">
        <f>IF(ISNUMBER(MATCH(A183,{"Maduravoyal","Ambattur","Madavaram","Thiruvottiyur","Sholinganallur","Alandur"},0)),"Chennai",B183)</f>
        <v>Tiruchirappalli</v>
      </c>
    </row>
    <row r="184" spans="1:25" x14ac:dyDescent="0.2">
      <c r="A184" s="3" t="s">
        <v>255</v>
      </c>
      <c r="B184" t="s">
        <v>253</v>
      </c>
      <c r="C184" s="11">
        <v>11</v>
      </c>
      <c r="D184" s="11">
        <v>9</v>
      </c>
      <c r="E184" s="11">
        <v>11</v>
      </c>
      <c r="F184" s="11">
        <v>3</v>
      </c>
      <c r="G184" s="11">
        <v>2</v>
      </c>
      <c r="H184">
        <f t="shared" si="18"/>
        <v>36</v>
      </c>
      <c r="I184" s="7">
        <f t="shared" si="19"/>
        <v>0.30555555555555558</v>
      </c>
      <c r="J184" s="7">
        <f t="shared" si="20"/>
        <v>0.25</v>
      </c>
      <c r="K184" s="7">
        <f t="shared" si="21"/>
        <v>0.30555555555555558</v>
      </c>
      <c r="L184" s="7">
        <f t="shared" si="22"/>
        <v>8.3333333333333329E-2</v>
      </c>
      <c r="M184" s="7">
        <f t="shared" si="23"/>
        <v>5.5555555555555552E-2</v>
      </c>
      <c r="N184" s="7">
        <f>MAX(0,I184+'Statewide Votes'!$H$9/100)</f>
        <v>0.26092896143365207</v>
      </c>
      <c r="O184" s="7">
        <f>MAX(0,J184+'Statewide Votes'!$I$9/100)</f>
        <v>0.25739950648982607</v>
      </c>
      <c r="P184" s="7">
        <f>MAX(0,K184+'Statewide Votes'!$J$9/100)</f>
        <v>0.34990351167825118</v>
      </c>
      <c r="Q184" s="7">
        <f>MAX(0,L184+'Statewide Votes'!$K$9/100)</f>
        <v>7.4550016635573452E-2</v>
      </c>
      <c r="R184" s="7">
        <f>MAX(0,M184+'Statewide Votes'!$L$9/100)</f>
        <v>5.7218003762697332E-2</v>
      </c>
      <c r="S184" t="str">
        <f>IF(U184=0,"Tie",INDEX({"TVK","AIADMK+BJP+PMK+AMMK","DMK+INC+VCK","NTK","NOTA"},MATCH(MAX(N184:R184),N184:R184,0)))</f>
        <v>DMK+INC+VCK</v>
      </c>
      <c r="T184" t="str">
        <f>INDEX({"TVK","AIADMK+BJP+PMK+AMMK","DMK+INC+VCK","NTK","NOTA"},MATCH(LARGE(N184:R184,2),N184:R184,0))</f>
        <v>TVK</v>
      </c>
      <c r="U184">
        <f t="shared" si="24"/>
        <v>8.9</v>
      </c>
      <c r="V184" t="str">
        <f t="shared" si="25"/>
        <v>Lean</v>
      </c>
      <c r="W184" t="str">
        <f>IF(LARGE(I184:M184,1)=LARGE(I184:M184,2),"Tie",INDEX({"TVK","AIADMK+BJP+PMK+AMMK","DMK+INC+VCK","NTK","NOTA"},MATCH(MAX(I184:M184),I184:M184,0)))</f>
        <v>Tie</v>
      </c>
      <c r="X184" s="7">
        <f t="shared" si="26"/>
        <v>0.34990351167825118</v>
      </c>
      <c r="Y184" t="str">
        <f>IF(ISNUMBER(MATCH(A184,{"Maduravoyal","Ambattur","Madavaram","Thiruvottiyur","Sholinganallur","Alandur"},0)),"Chennai",B184)</f>
        <v>Tiruchirappalli</v>
      </c>
    </row>
    <row r="185" spans="1:25" x14ac:dyDescent="0.2">
      <c r="A185" s="3" t="s">
        <v>256</v>
      </c>
      <c r="B185" t="s">
        <v>253</v>
      </c>
      <c r="C185" s="11">
        <v>13</v>
      </c>
      <c r="D185" s="11">
        <v>10</v>
      </c>
      <c r="E185" s="11">
        <v>9</v>
      </c>
      <c r="F185" s="11">
        <v>5</v>
      </c>
      <c r="G185" s="11">
        <v>0</v>
      </c>
      <c r="H185">
        <f t="shared" si="18"/>
        <v>37</v>
      </c>
      <c r="I185" s="7">
        <f t="shared" si="19"/>
        <v>0.35135135135135137</v>
      </c>
      <c r="J185" s="7">
        <f t="shared" si="20"/>
        <v>0.27027027027027029</v>
      </c>
      <c r="K185" s="7">
        <f t="shared" si="21"/>
        <v>0.24324324324324326</v>
      </c>
      <c r="L185" s="7">
        <f t="shared" si="22"/>
        <v>0.13513513513513514</v>
      </c>
      <c r="M185" s="7">
        <f t="shared" si="23"/>
        <v>0</v>
      </c>
      <c r="N185" s="7">
        <f>MAX(0,I185+'Statewide Votes'!$H$9/100)</f>
        <v>0.30672475722944786</v>
      </c>
      <c r="O185" s="7">
        <f>MAX(0,J185+'Statewide Votes'!$I$9/100)</f>
        <v>0.27766977676009635</v>
      </c>
      <c r="P185" s="7">
        <f>MAX(0,K185+'Statewide Votes'!$J$9/100)</f>
        <v>0.28759119936593885</v>
      </c>
      <c r="Q185" s="7">
        <f>MAX(0,L185+'Statewide Votes'!$K$9/100)</f>
        <v>0.12635181843737525</v>
      </c>
      <c r="R185" s="7">
        <f>MAX(0,M185+'Statewide Votes'!$L$9/100)</f>
        <v>1.662448207141779E-3</v>
      </c>
      <c r="S185" t="str">
        <f>IF(U185=0,"Tie",INDEX({"TVK","AIADMK+BJP+PMK+AMMK","DMK+INC+VCK","NTK","NOTA"},MATCH(MAX(N185:R185),N185:R185,0)))</f>
        <v>TVK</v>
      </c>
      <c r="T185" t="str">
        <f>INDEX({"TVK","AIADMK+BJP+PMK+AMMK","DMK+INC+VCK","NTK","NOTA"},MATCH(LARGE(N185:R185,2),N185:R185,0))</f>
        <v>DMK+INC+VCK</v>
      </c>
      <c r="U185">
        <f t="shared" si="24"/>
        <v>1.9</v>
      </c>
      <c r="V185" t="str">
        <f t="shared" si="25"/>
        <v>Toss-up</v>
      </c>
      <c r="W185" t="str">
        <f>IF(LARGE(I185:M185,1)=LARGE(I185:M185,2),"Tie",INDEX({"TVK","AIADMK+BJP+PMK+AMMK","DMK+INC+VCK","NTK","NOTA"},MATCH(MAX(I185:M185),I185:M185,0)))</f>
        <v>TVK</v>
      </c>
      <c r="X185" s="7">
        <f t="shared" si="26"/>
        <v>0.30672475722944786</v>
      </c>
      <c r="Y185" t="str">
        <f>IF(ISNUMBER(MATCH(A185,{"Maduravoyal","Ambattur","Madavaram","Thiruvottiyur","Sholinganallur","Alandur"},0)),"Chennai",B185)</f>
        <v>Tiruchirappalli</v>
      </c>
    </row>
    <row r="186" spans="1:25" x14ac:dyDescent="0.2">
      <c r="A186" s="3" t="s">
        <v>257</v>
      </c>
      <c r="B186" t="s">
        <v>253</v>
      </c>
      <c r="C186" s="11">
        <v>14</v>
      </c>
      <c r="D186" s="11">
        <v>41</v>
      </c>
      <c r="E186" s="11">
        <v>17</v>
      </c>
      <c r="F186" s="11">
        <v>3</v>
      </c>
      <c r="G186" s="11">
        <v>0</v>
      </c>
      <c r="H186">
        <f t="shared" si="18"/>
        <v>75</v>
      </c>
      <c r="I186" s="7">
        <f t="shared" si="19"/>
        <v>0.18666666666666668</v>
      </c>
      <c r="J186" s="7">
        <f t="shared" si="20"/>
        <v>0.54666666666666663</v>
      </c>
      <c r="K186" s="7">
        <f t="shared" si="21"/>
        <v>0.22666666666666666</v>
      </c>
      <c r="L186" s="7">
        <f t="shared" si="22"/>
        <v>0.04</v>
      </c>
      <c r="M186" s="7">
        <f t="shared" si="23"/>
        <v>0</v>
      </c>
      <c r="N186" s="7">
        <f>MAX(0,I186+'Statewide Votes'!$H$9/100)</f>
        <v>0.14204007254476317</v>
      </c>
      <c r="O186" s="7">
        <f>MAX(0,J186+'Statewide Votes'!$I$9/100)</f>
        <v>0.55406617315649265</v>
      </c>
      <c r="P186" s="7">
        <f>MAX(0,K186+'Statewide Votes'!$J$9/100)</f>
        <v>0.27101462278936228</v>
      </c>
      <c r="Q186" s="7">
        <f>MAX(0,L186+'Statewide Votes'!$K$9/100)</f>
        <v>3.1216683302240124E-2</v>
      </c>
      <c r="R186" s="7">
        <f>MAX(0,M186+'Statewide Votes'!$L$9/100)</f>
        <v>1.662448207141779E-3</v>
      </c>
      <c r="S186" t="str">
        <f>IF(U186=0,"Tie",INDEX({"TVK","AIADMK+BJP+PMK+AMMK","DMK+INC+VCK","NTK","NOTA"},MATCH(MAX(N186:R186),N186:R186,0)))</f>
        <v>AIADMK+BJP+PMK+AMMK</v>
      </c>
      <c r="T186" t="str">
        <f>INDEX({"TVK","AIADMK+BJP+PMK+AMMK","DMK+INC+VCK","NTK","NOTA"},MATCH(LARGE(N186:R186,2),N186:R186,0))</f>
        <v>DMK+INC+VCK</v>
      </c>
      <c r="U186">
        <f t="shared" si="24"/>
        <v>28.3</v>
      </c>
      <c r="V186" t="str">
        <f t="shared" si="25"/>
        <v>Strong</v>
      </c>
      <c r="W186" t="str">
        <f>IF(LARGE(I186:M186,1)=LARGE(I186:M186,2),"Tie",INDEX({"TVK","AIADMK+BJP+PMK+AMMK","DMK+INC+VCK","NTK","NOTA"},MATCH(MAX(I186:M186),I186:M186,0)))</f>
        <v>AIADMK+BJP+PMK+AMMK</v>
      </c>
      <c r="X186" s="7">
        <f t="shared" si="26"/>
        <v>0.55406617315649265</v>
      </c>
      <c r="Y186" t="str">
        <f>IF(ISNUMBER(MATCH(A186,{"Maduravoyal","Ambattur","Madavaram","Thiruvottiyur","Sholinganallur","Alandur"},0)),"Chennai",B186)</f>
        <v>Tiruchirappalli</v>
      </c>
    </row>
    <row r="187" spans="1:25" x14ac:dyDescent="0.2">
      <c r="A187" s="3" t="s">
        <v>258</v>
      </c>
      <c r="B187" t="s">
        <v>253</v>
      </c>
      <c r="C187" s="11">
        <v>24</v>
      </c>
      <c r="D187" s="11">
        <v>15</v>
      </c>
      <c r="E187" s="11">
        <v>20</v>
      </c>
      <c r="F187" s="11">
        <v>4</v>
      </c>
      <c r="G187" s="11">
        <v>0</v>
      </c>
      <c r="H187">
        <f t="shared" si="18"/>
        <v>63</v>
      </c>
      <c r="I187" s="7">
        <f t="shared" si="19"/>
        <v>0.38095238095238093</v>
      </c>
      <c r="J187" s="7">
        <f t="shared" si="20"/>
        <v>0.23809523809523808</v>
      </c>
      <c r="K187" s="7">
        <f t="shared" si="21"/>
        <v>0.31746031746031744</v>
      </c>
      <c r="L187" s="7">
        <f t="shared" si="22"/>
        <v>6.3492063492063489E-2</v>
      </c>
      <c r="M187" s="7">
        <f t="shared" si="23"/>
        <v>0</v>
      </c>
      <c r="N187" s="7">
        <f>MAX(0,I187+'Statewide Votes'!$H$9/100)</f>
        <v>0.33632578683047742</v>
      </c>
      <c r="O187" s="7">
        <f>MAX(0,J187+'Statewide Votes'!$I$9/100)</f>
        <v>0.24549474458506415</v>
      </c>
      <c r="P187" s="7">
        <f>MAX(0,K187+'Statewide Votes'!$J$9/100)</f>
        <v>0.36180827358301304</v>
      </c>
      <c r="Q187" s="7">
        <f>MAX(0,L187+'Statewide Votes'!$K$9/100)</f>
        <v>5.4708746794303612E-2</v>
      </c>
      <c r="R187" s="7">
        <f>MAX(0,M187+'Statewide Votes'!$L$9/100)</f>
        <v>1.662448207141779E-3</v>
      </c>
      <c r="S187" t="str">
        <f>IF(U187=0,"Tie",INDEX({"TVK","AIADMK+BJP+PMK+AMMK","DMK+INC+VCK","NTK","NOTA"},MATCH(MAX(N187:R187),N187:R187,0)))</f>
        <v>DMK+INC+VCK</v>
      </c>
      <c r="T187" t="str">
        <f>INDEX({"TVK","AIADMK+BJP+PMK+AMMK","DMK+INC+VCK","NTK","NOTA"},MATCH(LARGE(N187:R187,2),N187:R187,0))</f>
        <v>TVK</v>
      </c>
      <c r="U187">
        <f t="shared" si="24"/>
        <v>2.5</v>
      </c>
      <c r="V187" t="str">
        <f t="shared" si="25"/>
        <v>Toss-up</v>
      </c>
      <c r="W187" t="str">
        <f>IF(LARGE(I187:M187,1)=LARGE(I187:M187,2),"Tie",INDEX({"TVK","AIADMK+BJP+PMK+AMMK","DMK+INC+VCK","NTK","NOTA"},MATCH(MAX(I187:M187),I187:M187,0)))</f>
        <v>TVK</v>
      </c>
      <c r="X187" s="7">
        <f t="shared" si="26"/>
        <v>0.36180827358301304</v>
      </c>
      <c r="Y187" t="str">
        <f>IF(ISNUMBER(MATCH(A187,{"Maduravoyal","Ambattur","Madavaram","Thiruvottiyur","Sholinganallur","Alandur"},0)),"Chennai",B187)</f>
        <v>Tiruchirappalli</v>
      </c>
    </row>
    <row r="188" spans="1:25" x14ac:dyDescent="0.2">
      <c r="A188" s="3" t="s">
        <v>259</v>
      </c>
      <c r="B188" t="s">
        <v>253</v>
      </c>
      <c r="C188" s="11">
        <v>15</v>
      </c>
      <c r="D188" s="11">
        <v>18</v>
      </c>
      <c r="E188" s="11">
        <v>5</v>
      </c>
      <c r="F188" s="11">
        <v>1</v>
      </c>
      <c r="G188" s="11">
        <v>1</v>
      </c>
      <c r="H188">
        <f t="shared" si="18"/>
        <v>40</v>
      </c>
      <c r="I188" s="7">
        <f t="shared" si="19"/>
        <v>0.375</v>
      </c>
      <c r="J188" s="7">
        <f t="shared" si="20"/>
        <v>0.45</v>
      </c>
      <c r="K188" s="7">
        <f t="shared" si="21"/>
        <v>0.125</v>
      </c>
      <c r="L188" s="7">
        <f t="shared" si="22"/>
        <v>2.5000000000000001E-2</v>
      </c>
      <c r="M188" s="7">
        <f t="shared" si="23"/>
        <v>2.5000000000000001E-2</v>
      </c>
      <c r="N188" s="7">
        <f>MAX(0,I188+'Statewide Votes'!$H$9/100)</f>
        <v>0.33037340587809649</v>
      </c>
      <c r="O188" s="7">
        <f>MAX(0,J188+'Statewide Votes'!$I$9/100)</f>
        <v>0.45739950648982608</v>
      </c>
      <c r="P188" s="7">
        <f>MAX(0,K188+'Statewide Votes'!$J$9/100)</f>
        <v>0.1693479561226956</v>
      </c>
      <c r="Q188" s="7">
        <f>MAX(0,L188+'Statewide Votes'!$K$9/100)</f>
        <v>1.6216683302240124E-2</v>
      </c>
      <c r="R188" s="7">
        <f>MAX(0,M188+'Statewide Votes'!$L$9/100)</f>
        <v>2.6662448207141781E-2</v>
      </c>
      <c r="S188" t="str">
        <f>IF(U188=0,"Tie",INDEX({"TVK","AIADMK+BJP+PMK+AMMK","DMK+INC+VCK","NTK","NOTA"},MATCH(MAX(N188:R188),N188:R188,0)))</f>
        <v>AIADMK+BJP+PMK+AMMK</v>
      </c>
      <c r="T188" t="str">
        <f>INDEX({"TVK","AIADMK+BJP+PMK+AMMK","DMK+INC+VCK","NTK","NOTA"},MATCH(LARGE(N188:R188,2),N188:R188,0))</f>
        <v>TVK</v>
      </c>
      <c r="U188">
        <f t="shared" si="24"/>
        <v>12.7</v>
      </c>
      <c r="V188" t="str">
        <f t="shared" si="25"/>
        <v>Strong</v>
      </c>
      <c r="W188" t="str">
        <f>IF(LARGE(I188:M188,1)=LARGE(I188:M188,2),"Tie",INDEX({"TVK","AIADMK+BJP+PMK+AMMK","DMK+INC+VCK","NTK","NOTA"},MATCH(MAX(I188:M188),I188:M188,0)))</f>
        <v>AIADMK+BJP+PMK+AMMK</v>
      </c>
      <c r="X188" s="7">
        <f t="shared" si="26"/>
        <v>0.45739950648982608</v>
      </c>
      <c r="Y188" t="str">
        <f>IF(ISNUMBER(MATCH(A188,{"Maduravoyal","Ambattur","Madavaram","Thiruvottiyur","Sholinganallur","Alandur"},0)),"Chennai",B188)</f>
        <v>Tiruchirappalli</v>
      </c>
    </row>
    <row r="189" spans="1:25" x14ac:dyDescent="0.2">
      <c r="A189" s="3" t="s">
        <v>260</v>
      </c>
      <c r="B189" t="s">
        <v>253</v>
      </c>
      <c r="C189" s="11">
        <v>42</v>
      </c>
      <c r="D189" s="11">
        <v>22</v>
      </c>
      <c r="E189" s="11">
        <v>24</v>
      </c>
      <c r="F189" s="11">
        <v>4</v>
      </c>
      <c r="G189" s="11">
        <v>0</v>
      </c>
      <c r="H189">
        <f t="shared" si="18"/>
        <v>92</v>
      </c>
      <c r="I189" s="7">
        <f t="shared" si="19"/>
        <v>0.45652173913043476</v>
      </c>
      <c r="J189" s="7">
        <f t="shared" si="20"/>
        <v>0.2391304347826087</v>
      </c>
      <c r="K189" s="7">
        <f t="shared" si="21"/>
        <v>0.2608695652173913</v>
      </c>
      <c r="L189" s="7">
        <f t="shared" si="22"/>
        <v>4.3478260869565216E-2</v>
      </c>
      <c r="M189" s="7">
        <f t="shared" si="23"/>
        <v>0</v>
      </c>
      <c r="N189" s="7">
        <f>MAX(0,I189+'Statewide Votes'!$H$9/100)</f>
        <v>0.41189514500853125</v>
      </c>
      <c r="O189" s="7">
        <f>MAX(0,J189+'Statewide Votes'!$I$9/100)</f>
        <v>0.24652994127243477</v>
      </c>
      <c r="P189" s="7">
        <f>MAX(0,K189+'Statewide Votes'!$J$9/100)</f>
        <v>0.30521752134008689</v>
      </c>
      <c r="Q189" s="7">
        <f>MAX(0,L189+'Statewide Votes'!$K$9/100)</f>
        <v>3.4694944171805339E-2</v>
      </c>
      <c r="R189" s="7">
        <f>MAX(0,M189+'Statewide Votes'!$L$9/100)</f>
        <v>1.662448207141779E-3</v>
      </c>
      <c r="S189" t="str">
        <f>IF(U189=0,"Tie",INDEX({"TVK","AIADMK+BJP+PMK+AMMK","DMK+INC+VCK","NTK","NOTA"},MATCH(MAX(N189:R189),N189:R189,0)))</f>
        <v>TVK</v>
      </c>
      <c r="T189" t="str">
        <f>INDEX({"TVK","AIADMK+BJP+PMK+AMMK","DMK+INC+VCK","NTK","NOTA"},MATCH(LARGE(N189:R189,2),N189:R189,0))</f>
        <v>DMK+INC+VCK</v>
      </c>
      <c r="U189">
        <f t="shared" si="24"/>
        <v>10.7</v>
      </c>
      <c r="V189" t="str">
        <f t="shared" si="25"/>
        <v>Strong</v>
      </c>
      <c r="W189" t="str">
        <f>IF(LARGE(I189:M189,1)=LARGE(I189:M189,2),"Tie",INDEX({"TVK","AIADMK+BJP+PMK+AMMK","DMK+INC+VCK","NTK","NOTA"},MATCH(MAX(I189:M189),I189:M189,0)))</f>
        <v>TVK</v>
      </c>
      <c r="X189" s="7">
        <f t="shared" si="26"/>
        <v>0.41189514500853125</v>
      </c>
      <c r="Y189" t="str">
        <f>IF(ISNUMBER(MATCH(A189,{"Maduravoyal","Ambattur","Madavaram","Thiruvottiyur","Sholinganallur","Alandur"},0)),"Chennai",B189)</f>
        <v>Tiruchirappalli</v>
      </c>
    </row>
    <row r="190" spans="1:25" x14ac:dyDescent="0.2">
      <c r="A190" s="3" t="s">
        <v>261</v>
      </c>
      <c r="B190" t="s">
        <v>253</v>
      </c>
      <c r="C190" s="11">
        <v>36</v>
      </c>
      <c r="D190" s="11">
        <v>14</v>
      </c>
      <c r="E190" s="11">
        <v>18</v>
      </c>
      <c r="F190" s="11">
        <v>8</v>
      </c>
      <c r="G190" s="11">
        <v>2</v>
      </c>
      <c r="H190">
        <f t="shared" si="18"/>
        <v>78</v>
      </c>
      <c r="I190" s="7">
        <f t="shared" si="19"/>
        <v>0.46153846153846156</v>
      </c>
      <c r="J190" s="7">
        <f t="shared" si="20"/>
        <v>0.17948717948717949</v>
      </c>
      <c r="K190" s="7">
        <f t="shared" si="21"/>
        <v>0.23076923076923078</v>
      </c>
      <c r="L190" s="7">
        <f t="shared" si="22"/>
        <v>0.10256410256410256</v>
      </c>
      <c r="M190" s="7">
        <f t="shared" si="23"/>
        <v>2.564102564102564E-2</v>
      </c>
      <c r="N190" s="7">
        <f>MAX(0,I190+'Statewide Votes'!$H$9/100)</f>
        <v>0.41691186741655806</v>
      </c>
      <c r="O190" s="7">
        <f>MAX(0,J190+'Statewide Votes'!$I$9/100)</f>
        <v>0.18688668597700556</v>
      </c>
      <c r="P190" s="7">
        <f>MAX(0,K190+'Statewide Votes'!$J$9/100)</f>
        <v>0.27511718689192638</v>
      </c>
      <c r="Q190" s="7">
        <f>MAX(0,L190+'Statewide Votes'!$K$9/100)</f>
        <v>9.3780785866342684E-2</v>
      </c>
      <c r="R190" s="7">
        <f>MAX(0,M190+'Statewide Votes'!$L$9/100)</f>
        <v>2.730347384816742E-2</v>
      </c>
      <c r="S190" t="str">
        <f>IF(U190=0,"Tie",INDEX({"TVK","AIADMK+BJP+PMK+AMMK","DMK+INC+VCK","NTK","NOTA"},MATCH(MAX(N190:R190),N190:R190,0)))</f>
        <v>TVK</v>
      </c>
      <c r="T190" t="str">
        <f>INDEX({"TVK","AIADMK+BJP+PMK+AMMK","DMK+INC+VCK","NTK","NOTA"},MATCH(LARGE(N190:R190,2),N190:R190,0))</f>
        <v>DMK+INC+VCK</v>
      </c>
      <c r="U190">
        <f t="shared" si="24"/>
        <v>14.2</v>
      </c>
      <c r="V190" t="str">
        <f t="shared" si="25"/>
        <v>Strong</v>
      </c>
      <c r="W190" t="str">
        <f>IF(LARGE(I190:M190,1)=LARGE(I190:M190,2),"Tie",INDEX({"TVK","AIADMK+BJP+PMK+AMMK","DMK+INC+VCK","NTK","NOTA"},MATCH(MAX(I190:M190),I190:M190,0)))</f>
        <v>TVK</v>
      </c>
      <c r="X190" s="7">
        <f t="shared" si="26"/>
        <v>0.41691186741655806</v>
      </c>
      <c r="Y190" t="str">
        <f>IF(ISNUMBER(MATCH(A190,{"Maduravoyal","Ambattur","Madavaram","Thiruvottiyur","Sholinganallur","Alandur"},0)),"Chennai",B190)</f>
        <v>Tiruchirappalli</v>
      </c>
    </row>
    <row r="191" spans="1:25" x14ac:dyDescent="0.2">
      <c r="A191" s="3" t="s">
        <v>262</v>
      </c>
      <c r="B191" t="s">
        <v>263</v>
      </c>
      <c r="C191" s="11">
        <v>17</v>
      </c>
      <c r="D191" s="11">
        <v>8</v>
      </c>
      <c r="E191" s="11">
        <v>22</v>
      </c>
      <c r="F191" s="11">
        <v>5</v>
      </c>
      <c r="G191" s="11">
        <v>1</v>
      </c>
      <c r="H191">
        <f t="shared" si="18"/>
        <v>53</v>
      </c>
      <c r="I191" s="7">
        <f t="shared" si="19"/>
        <v>0.32075471698113206</v>
      </c>
      <c r="J191" s="7">
        <f t="shared" si="20"/>
        <v>0.15094339622641509</v>
      </c>
      <c r="K191" s="7">
        <f t="shared" si="21"/>
        <v>0.41509433962264153</v>
      </c>
      <c r="L191" s="7">
        <f t="shared" si="22"/>
        <v>9.4339622641509441E-2</v>
      </c>
      <c r="M191" s="7">
        <f t="shared" si="23"/>
        <v>1.8867924528301886E-2</v>
      </c>
      <c r="N191" s="7">
        <f>MAX(0,I191+'Statewide Votes'!$H$9/100)</f>
        <v>0.27612812285922855</v>
      </c>
      <c r="O191" s="7">
        <f>MAX(0,J191+'Statewide Votes'!$I$9/100)</f>
        <v>0.15834290271624116</v>
      </c>
      <c r="P191" s="7">
        <f>MAX(0,K191+'Statewide Votes'!$J$9/100)</f>
        <v>0.45944229574533713</v>
      </c>
      <c r="Q191" s="7">
        <f>MAX(0,L191+'Statewide Votes'!$K$9/100)</f>
        <v>8.5556305943749564E-2</v>
      </c>
      <c r="R191" s="7">
        <f>MAX(0,M191+'Statewide Votes'!$L$9/100)</f>
        <v>2.0530372735443666E-2</v>
      </c>
      <c r="S191" t="str">
        <f>IF(U191=0,"Tie",INDEX({"TVK","AIADMK+BJP+PMK+AMMK","DMK+INC+VCK","NTK","NOTA"},MATCH(MAX(N191:R191),N191:R191,0)))</f>
        <v>DMK+INC+VCK</v>
      </c>
      <c r="T191" t="str">
        <f>INDEX({"TVK","AIADMK+BJP+PMK+AMMK","DMK+INC+VCK","NTK","NOTA"},MATCH(LARGE(N191:R191,2),N191:R191,0))</f>
        <v>TVK</v>
      </c>
      <c r="U191">
        <f t="shared" si="24"/>
        <v>18.3</v>
      </c>
      <c r="V191" t="str">
        <f t="shared" si="25"/>
        <v>Strong</v>
      </c>
      <c r="W191" t="str">
        <f>IF(LARGE(I191:M191,1)=LARGE(I191:M191,2),"Tie",INDEX({"TVK","AIADMK+BJP+PMK+AMMK","DMK+INC+VCK","NTK","NOTA"},MATCH(MAX(I191:M191),I191:M191,0)))</f>
        <v>DMK+INC+VCK</v>
      </c>
      <c r="X191" s="7">
        <f t="shared" si="26"/>
        <v>0.45944229574533713</v>
      </c>
      <c r="Y191" t="str">
        <f>IF(ISNUMBER(MATCH(A191,{"Maduravoyal","Ambattur","Madavaram","Thiruvottiyur","Sholinganallur","Alandur"},0)),"Chennai",B191)</f>
        <v>Tirunelveli</v>
      </c>
    </row>
    <row r="192" spans="1:25" x14ac:dyDescent="0.2">
      <c r="A192" s="3" t="s">
        <v>264</v>
      </c>
      <c r="B192" t="s">
        <v>263</v>
      </c>
      <c r="C192" s="11">
        <v>19</v>
      </c>
      <c r="D192" s="11">
        <v>5</v>
      </c>
      <c r="E192" s="11">
        <v>12</v>
      </c>
      <c r="F192" s="11">
        <v>7</v>
      </c>
      <c r="G192" s="11">
        <v>0</v>
      </c>
      <c r="H192">
        <f t="shared" si="18"/>
        <v>43</v>
      </c>
      <c r="I192" s="7">
        <f t="shared" si="19"/>
        <v>0.44186046511627908</v>
      </c>
      <c r="J192" s="7">
        <f t="shared" si="20"/>
        <v>0.11627906976744186</v>
      </c>
      <c r="K192" s="7">
        <f t="shared" si="21"/>
        <v>0.27906976744186046</v>
      </c>
      <c r="L192" s="7">
        <f t="shared" si="22"/>
        <v>0.16279069767441862</v>
      </c>
      <c r="M192" s="7">
        <f t="shared" si="23"/>
        <v>0</v>
      </c>
      <c r="N192" s="7">
        <f>MAX(0,I192+'Statewide Votes'!$H$9/100)</f>
        <v>0.39723387099437557</v>
      </c>
      <c r="O192" s="7">
        <f>MAX(0,J192+'Statewide Votes'!$I$9/100)</f>
        <v>0.12367857625726793</v>
      </c>
      <c r="P192" s="7">
        <f>MAX(0,K192+'Statewide Votes'!$J$9/100)</f>
        <v>0.32341772356455606</v>
      </c>
      <c r="Q192" s="7">
        <f>MAX(0,L192+'Statewide Votes'!$K$9/100)</f>
        <v>0.15400738097665873</v>
      </c>
      <c r="R192" s="7">
        <f>MAX(0,M192+'Statewide Votes'!$L$9/100)</f>
        <v>1.662448207141779E-3</v>
      </c>
      <c r="S192" t="str">
        <f>IF(U192=0,"Tie",INDEX({"TVK","AIADMK+BJP+PMK+AMMK","DMK+INC+VCK","NTK","NOTA"},MATCH(MAX(N192:R192),N192:R192,0)))</f>
        <v>TVK</v>
      </c>
      <c r="T192" t="str">
        <f>INDEX({"TVK","AIADMK+BJP+PMK+AMMK","DMK+INC+VCK","NTK","NOTA"},MATCH(LARGE(N192:R192,2),N192:R192,0))</f>
        <v>DMK+INC+VCK</v>
      </c>
      <c r="U192">
        <f t="shared" si="24"/>
        <v>7.4</v>
      </c>
      <c r="V192" t="str">
        <f t="shared" si="25"/>
        <v>Lean</v>
      </c>
      <c r="W192" t="str">
        <f>IF(LARGE(I192:M192,1)=LARGE(I192:M192,2),"Tie",INDEX({"TVK","AIADMK+BJP+PMK+AMMK","DMK+INC+VCK","NTK","NOTA"},MATCH(MAX(I192:M192),I192:M192,0)))</f>
        <v>TVK</v>
      </c>
      <c r="X192" s="7">
        <f t="shared" si="26"/>
        <v>0.39723387099437557</v>
      </c>
      <c r="Y192" t="str">
        <f>IF(ISNUMBER(MATCH(A192,{"Maduravoyal","Ambattur","Madavaram","Thiruvottiyur","Sholinganallur","Alandur"},0)),"Chennai",B192)</f>
        <v>Tirunelveli</v>
      </c>
    </row>
    <row r="193" spans="1:25" x14ac:dyDescent="0.2">
      <c r="A193" s="3" t="s">
        <v>265</v>
      </c>
      <c r="B193" t="s">
        <v>263</v>
      </c>
      <c r="C193" s="11">
        <v>12</v>
      </c>
      <c r="D193" s="11">
        <v>12</v>
      </c>
      <c r="E193" s="11">
        <v>24</v>
      </c>
      <c r="F193" s="11">
        <v>2</v>
      </c>
      <c r="G193" s="11">
        <v>0</v>
      </c>
      <c r="H193">
        <f t="shared" si="18"/>
        <v>50</v>
      </c>
      <c r="I193" s="7">
        <f t="shared" si="19"/>
        <v>0.24</v>
      </c>
      <c r="J193" s="7">
        <f t="shared" si="20"/>
        <v>0.24</v>
      </c>
      <c r="K193" s="7">
        <f t="shared" si="21"/>
        <v>0.48</v>
      </c>
      <c r="L193" s="7">
        <f t="shared" si="22"/>
        <v>0.04</v>
      </c>
      <c r="M193" s="7">
        <f t="shared" si="23"/>
        <v>0</v>
      </c>
      <c r="N193" s="7">
        <f>MAX(0,I193+'Statewide Votes'!$H$9/100)</f>
        <v>0.19537340587809648</v>
      </c>
      <c r="O193" s="7">
        <f>MAX(0,J193+'Statewide Votes'!$I$9/100)</f>
        <v>0.24739950648982606</v>
      </c>
      <c r="P193" s="7">
        <f>MAX(0,K193+'Statewide Votes'!$J$9/100)</f>
        <v>0.52434795612269558</v>
      </c>
      <c r="Q193" s="7">
        <f>MAX(0,L193+'Statewide Votes'!$K$9/100)</f>
        <v>3.1216683302240124E-2</v>
      </c>
      <c r="R193" s="7">
        <f>MAX(0,M193+'Statewide Votes'!$L$9/100)</f>
        <v>1.662448207141779E-3</v>
      </c>
      <c r="S193" t="str">
        <f>IF(U193=0,"Tie",INDEX({"TVK","AIADMK+BJP+PMK+AMMK","DMK+INC+VCK","NTK","NOTA"},MATCH(MAX(N193:R193),N193:R193,0)))</f>
        <v>DMK+INC+VCK</v>
      </c>
      <c r="T193" t="str">
        <f>INDEX({"TVK","AIADMK+BJP+PMK+AMMK","DMK+INC+VCK","NTK","NOTA"},MATCH(LARGE(N193:R193,2),N193:R193,0))</f>
        <v>AIADMK+BJP+PMK+AMMK</v>
      </c>
      <c r="U193">
        <f t="shared" si="24"/>
        <v>27.7</v>
      </c>
      <c r="V193" t="str">
        <f t="shared" si="25"/>
        <v>Strong</v>
      </c>
      <c r="W193" t="str">
        <f>IF(LARGE(I193:M193,1)=LARGE(I193:M193,2),"Tie",INDEX({"TVK","AIADMK+BJP+PMK+AMMK","DMK+INC+VCK","NTK","NOTA"},MATCH(MAX(I193:M193),I193:M193,0)))</f>
        <v>DMK+INC+VCK</v>
      </c>
      <c r="X193" s="7">
        <f t="shared" si="26"/>
        <v>0.52434795612269558</v>
      </c>
      <c r="Y193" t="str">
        <f>IF(ISNUMBER(MATCH(A193,{"Maduravoyal","Ambattur","Madavaram","Thiruvottiyur","Sholinganallur","Alandur"},0)),"Chennai",B193)</f>
        <v>Tirunelveli</v>
      </c>
    </row>
    <row r="194" spans="1:25" x14ac:dyDescent="0.2">
      <c r="A194" s="3" t="s">
        <v>266</v>
      </c>
      <c r="B194" t="s">
        <v>263</v>
      </c>
      <c r="C194" s="11">
        <v>17</v>
      </c>
      <c r="D194" s="11">
        <v>15</v>
      </c>
      <c r="E194" s="11">
        <v>12</v>
      </c>
      <c r="F194" s="11">
        <v>8</v>
      </c>
      <c r="G194" s="11">
        <v>0</v>
      </c>
      <c r="H194">
        <f t="shared" si="18"/>
        <v>52</v>
      </c>
      <c r="I194" s="7">
        <f t="shared" si="19"/>
        <v>0.32692307692307693</v>
      </c>
      <c r="J194" s="7">
        <f t="shared" si="20"/>
        <v>0.28846153846153844</v>
      </c>
      <c r="K194" s="7">
        <f t="shared" si="21"/>
        <v>0.23076923076923078</v>
      </c>
      <c r="L194" s="7">
        <f t="shared" si="22"/>
        <v>0.15384615384615385</v>
      </c>
      <c r="M194" s="7">
        <f t="shared" si="23"/>
        <v>0</v>
      </c>
      <c r="N194" s="7">
        <f>MAX(0,I194+'Statewide Votes'!$H$9/100)</f>
        <v>0.28229648280117342</v>
      </c>
      <c r="O194" s="7">
        <f>MAX(0,J194+'Statewide Votes'!$I$9/100)</f>
        <v>0.2958610449513645</v>
      </c>
      <c r="P194" s="7">
        <f>MAX(0,K194+'Statewide Votes'!$J$9/100)</f>
        <v>0.27511718689192638</v>
      </c>
      <c r="Q194" s="7">
        <f>MAX(0,L194+'Statewide Votes'!$K$9/100)</f>
        <v>0.14506283714839396</v>
      </c>
      <c r="R194" s="7">
        <f>MAX(0,M194+'Statewide Votes'!$L$9/100)</f>
        <v>1.662448207141779E-3</v>
      </c>
      <c r="S194" t="str">
        <f>IF(U194=0,"Tie",INDEX({"TVK","AIADMK+BJP+PMK+AMMK","DMK+INC+VCK","NTK","NOTA"},MATCH(MAX(N194:R194),N194:R194,0)))</f>
        <v>AIADMK+BJP+PMK+AMMK</v>
      </c>
      <c r="T194" t="str">
        <f>INDEX({"TVK","AIADMK+BJP+PMK+AMMK","DMK+INC+VCK","NTK","NOTA"},MATCH(LARGE(N194:R194,2),N194:R194,0))</f>
        <v>TVK</v>
      </c>
      <c r="U194">
        <f t="shared" si="24"/>
        <v>1.4</v>
      </c>
      <c r="V194" t="str">
        <f t="shared" si="25"/>
        <v>Toss-up</v>
      </c>
      <c r="W194" t="str">
        <f>IF(LARGE(I194:M194,1)=LARGE(I194:M194,2),"Tie",INDEX({"TVK","AIADMK+BJP+PMK+AMMK","DMK+INC+VCK","NTK","NOTA"},MATCH(MAX(I194:M194),I194:M194,0)))</f>
        <v>TVK</v>
      </c>
      <c r="X194" s="7">
        <f t="shared" si="26"/>
        <v>0.2958610449513645</v>
      </c>
      <c r="Y194" t="str">
        <f>IF(ISNUMBER(MATCH(A194,{"Maduravoyal","Ambattur","Madavaram","Thiruvottiyur","Sholinganallur","Alandur"},0)),"Chennai",B194)</f>
        <v>Tirunelveli</v>
      </c>
    </row>
    <row r="195" spans="1:25" x14ac:dyDescent="0.2">
      <c r="A195" s="3" t="s">
        <v>263</v>
      </c>
      <c r="B195" t="s">
        <v>263</v>
      </c>
      <c r="C195" s="11">
        <v>38</v>
      </c>
      <c r="D195" s="11">
        <v>17</v>
      </c>
      <c r="E195" s="11">
        <v>18</v>
      </c>
      <c r="F195" s="11">
        <v>10</v>
      </c>
      <c r="G195" s="11">
        <v>3</v>
      </c>
      <c r="H195">
        <f t="shared" si="18"/>
        <v>86</v>
      </c>
      <c r="I195" s="7">
        <f t="shared" si="19"/>
        <v>0.44186046511627908</v>
      </c>
      <c r="J195" s="7">
        <f t="shared" si="20"/>
        <v>0.19767441860465115</v>
      </c>
      <c r="K195" s="7">
        <f t="shared" si="21"/>
        <v>0.20930232558139536</v>
      </c>
      <c r="L195" s="7">
        <f t="shared" si="22"/>
        <v>0.11627906976744186</v>
      </c>
      <c r="M195" s="7">
        <f t="shared" si="23"/>
        <v>3.4883720930232558E-2</v>
      </c>
      <c r="N195" s="7">
        <f>MAX(0,I195+'Statewide Votes'!$H$9/100)</f>
        <v>0.39723387099437557</v>
      </c>
      <c r="O195" s="7">
        <f>MAX(0,J195+'Statewide Votes'!$I$9/100)</f>
        <v>0.20507392509447722</v>
      </c>
      <c r="P195" s="7">
        <f>MAX(0,K195+'Statewide Votes'!$J$9/100)</f>
        <v>0.25365028170409099</v>
      </c>
      <c r="Q195" s="7">
        <f>MAX(0,L195+'Statewide Votes'!$K$9/100)</f>
        <v>0.10749575306968198</v>
      </c>
      <c r="R195" s="7">
        <f>MAX(0,M195+'Statewide Votes'!$L$9/100)</f>
        <v>3.6546169137374337E-2</v>
      </c>
      <c r="S195" t="str">
        <f>IF(U195=0,"Tie",INDEX({"TVK","AIADMK+BJP+PMK+AMMK","DMK+INC+VCK","NTK","NOTA"},MATCH(MAX(N195:R195),N195:R195,0)))</f>
        <v>TVK</v>
      </c>
      <c r="T195" t="str">
        <f>INDEX({"TVK","AIADMK+BJP+PMK+AMMK","DMK+INC+VCK","NTK","NOTA"},MATCH(LARGE(N195:R195,2),N195:R195,0))</f>
        <v>DMK+INC+VCK</v>
      </c>
      <c r="U195">
        <f t="shared" si="24"/>
        <v>14.4</v>
      </c>
      <c r="V195" t="str">
        <f t="shared" si="25"/>
        <v>Strong</v>
      </c>
      <c r="W195" t="str">
        <f>IF(LARGE(I195:M195,1)=LARGE(I195:M195,2),"Tie",INDEX({"TVK","AIADMK+BJP+PMK+AMMK","DMK+INC+VCK","NTK","NOTA"},MATCH(MAX(I195:M195),I195:M195,0)))</f>
        <v>TVK</v>
      </c>
      <c r="X195" s="7">
        <f t="shared" si="26"/>
        <v>0.39723387099437557</v>
      </c>
      <c r="Y195" t="str">
        <f>IF(ISNUMBER(MATCH(A195,{"Maduravoyal","Ambattur","Madavaram","Thiruvottiyur","Sholinganallur","Alandur"},0)),"Chennai",B195)</f>
        <v>Tirunelveli</v>
      </c>
    </row>
    <row r="196" spans="1:25" x14ac:dyDescent="0.2">
      <c r="A196" s="3" t="s">
        <v>267</v>
      </c>
      <c r="B196" t="s">
        <v>268</v>
      </c>
      <c r="C196" s="11">
        <v>13</v>
      </c>
      <c r="D196" s="11">
        <v>9</v>
      </c>
      <c r="E196" s="11">
        <v>15</v>
      </c>
      <c r="F196" s="11">
        <v>0</v>
      </c>
      <c r="G196" s="11">
        <v>0</v>
      </c>
      <c r="H196">
        <f t="shared" si="18"/>
        <v>37</v>
      </c>
      <c r="I196" s="7">
        <f t="shared" si="19"/>
        <v>0.35135135135135137</v>
      </c>
      <c r="J196" s="7">
        <f t="shared" si="20"/>
        <v>0.24324324324324326</v>
      </c>
      <c r="K196" s="7">
        <f t="shared" si="21"/>
        <v>0.40540540540540543</v>
      </c>
      <c r="L196" s="7">
        <f t="shared" si="22"/>
        <v>0</v>
      </c>
      <c r="M196" s="7">
        <f t="shared" si="23"/>
        <v>0</v>
      </c>
      <c r="N196" s="7">
        <f>MAX(0,I196+'Statewide Votes'!$H$9/100)</f>
        <v>0.30672475722944786</v>
      </c>
      <c r="O196" s="7">
        <f>MAX(0,J196+'Statewide Votes'!$I$9/100)</f>
        <v>0.25064274973306933</v>
      </c>
      <c r="P196" s="7">
        <f>MAX(0,K196+'Statewide Votes'!$J$9/100)</f>
        <v>0.44975336152810103</v>
      </c>
      <c r="Q196" s="7">
        <f>MAX(0,L196+'Statewide Votes'!$K$9/100)</f>
        <v>0</v>
      </c>
      <c r="R196" s="7">
        <f>MAX(0,M196+'Statewide Votes'!$L$9/100)</f>
        <v>1.662448207141779E-3</v>
      </c>
      <c r="S196" t="str">
        <f>IF(U196=0,"Tie",INDEX({"TVK","AIADMK+BJP+PMK+AMMK","DMK+INC+VCK","NTK","NOTA"},MATCH(MAX(N196:R196),N196:R196,0)))</f>
        <v>DMK+INC+VCK</v>
      </c>
      <c r="T196" t="str">
        <f>INDEX({"TVK","AIADMK+BJP+PMK+AMMK","DMK+INC+VCK","NTK","NOTA"},MATCH(LARGE(N196:R196,2),N196:R196,0))</f>
        <v>TVK</v>
      </c>
      <c r="U196">
        <f t="shared" si="24"/>
        <v>14.3</v>
      </c>
      <c r="V196" t="str">
        <f t="shared" si="25"/>
        <v>Strong</v>
      </c>
      <c r="W196" t="str">
        <f>IF(LARGE(I196:M196,1)=LARGE(I196:M196,2),"Tie",INDEX({"TVK","AIADMK+BJP+PMK+AMMK","DMK+INC+VCK","NTK","NOTA"},MATCH(MAX(I196:M196),I196:M196,0)))</f>
        <v>DMK+INC+VCK</v>
      </c>
      <c r="X196" s="7">
        <f t="shared" si="26"/>
        <v>0.44975336152810103</v>
      </c>
      <c r="Y196" t="str">
        <f>IF(ISNUMBER(MATCH(A196,{"Maduravoyal","Ambattur","Madavaram","Thiruvottiyur","Sholinganallur","Alandur"},0)),"Chennai",B196)</f>
        <v>Tirupathur</v>
      </c>
    </row>
    <row r="197" spans="1:25" x14ac:dyDescent="0.2">
      <c r="A197" s="3" t="s">
        <v>269</v>
      </c>
      <c r="B197" t="s">
        <v>268</v>
      </c>
      <c r="C197" s="11">
        <v>9</v>
      </c>
      <c r="D197" s="11">
        <v>6</v>
      </c>
      <c r="E197" s="11">
        <v>6</v>
      </c>
      <c r="F197" s="11">
        <v>3</v>
      </c>
      <c r="G197" s="11">
        <v>0</v>
      </c>
      <c r="H197">
        <f t="shared" ref="H197:H238" si="27">SUM(C197:G197)</f>
        <v>24</v>
      </c>
      <c r="I197" s="7">
        <f t="shared" ref="I197:I238" si="28">IF($H197=0,0,C197/$H197)</f>
        <v>0.375</v>
      </c>
      <c r="J197" s="7">
        <f t="shared" ref="J197:J238" si="29">IF($H197=0,0,D197/$H197)</f>
        <v>0.25</v>
      </c>
      <c r="K197" s="7">
        <f t="shared" ref="K197:K238" si="30">IF($H197=0,0,E197/$H197)</f>
        <v>0.25</v>
      </c>
      <c r="L197" s="7">
        <f t="shared" ref="L197:L238" si="31">IF($H197=0,0,F197/$H197)</f>
        <v>0.125</v>
      </c>
      <c r="M197" s="7">
        <f t="shared" ref="M197:M238" si="32">IF($H197=0,0,G197/$H197)</f>
        <v>0</v>
      </c>
      <c r="N197" s="7">
        <f>MAX(0,I197+'Statewide Votes'!$H$9/100)</f>
        <v>0.33037340587809649</v>
      </c>
      <c r="O197" s="7">
        <f>MAX(0,J197+'Statewide Votes'!$I$9/100)</f>
        <v>0.25739950648982607</v>
      </c>
      <c r="P197" s="7">
        <f>MAX(0,K197+'Statewide Votes'!$J$9/100)</f>
        <v>0.2943479561226956</v>
      </c>
      <c r="Q197" s="7">
        <f>MAX(0,L197+'Statewide Votes'!$K$9/100)</f>
        <v>0.11621668330224012</v>
      </c>
      <c r="R197" s="7">
        <f>MAX(0,M197+'Statewide Votes'!$L$9/100)</f>
        <v>1.662448207141779E-3</v>
      </c>
      <c r="S197" t="str">
        <f>IF(U197=0,"Tie",INDEX({"TVK","AIADMK+BJP+PMK+AMMK","DMK+INC+VCK","NTK","NOTA"},MATCH(MAX(N197:R197),N197:R197,0)))</f>
        <v>TVK</v>
      </c>
      <c r="T197" t="str">
        <f>INDEX({"TVK","AIADMK+BJP+PMK+AMMK","DMK+INC+VCK","NTK","NOTA"},MATCH(LARGE(N197:R197,2),N197:R197,0))</f>
        <v>DMK+INC+VCK</v>
      </c>
      <c r="U197">
        <f t="shared" ref="U197:U238" si="33">ROUND((LARGE(N197:R197,1)-LARGE(N197:R197,2))*100,1)</f>
        <v>3.6</v>
      </c>
      <c r="V197" t="str">
        <f t="shared" ref="V197:V238" si="34">IF(U197=0,"Tie",IF(H197&lt;10,"Low sample",IF(AND(H197&gt;=30,U197&gt;=10),"Strong",IF(U197&gt;=5,"Lean","Toss-up"))))</f>
        <v>Toss-up</v>
      </c>
      <c r="W197" t="str">
        <f>IF(LARGE(I197:M197,1)=LARGE(I197:M197,2),"Tie",INDEX({"TVK","AIADMK+BJP+PMK+AMMK","DMK+INC+VCK","NTK","NOTA"},MATCH(MAX(I197:M197),I197:M197,0)))</f>
        <v>TVK</v>
      </c>
      <c r="X197" s="7">
        <f t="shared" ref="X197:X238" si="35">MAX(N197:R197)</f>
        <v>0.33037340587809649</v>
      </c>
      <c r="Y197" t="str">
        <f>IF(ISNUMBER(MATCH(A197,{"Maduravoyal","Ambattur","Madavaram","Thiruvottiyur","Sholinganallur","Alandur"},0)),"Chennai",B197)</f>
        <v>Tirupathur</v>
      </c>
    </row>
    <row r="198" spans="1:25" x14ac:dyDescent="0.2">
      <c r="A198" s="3" t="s">
        <v>212</v>
      </c>
      <c r="B198" t="s">
        <v>268</v>
      </c>
      <c r="C198" s="11">
        <v>19</v>
      </c>
      <c r="D198" s="11">
        <v>6</v>
      </c>
      <c r="E198" s="11">
        <v>19</v>
      </c>
      <c r="F198" s="11">
        <v>0</v>
      </c>
      <c r="G198" s="11">
        <v>0</v>
      </c>
      <c r="H198">
        <f t="shared" si="27"/>
        <v>44</v>
      </c>
      <c r="I198" s="7">
        <f t="shared" si="28"/>
        <v>0.43181818181818182</v>
      </c>
      <c r="J198" s="7">
        <f t="shared" si="29"/>
        <v>0.13636363636363635</v>
      </c>
      <c r="K198" s="7">
        <f t="shared" si="30"/>
        <v>0.43181818181818182</v>
      </c>
      <c r="L198" s="7">
        <f t="shared" si="31"/>
        <v>0</v>
      </c>
      <c r="M198" s="7">
        <f t="shared" si="32"/>
        <v>0</v>
      </c>
      <c r="N198" s="7">
        <f>MAX(0,I198+'Statewide Votes'!$H$9/100)</f>
        <v>0.38719158769627832</v>
      </c>
      <c r="O198" s="7">
        <f>MAX(0,J198+'Statewide Votes'!$I$9/100)</f>
        <v>0.14376314285346242</v>
      </c>
      <c r="P198" s="7">
        <f>MAX(0,K198+'Statewide Votes'!$J$9/100)</f>
        <v>0.47616613794087742</v>
      </c>
      <c r="Q198" s="7">
        <f>MAX(0,L198+'Statewide Votes'!$K$9/100)</f>
        <v>0</v>
      </c>
      <c r="R198" s="7">
        <f>MAX(0,M198+'Statewide Votes'!$L$9/100)</f>
        <v>1.662448207141779E-3</v>
      </c>
      <c r="S198" t="str">
        <f>IF(U198=0,"Tie",INDEX({"TVK","AIADMK+BJP+PMK+AMMK","DMK+INC+VCK","NTK","NOTA"},MATCH(MAX(N198:R198),N198:R198,0)))</f>
        <v>DMK+INC+VCK</v>
      </c>
      <c r="T198" t="str">
        <f>INDEX({"TVK","AIADMK+BJP+PMK+AMMK","DMK+INC+VCK","NTK","NOTA"},MATCH(LARGE(N198:R198,2),N198:R198,0))</f>
        <v>TVK</v>
      </c>
      <c r="U198">
        <f t="shared" si="33"/>
        <v>8.9</v>
      </c>
      <c r="V198" t="str">
        <f t="shared" si="34"/>
        <v>Lean</v>
      </c>
      <c r="W198" t="str">
        <f>IF(LARGE(I198:M198,1)=LARGE(I198:M198,2),"Tie",INDEX({"TVK","AIADMK+BJP+PMK+AMMK","DMK+INC+VCK","NTK","NOTA"},MATCH(MAX(I198:M198),I198:M198,0)))</f>
        <v>Tie</v>
      </c>
      <c r="X198" s="7">
        <f t="shared" si="35"/>
        <v>0.47616613794087742</v>
      </c>
      <c r="Y198" t="str">
        <f>IF(ISNUMBER(MATCH(A198,{"Maduravoyal","Ambattur","Madavaram","Thiruvottiyur","Sholinganallur","Alandur"},0)),"Chennai",B198)</f>
        <v>Tirupathur</v>
      </c>
    </row>
    <row r="199" spans="1:25" x14ac:dyDescent="0.2">
      <c r="A199" s="3" t="s">
        <v>270</v>
      </c>
      <c r="B199" t="s">
        <v>268</v>
      </c>
      <c r="C199" s="11">
        <v>12</v>
      </c>
      <c r="D199" s="11">
        <v>4</v>
      </c>
      <c r="E199" s="11">
        <v>3</v>
      </c>
      <c r="F199" s="11">
        <v>0</v>
      </c>
      <c r="G199" s="11">
        <v>0</v>
      </c>
      <c r="H199">
        <f t="shared" si="27"/>
        <v>19</v>
      </c>
      <c r="I199" s="7">
        <f t="shared" si="28"/>
        <v>0.63157894736842102</v>
      </c>
      <c r="J199" s="7">
        <f t="shared" si="29"/>
        <v>0.21052631578947367</v>
      </c>
      <c r="K199" s="7">
        <f t="shared" si="30"/>
        <v>0.15789473684210525</v>
      </c>
      <c r="L199" s="7">
        <f t="shared" si="31"/>
        <v>0</v>
      </c>
      <c r="M199" s="7">
        <f t="shared" si="32"/>
        <v>0</v>
      </c>
      <c r="N199" s="7">
        <f>MAX(0,I199+'Statewide Votes'!$H$9/100)</f>
        <v>0.58695235324651751</v>
      </c>
      <c r="O199" s="7">
        <f>MAX(0,J199+'Statewide Votes'!$I$9/100)</f>
        <v>0.21792582227929974</v>
      </c>
      <c r="P199" s="7">
        <f>MAX(0,K199+'Statewide Votes'!$J$9/100)</f>
        <v>0.20224269296480085</v>
      </c>
      <c r="Q199" s="7">
        <f>MAX(0,L199+'Statewide Votes'!$K$9/100)</f>
        <v>0</v>
      </c>
      <c r="R199" s="7">
        <f>MAX(0,M199+'Statewide Votes'!$L$9/100)</f>
        <v>1.662448207141779E-3</v>
      </c>
      <c r="S199" t="str">
        <f>IF(U199=0,"Tie",INDEX({"TVK","AIADMK+BJP+PMK+AMMK","DMK+INC+VCK","NTK","NOTA"},MATCH(MAX(N199:R199),N199:R199,0)))</f>
        <v>TVK</v>
      </c>
      <c r="T199" t="str">
        <f>INDEX({"TVK","AIADMK+BJP+PMK+AMMK","DMK+INC+VCK","NTK","NOTA"},MATCH(LARGE(N199:R199,2),N199:R199,0))</f>
        <v>AIADMK+BJP+PMK+AMMK</v>
      </c>
      <c r="U199">
        <f t="shared" si="33"/>
        <v>36.9</v>
      </c>
      <c r="V199" t="str">
        <f t="shared" si="34"/>
        <v>Lean</v>
      </c>
      <c r="W199" t="str">
        <f>IF(LARGE(I199:M199,1)=LARGE(I199:M199,2),"Tie",INDEX({"TVK","AIADMK+BJP+PMK+AMMK","DMK+INC+VCK","NTK","NOTA"},MATCH(MAX(I199:M199),I199:M199,0)))</f>
        <v>TVK</v>
      </c>
      <c r="X199" s="7">
        <f t="shared" si="35"/>
        <v>0.58695235324651751</v>
      </c>
      <c r="Y199" t="str">
        <f>IF(ISNUMBER(MATCH(A199,{"Maduravoyal","Ambattur","Madavaram","Thiruvottiyur","Sholinganallur","Alandur"},0)),"Chennai",B199)</f>
        <v>Tirupathur</v>
      </c>
    </row>
    <row r="200" spans="1:25" x14ac:dyDescent="0.2">
      <c r="A200" s="3" t="s">
        <v>271</v>
      </c>
      <c r="B200" t="s">
        <v>272</v>
      </c>
      <c r="C200" s="11">
        <v>29</v>
      </c>
      <c r="D200" s="11">
        <v>14</v>
      </c>
      <c r="E200" s="11">
        <v>4</v>
      </c>
      <c r="F200" s="11">
        <v>2</v>
      </c>
      <c r="G200" s="11">
        <v>0</v>
      </c>
      <c r="H200">
        <f t="shared" si="27"/>
        <v>49</v>
      </c>
      <c r="I200" s="7">
        <f t="shared" si="28"/>
        <v>0.59183673469387754</v>
      </c>
      <c r="J200" s="7">
        <f t="shared" si="29"/>
        <v>0.2857142857142857</v>
      </c>
      <c r="K200" s="7">
        <f t="shared" si="30"/>
        <v>8.1632653061224483E-2</v>
      </c>
      <c r="L200" s="7">
        <f t="shared" si="31"/>
        <v>4.0816326530612242E-2</v>
      </c>
      <c r="M200" s="7">
        <f t="shared" si="32"/>
        <v>0</v>
      </c>
      <c r="N200" s="7">
        <f>MAX(0,I200+'Statewide Votes'!$H$9/100)</f>
        <v>0.54721014057197404</v>
      </c>
      <c r="O200" s="7">
        <f>MAX(0,J200+'Statewide Votes'!$I$9/100)</f>
        <v>0.29311379220411177</v>
      </c>
      <c r="P200" s="7">
        <f>MAX(0,K200+'Statewide Votes'!$J$9/100)</f>
        <v>0.12598060918392007</v>
      </c>
      <c r="Q200" s="7">
        <f>MAX(0,L200+'Statewide Votes'!$K$9/100)</f>
        <v>3.2033009832852365E-2</v>
      </c>
      <c r="R200" s="7">
        <f>MAX(0,M200+'Statewide Votes'!$L$9/100)</f>
        <v>1.662448207141779E-3</v>
      </c>
      <c r="S200" t="str">
        <f>IF(U200=0,"Tie",INDEX({"TVK","AIADMK+BJP+PMK+AMMK","DMK+INC+VCK","NTK","NOTA"},MATCH(MAX(N200:R200),N200:R200,0)))</f>
        <v>TVK</v>
      </c>
      <c r="T200" t="str">
        <f>INDEX({"TVK","AIADMK+BJP+PMK+AMMK","DMK+INC+VCK","NTK","NOTA"},MATCH(LARGE(N200:R200,2),N200:R200,0))</f>
        <v>AIADMK+BJP+PMK+AMMK</v>
      </c>
      <c r="U200">
        <f t="shared" si="33"/>
        <v>25.4</v>
      </c>
      <c r="V200" t="str">
        <f t="shared" si="34"/>
        <v>Strong</v>
      </c>
      <c r="W200" t="str">
        <f>IF(LARGE(I200:M200,1)=LARGE(I200:M200,2),"Tie",INDEX({"TVK","AIADMK+BJP+PMK+AMMK","DMK+INC+VCK","NTK","NOTA"},MATCH(MAX(I200:M200),I200:M200,0)))</f>
        <v>TVK</v>
      </c>
      <c r="X200" s="7">
        <f t="shared" si="35"/>
        <v>0.54721014057197404</v>
      </c>
      <c r="Y200" t="str">
        <f>IF(ISNUMBER(MATCH(A200,{"Maduravoyal","Ambattur","Madavaram","Thiruvottiyur","Sholinganallur","Alandur"},0)),"Chennai",B200)</f>
        <v>Tiruppur</v>
      </c>
    </row>
    <row r="201" spans="1:25" x14ac:dyDescent="0.2">
      <c r="A201" s="3" t="s">
        <v>273</v>
      </c>
      <c r="B201" t="s">
        <v>272</v>
      </c>
      <c r="C201" s="11">
        <v>7</v>
      </c>
      <c r="D201" s="11">
        <v>6</v>
      </c>
      <c r="E201" s="11">
        <v>5</v>
      </c>
      <c r="F201" s="11">
        <v>1</v>
      </c>
      <c r="G201" s="11">
        <v>1</v>
      </c>
      <c r="H201">
        <f t="shared" si="27"/>
        <v>20</v>
      </c>
      <c r="I201" s="7">
        <f t="shared" si="28"/>
        <v>0.35</v>
      </c>
      <c r="J201" s="7">
        <f t="shared" si="29"/>
        <v>0.3</v>
      </c>
      <c r="K201" s="7">
        <f t="shared" si="30"/>
        <v>0.25</v>
      </c>
      <c r="L201" s="7">
        <f t="shared" si="31"/>
        <v>0.05</v>
      </c>
      <c r="M201" s="7">
        <f t="shared" si="32"/>
        <v>0.05</v>
      </c>
      <c r="N201" s="7">
        <f>MAX(0,I201+'Statewide Votes'!$H$9/100)</f>
        <v>0.30537340587809647</v>
      </c>
      <c r="O201" s="7">
        <f>MAX(0,J201+'Statewide Votes'!$I$9/100)</f>
        <v>0.30739950648982606</v>
      </c>
      <c r="P201" s="7">
        <f>MAX(0,K201+'Statewide Votes'!$J$9/100)</f>
        <v>0.2943479561226956</v>
      </c>
      <c r="Q201" s="7">
        <f>MAX(0,L201+'Statewide Votes'!$K$9/100)</f>
        <v>4.1216683302240126E-2</v>
      </c>
      <c r="R201" s="7">
        <f>MAX(0,M201+'Statewide Votes'!$L$9/100)</f>
        <v>5.1662448207141783E-2</v>
      </c>
      <c r="S201" t="str">
        <f>IF(U201=0,"Tie",INDEX({"TVK","AIADMK+BJP+PMK+AMMK","DMK+INC+VCK","NTK","NOTA"},MATCH(MAX(N201:R201),N201:R201,0)))</f>
        <v>AIADMK+BJP+PMK+AMMK</v>
      </c>
      <c r="T201" t="str">
        <f>INDEX({"TVK","AIADMK+BJP+PMK+AMMK","DMK+INC+VCK","NTK","NOTA"},MATCH(LARGE(N201:R201,2),N201:R201,0))</f>
        <v>TVK</v>
      </c>
      <c r="U201">
        <f t="shared" si="33"/>
        <v>0.2</v>
      </c>
      <c r="V201" t="str">
        <f t="shared" si="34"/>
        <v>Toss-up</v>
      </c>
      <c r="W201" t="str">
        <f>IF(LARGE(I201:M201,1)=LARGE(I201:M201,2),"Tie",INDEX({"TVK","AIADMK+BJP+PMK+AMMK","DMK+INC+VCK","NTK","NOTA"},MATCH(MAX(I201:M201),I201:M201,0)))</f>
        <v>TVK</v>
      </c>
      <c r="X201" s="7">
        <f t="shared" si="35"/>
        <v>0.30739950648982606</v>
      </c>
      <c r="Y201" t="str">
        <f>IF(ISNUMBER(MATCH(A201,{"Maduravoyal","Ambattur","Madavaram","Thiruvottiyur","Sholinganallur","Alandur"},0)),"Chennai",B201)</f>
        <v>Tiruppur</v>
      </c>
    </row>
    <row r="202" spans="1:25" x14ac:dyDescent="0.2">
      <c r="A202" s="3" t="s">
        <v>274</v>
      </c>
      <c r="B202" t="s">
        <v>272</v>
      </c>
      <c r="C202" s="11">
        <v>13</v>
      </c>
      <c r="D202" s="11">
        <v>11</v>
      </c>
      <c r="E202" s="11">
        <v>1</v>
      </c>
      <c r="F202" s="11">
        <v>1</v>
      </c>
      <c r="G202" s="11">
        <v>0</v>
      </c>
      <c r="H202">
        <f t="shared" si="27"/>
        <v>26</v>
      </c>
      <c r="I202" s="7">
        <f t="shared" si="28"/>
        <v>0.5</v>
      </c>
      <c r="J202" s="7">
        <f t="shared" si="29"/>
        <v>0.42307692307692307</v>
      </c>
      <c r="K202" s="7">
        <f t="shared" si="30"/>
        <v>3.8461538461538464E-2</v>
      </c>
      <c r="L202" s="7">
        <f t="shared" si="31"/>
        <v>3.8461538461538464E-2</v>
      </c>
      <c r="M202" s="7">
        <f t="shared" si="32"/>
        <v>0</v>
      </c>
      <c r="N202" s="7">
        <f>MAX(0,I202+'Statewide Votes'!$H$9/100)</f>
        <v>0.45537340587809649</v>
      </c>
      <c r="O202" s="7">
        <f>MAX(0,J202+'Statewide Votes'!$I$9/100)</f>
        <v>0.43047642956674914</v>
      </c>
      <c r="P202" s="7">
        <f>MAX(0,K202+'Statewide Votes'!$J$9/100)</f>
        <v>8.2809494584234061E-2</v>
      </c>
      <c r="Q202" s="7">
        <f>MAX(0,L202+'Statewide Votes'!$K$9/100)</f>
        <v>2.9678221763778587E-2</v>
      </c>
      <c r="R202" s="7">
        <f>MAX(0,M202+'Statewide Votes'!$L$9/100)</f>
        <v>1.662448207141779E-3</v>
      </c>
      <c r="S202" t="str">
        <f>IF(U202=0,"Tie",INDEX({"TVK","AIADMK+BJP+PMK+AMMK","DMK+INC+VCK","NTK","NOTA"},MATCH(MAX(N202:R202),N202:R202,0)))</f>
        <v>TVK</v>
      </c>
      <c r="T202" t="str">
        <f>INDEX({"TVK","AIADMK+BJP+PMK+AMMK","DMK+INC+VCK","NTK","NOTA"},MATCH(LARGE(N202:R202,2),N202:R202,0))</f>
        <v>AIADMK+BJP+PMK+AMMK</v>
      </c>
      <c r="U202">
        <f t="shared" si="33"/>
        <v>2.5</v>
      </c>
      <c r="V202" t="str">
        <f t="shared" si="34"/>
        <v>Toss-up</v>
      </c>
      <c r="W202" t="str">
        <f>IF(LARGE(I202:M202,1)=LARGE(I202:M202,2),"Tie",INDEX({"TVK","AIADMK+BJP+PMK+AMMK","DMK+INC+VCK","NTK","NOTA"},MATCH(MAX(I202:M202),I202:M202,0)))</f>
        <v>TVK</v>
      </c>
      <c r="X202" s="7">
        <f t="shared" si="35"/>
        <v>0.45537340587809649</v>
      </c>
      <c r="Y202" t="str">
        <f>IF(ISNUMBER(MATCH(A202,{"Maduravoyal","Ambattur","Madavaram","Thiruvottiyur","Sholinganallur","Alandur"},0)),"Chennai",B202)</f>
        <v>Tiruppur</v>
      </c>
    </row>
    <row r="203" spans="1:25" x14ac:dyDescent="0.2">
      <c r="A203" s="3" t="s">
        <v>275</v>
      </c>
      <c r="B203" t="s">
        <v>272</v>
      </c>
      <c r="C203" s="11">
        <v>12</v>
      </c>
      <c r="D203" s="11">
        <v>5</v>
      </c>
      <c r="E203" s="11">
        <v>7</v>
      </c>
      <c r="F203" s="11">
        <v>1</v>
      </c>
      <c r="G203" s="11">
        <v>1</v>
      </c>
      <c r="H203">
        <f t="shared" si="27"/>
        <v>26</v>
      </c>
      <c r="I203" s="7">
        <f t="shared" si="28"/>
        <v>0.46153846153846156</v>
      </c>
      <c r="J203" s="7">
        <f t="shared" si="29"/>
        <v>0.19230769230769232</v>
      </c>
      <c r="K203" s="7">
        <f t="shared" si="30"/>
        <v>0.26923076923076922</v>
      </c>
      <c r="L203" s="7">
        <f t="shared" si="31"/>
        <v>3.8461538461538464E-2</v>
      </c>
      <c r="M203" s="7">
        <f t="shared" si="32"/>
        <v>3.8461538461538464E-2</v>
      </c>
      <c r="N203" s="7">
        <f>MAX(0,I203+'Statewide Votes'!$H$9/100)</f>
        <v>0.41691186741655806</v>
      </c>
      <c r="O203" s="7">
        <f>MAX(0,J203+'Statewide Votes'!$I$9/100)</f>
        <v>0.19970719879751839</v>
      </c>
      <c r="P203" s="7">
        <f>MAX(0,K203+'Statewide Votes'!$J$9/100)</f>
        <v>0.31357872535346482</v>
      </c>
      <c r="Q203" s="7">
        <f>MAX(0,L203+'Statewide Votes'!$K$9/100)</f>
        <v>2.9678221763778587E-2</v>
      </c>
      <c r="R203" s="7">
        <f>MAX(0,M203+'Statewide Votes'!$L$9/100)</f>
        <v>4.0123986668680243E-2</v>
      </c>
      <c r="S203" t="str">
        <f>IF(U203=0,"Tie",INDEX({"TVK","AIADMK+BJP+PMK+AMMK","DMK+INC+VCK","NTK","NOTA"},MATCH(MAX(N203:R203),N203:R203,0)))</f>
        <v>TVK</v>
      </c>
      <c r="T203" t="str">
        <f>INDEX({"TVK","AIADMK+BJP+PMK+AMMK","DMK+INC+VCK","NTK","NOTA"},MATCH(LARGE(N203:R203,2),N203:R203,0))</f>
        <v>DMK+INC+VCK</v>
      </c>
      <c r="U203">
        <f t="shared" si="33"/>
        <v>10.3</v>
      </c>
      <c r="V203" t="str">
        <f t="shared" si="34"/>
        <v>Lean</v>
      </c>
      <c r="W203" t="str">
        <f>IF(LARGE(I203:M203,1)=LARGE(I203:M203,2),"Tie",INDEX({"TVK","AIADMK+BJP+PMK+AMMK","DMK+INC+VCK","NTK","NOTA"},MATCH(MAX(I203:M203),I203:M203,0)))</f>
        <v>TVK</v>
      </c>
      <c r="X203" s="7">
        <f t="shared" si="35"/>
        <v>0.41691186741655806</v>
      </c>
      <c r="Y203" t="str">
        <f>IF(ISNUMBER(MATCH(A203,{"Maduravoyal","Ambattur","Madavaram","Thiruvottiyur","Sholinganallur","Alandur"},0)),"Chennai",B203)</f>
        <v>Tiruppur</v>
      </c>
    </row>
    <row r="204" spans="1:25" x14ac:dyDescent="0.2">
      <c r="A204" s="3" t="s">
        <v>276</v>
      </c>
      <c r="B204" t="s">
        <v>272</v>
      </c>
      <c r="C204" s="11">
        <v>20</v>
      </c>
      <c r="D204" s="11">
        <v>22</v>
      </c>
      <c r="E204" s="11">
        <v>9</v>
      </c>
      <c r="F204" s="11">
        <v>3</v>
      </c>
      <c r="G204" s="11">
        <v>0</v>
      </c>
      <c r="H204">
        <f t="shared" si="27"/>
        <v>54</v>
      </c>
      <c r="I204" s="7">
        <f t="shared" si="28"/>
        <v>0.37037037037037035</v>
      </c>
      <c r="J204" s="7">
        <f t="shared" si="29"/>
        <v>0.40740740740740738</v>
      </c>
      <c r="K204" s="7">
        <f t="shared" si="30"/>
        <v>0.16666666666666666</v>
      </c>
      <c r="L204" s="7">
        <f t="shared" si="31"/>
        <v>5.5555555555555552E-2</v>
      </c>
      <c r="M204" s="7">
        <f t="shared" si="32"/>
        <v>0</v>
      </c>
      <c r="N204" s="7">
        <f>MAX(0,I204+'Statewide Votes'!$H$9/100)</f>
        <v>0.32574377624846684</v>
      </c>
      <c r="O204" s="7">
        <f>MAX(0,J204+'Statewide Votes'!$I$9/100)</f>
        <v>0.41480691389723345</v>
      </c>
      <c r="P204" s="7">
        <f>MAX(0,K204+'Statewide Votes'!$J$9/100)</f>
        <v>0.21101462278936226</v>
      </c>
      <c r="Q204" s="7">
        <f>MAX(0,L204+'Statewide Votes'!$K$9/100)</f>
        <v>4.6772238857795675E-2</v>
      </c>
      <c r="R204" s="7">
        <f>MAX(0,M204+'Statewide Votes'!$L$9/100)</f>
        <v>1.662448207141779E-3</v>
      </c>
      <c r="S204" t="str">
        <f>IF(U204=0,"Tie",INDEX({"TVK","AIADMK+BJP+PMK+AMMK","DMK+INC+VCK","NTK","NOTA"},MATCH(MAX(N204:R204),N204:R204,0)))</f>
        <v>AIADMK+BJP+PMK+AMMK</v>
      </c>
      <c r="T204" t="str">
        <f>INDEX({"TVK","AIADMK+BJP+PMK+AMMK","DMK+INC+VCK","NTK","NOTA"},MATCH(LARGE(N204:R204,2),N204:R204,0))</f>
        <v>TVK</v>
      </c>
      <c r="U204">
        <f t="shared" si="33"/>
        <v>8.9</v>
      </c>
      <c r="V204" t="str">
        <f t="shared" si="34"/>
        <v>Lean</v>
      </c>
      <c r="W204" t="str">
        <f>IF(LARGE(I204:M204,1)=LARGE(I204:M204,2),"Tie",INDEX({"TVK","AIADMK+BJP+PMK+AMMK","DMK+INC+VCK","NTK","NOTA"},MATCH(MAX(I204:M204),I204:M204,0)))</f>
        <v>AIADMK+BJP+PMK+AMMK</v>
      </c>
      <c r="X204" s="7">
        <f t="shared" si="35"/>
        <v>0.41480691389723345</v>
      </c>
      <c r="Y204" t="str">
        <f>IF(ISNUMBER(MATCH(A204,{"Maduravoyal","Ambattur","Madavaram","Thiruvottiyur","Sholinganallur","Alandur"},0)),"Chennai",B204)</f>
        <v>Tiruppur</v>
      </c>
    </row>
    <row r="205" spans="1:25" x14ac:dyDescent="0.2">
      <c r="A205" s="3" t="s">
        <v>277</v>
      </c>
      <c r="B205" t="s">
        <v>272</v>
      </c>
      <c r="C205" s="11">
        <v>32</v>
      </c>
      <c r="D205" s="11">
        <v>25</v>
      </c>
      <c r="E205" s="11">
        <v>11</v>
      </c>
      <c r="F205" s="11">
        <v>8</v>
      </c>
      <c r="G205" s="11">
        <v>0</v>
      </c>
      <c r="H205">
        <f t="shared" si="27"/>
        <v>76</v>
      </c>
      <c r="I205" s="7">
        <f t="shared" si="28"/>
        <v>0.42105263157894735</v>
      </c>
      <c r="J205" s="7">
        <f t="shared" si="29"/>
        <v>0.32894736842105265</v>
      </c>
      <c r="K205" s="7">
        <f t="shared" si="30"/>
        <v>0.14473684210526316</v>
      </c>
      <c r="L205" s="7">
        <f t="shared" si="31"/>
        <v>0.10526315789473684</v>
      </c>
      <c r="M205" s="7">
        <f t="shared" si="32"/>
        <v>0</v>
      </c>
      <c r="N205" s="7">
        <f>MAX(0,I205+'Statewide Votes'!$H$9/100)</f>
        <v>0.37642603745704384</v>
      </c>
      <c r="O205" s="7">
        <f>MAX(0,J205+'Statewide Votes'!$I$9/100)</f>
        <v>0.33634687491087872</v>
      </c>
      <c r="P205" s="7">
        <f>MAX(0,K205+'Statewide Votes'!$J$9/100)</f>
        <v>0.18908479822795876</v>
      </c>
      <c r="Q205" s="7">
        <f>MAX(0,L205+'Statewide Votes'!$K$9/100)</f>
        <v>9.6479841196976959E-2</v>
      </c>
      <c r="R205" s="7">
        <f>MAX(0,M205+'Statewide Votes'!$L$9/100)</f>
        <v>1.662448207141779E-3</v>
      </c>
      <c r="S205" t="str">
        <f>IF(U205=0,"Tie",INDEX({"TVK","AIADMK+BJP+PMK+AMMK","DMK+INC+VCK","NTK","NOTA"},MATCH(MAX(N205:R205),N205:R205,0)))</f>
        <v>TVK</v>
      </c>
      <c r="T205" t="str">
        <f>INDEX({"TVK","AIADMK+BJP+PMK+AMMK","DMK+INC+VCK","NTK","NOTA"},MATCH(LARGE(N205:R205,2),N205:R205,0))</f>
        <v>AIADMK+BJP+PMK+AMMK</v>
      </c>
      <c r="U205">
        <f t="shared" si="33"/>
        <v>4</v>
      </c>
      <c r="V205" t="str">
        <f t="shared" si="34"/>
        <v>Toss-up</v>
      </c>
      <c r="W205" t="str">
        <f>IF(LARGE(I205:M205,1)=LARGE(I205:M205,2),"Tie",INDEX({"TVK","AIADMK+BJP+PMK+AMMK","DMK+INC+VCK","NTK","NOTA"},MATCH(MAX(I205:M205),I205:M205,0)))</f>
        <v>TVK</v>
      </c>
      <c r="X205" s="7">
        <f t="shared" si="35"/>
        <v>0.37642603745704384</v>
      </c>
      <c r="Y205" t="str">
        <f>IF(ISNUMBER(MATCH(A205,{"Maduravoyal","Ambattur","Madavaram","Thiruvottiyur","Sholinganallur","Alandur"},0)),"Chennai",B205)</f>
        <v>Tiruppur</v>
      </c>
    </row>
    <row r="206" spans="1:25" x14ac:dyDescent="0.2">
      <c r="A206" s="3" t="s">
        <v>278</v>
      </c>
      <c r="B206" t="s">
        <v>272</v>
      </c>
      <c r="C206" s="11">
        <v>32</v>
      </c>
      <c r="D206" s="11">
        <v>17</v>
      </c>
      <c r="E206" s="11">
        <v>25</v>
      </c>
      <c r="F206" s="11">
        <v>8</v>
      </c>
      <c r="G206" s="11">
        <v>0</v>
      </c>
      <c r="H206">
        <f t="shared" si="27"/>
        <v>82</v>
      </c>
      <c r="I206" s="7">
        <f t="shared" si="28"/>
        <v>0.3902439024390244</v>
      </c>
      <c r="J206" s="7">
        <f t="shared" si="29"/>
        <v>0.2073170731707317</v>
      </c>
      <c r="K206" s="7">
        <f t="shared" si="30"/>
        <v>0.3048780487804878</v>
      </c>
      <c r="L206" s="7">
        <f t="shared" si="31"/>
        <v>9.7560975609756101E-2</v>
      </c>
      <c r="M206" s="7">
        <f t="shared" si="32"/>
        <v>0</v>
      </c>
      <c r="N206" s="7">
        <f>MAX(0,I206+'Statewide Votes'!$H$9/100)</f>
        <v>0.3456173083171209</v>
      </c>
      <c r="O206" s="7">
        <f>MAX(0,J206+'Statewide Votes'!$I$9/100)</f>
        <v>0.21471657966055777</v>
      </c>
      <c r="P206" s="7">
        <f>MAX(0,K206+'Statewide Votes'!$J$9/100)</f>
        <v>0.3492260049031834</v>
      </c>
      <c r="Q206" s="7">
        <f>MAX(0,L206+'Statewide Votes'!$K$9/100)</f>
        <v>8.8777658911996224E-2</v>
      </c>
      <c r="R206" s="7">
        <f>MAX(0,M206+'Statewide Votes'!$L$9/100)</f>
        <v>1.662448207141779E-3</v>
      </c>
      <c r="S206" t="str">
        <f>IF(U206=0,"Tie",INDEX({"TVK","AIADMK+BJP+PMK+AMMK","DMK+INC+VCK","NTK","NOTA"},MATCH(MAX(N206:R206),N206:R206,0)))</f>
        <v>DMK+INC+VCK</v>
      </c>
      <c r="T206" t="str">
        <f>INDEX({"TVK","AIADMK+BJP+PMK+AMMK","DMK+INC+VCK","NTK","NOTA"},MATCH(LARGE(N206:R206,2),N206:R206,0))</f>
        <v>TVK</v>
      </c>
      <c r="U206">
        <f t="shared" si="33"/>
        <v>0.4</v>
      </c>
      <c r="V206" t="str">
        <f t="shared" si="34"/>
        <v>Toss-up</v>
      </c>
      <c r="W206" t="str">
        <f>IF(LARGE(I206:M206,1)=LARGE(I206:M206,2),"Tie",INDEX({"TVK","AIADMK+BJP+PMK+AMMK","DMK+INC+VCK","NTK","NOTA"},MATCH(MAX(I206:M206),I206:M206,0)))</f>
        <v>TVK</v>
      </c>
      <c r="X206" s="7">
        <f t="shared" si="35"/>
        <v>0.3492260049031834</v>
      </c>
      <c r="Y206" t="str">
        <f>IF(ISNUMBER(MATCH(A206,{"Maduravoyal","Ambattur","Madavaram","Thiruvottiyur","Sholinganallur","Alandur"},0)),"Chennai",B206)</f>
        <v>Tiruppur</v>
      </c>
    </row>
    <row r="207" spans="1:25" x14ac:dyDescent="0.2">
      <c r="A207" s="3" t="s">
        <v>279</v>
      </c>
      <c r="B207" t="s">
        <v>272</v>
      </c>
      <c r="C207" s="11">
        <v>18</v>
      </c>
      <c r="D207" s="11">
        <v>4</v>
      </c>
      <c r="E207" s="11">
        <v>6</v>
      </c>
      <c r="F207" s="11">
        <v>3</v>
      </c>
      <c r="G207" s="11">
        <v>0</v>
      </c>
      <c r="H207">
        <f t="shared" si="27"/>
        <v>31</v>
      </c>
      <c r="I207" s="7">
        <f t="shared" si="28"/>
        <v>0.58064516129032262</v>
      </c>
      <c r="J207" s="7">
        <f t="shared" si="29"/>
        <v>0.12903225806451613</v>
      </c>
      <c r="K207" s="7">
        <f t="shared" si="30"/>
        <v>0.19354838709677419</v>
      </c>
      <c r="L207" s="7">
        <f t="shared" si="31"/>
        <v>9.6774193548387094E-2</v>
      </c>
      <c r="M207" s="7">
        <f t="shared" si="32"/>
        <v>0</v>
      </c>
      <c r="N207" s="7">
        <f>MAX(0,I207+'Statewide Votes'!$H$9/100)</f>
        <v>0.53601856716841911</v>
      </c>
      <c r="O207" s="7">
        <f>MAX(0,J207+'Statewide Votes'!$I$9/100)</f>
        <v>0.13643176455434219</v>
      </c>
      <c r="P207" s="7">
        <f>MAX(0,K207+'Statewide Votes'!$J$9/100)</f>
        <v>0.23789634321946979</v>
      </c>
      <c r="Q207" s="7">
        <f>MAX(0,L207+'Statewide Votes'!$K$9/100)</f>
        <v>8.7990876850627217E-2</v>
      </c>
      <c r="R207" s="7">
        <f>MAX(0,M207+'Statewide Votes'!$L$9/100)</f>
        <v>1.662448207141779E-3</v>
      </c>
      <c r="S207" t="str">
        <f>IF(U207=0,"Tie",INDEX({"TVK","AIADMK+BJP+PMK+AMMK","DMK+INC+VCK","NTK","NOTA"},MATCH(MAX(N207:R207),N207:R207,0)))</f>
        <v>TVK</v>
      </c>
      <c r="T207" t="str">
        <f>INDEX({"TVK","AIADMK+BJP+PMK+AMMK","DMK+INC+VCK","NTK","NOTA"},MATCH(LARGE(N207:R207,2),N207:R207,0))</f>
        <v>DMK+INC+VCK</v>
      </c>
      <c r="U207">
        <f t="shared" si="33"/>
        <v>29.8</v>
      </c>
      <c r="V207" t="str">
        <f t="shared" si="34"/>
        <v>Strong</v>
      </c>
      <c r="W207" t="str">
        <f>IF(LARGE(I207:M207,1)=LARGE(I207:M207,2),"Tie",INDEX({"TVK","AIADMK+BJP+PMK+AMMK","DMK+INC+VCK","NTK","NOTA"},MATCH(MAX(I207:M207),I207:M207,0)))</f>
        <v>TVK</v>
      </c>
      <c r="X207" s="7">
        <f t="shared" si="35"/>
        <v>0.53601856716841911</v>
      </c>
      <c r="Y207" t="str">
        <f>IF(ISNUMBER(MATCH(A207,{"Maduravoyal","Ambattur","Madavaram","Thiruvottiyur","Sholinganallur","Alandur"},0)),"Chennai",B207)</f>
        <v>Tiruppur</v>
      </c>
    </row>
    <row r="208" spans="1:25" x14ac:dyDescent="0.2">
      <c r="A208" s="3" t="s">
        <v>280</v>
      </c>
      <c r="B208" t="s">
        <v>281</v>
      </c>
      <c r="C208" s="11">
        <v>14</v>
      </c>
      <c r="D208" s="11">
        <v>11</v>
      </c>
      <c r="E208" s="11">
        <v>5</v>
      </c>
      <c r="F208" s="11">
        <v>0</v>
      </c>
      <c r="G208" s="11">
        <v>0</v>
      </c>
      <c r="H208">
        <f t="shared" si="27"/>
        <v>30</v>
      </c>
      <c r="I208" s="7">
        <f t="shared" si="28"/>
        <v>0.46666666666666667</v>
      </c>
      <c r="J208" s="7">
        <f t="shared" si="29"/>
        <v>0.36666666666666664</v>
      </c>
      <c r="K208" s="7">
        <f t="shared" si="30"/>
        <v>0.16666666666666666</v>
      </c>
      <c r="L208" s="7">
        <f t="shared" si="31"/>
        <v>0</v>
      </c>
      <c r="M208" s="7">
        <f t="shared" si="32"/>
        <v>0</v>
      </c>
      <c r="N208" s="7">
        <f>MAX(0,I208+'Statewide Votes'!$H$9/100)</f>
        <v>0.42204007254476317</v>
      </c>
      <c r="O208" s="7">
        <f>MAX(0,J208+'Statewide Votes'!$I$9/100)</f>
        <v>0.37406617315649271</v>
      </c>
      <c r="P208" s="7">
        <f>MAX(0,K208+'Statewide Votes'!$J$9/100)</f>
        <v>0.21101462278936226</v>
      </c>
      <c r="Q208" s="7">
        <f>MAX(0,L208+'Statewide Votes'!$K$9/100)</f>
        <v>0</v>
      </c>
      <c r="R208" s="7">
        <f>MAX(0,M208+'Statewide Votes'!$L$9/100)</f>
        <v>1.662448207141779E-3</v>
      </c>
      <c r="S208" t="str">
        <f>IF(U208=0,"Tie",INDEX({"TVK","AIADMK+BJP+PMK+AMMK","DMK+INC+VCK","NTK","NOTA"},MATCH(MAX(N208:R208),N208:R208,0)))</f>
        <v>TVK</v>
      </c>
      <c r="T208" t="str">
        <f>INDEX({"TVK","AIADMK+BJP+PMK+AMMK","DMK+INC+VCK","NTK","NOTA"},MATCH(LARGE(N208:R208,2),N208:R208,0))</f>
        <v>AIADMK+BJP+PMK+AMMK</v>
      </c>
      <c r="U208">
        <f t="shared" si="33"/>
        <v>4.8</v>
      </c>
      <c r="V208" t="str">
        <f t="shared" si="34"/>
        <v>Toss-up</v>
      </c>
      <c r="W208" t="str">
        <f>IF(LARGE(I208:M208,1)=LARGE(I208:M208,2),"Tie",INDEX({"TVK","AIADMK+BJP+PMK+AMMK","DMK+INC+VCK","NTK","NOTA"},MATCH(MAX(I208:M208),I208:M208,0)))</f>
        <v>TVK</v>
      </c>
      <c r="X208" s="7">
        <f t="shared" si="35"/>
        <v>0.42204007254476317</v>
      </c>
      <c r="Y208" t="str">
        <f>IF(ISNUMBER(MATCH(A208,{"Maduravoyal","Ambattur","Madavaram","Thiruvottiyur","Sholinganallur","Alandur"},0)),"Chennai",B208)</f>
        <v>Tiruvannamalai</v>
      </c>
    </row>
    <row r="209" spans="1:25" x14ac:dyDescent="0.2">
      <c r="A209" s="3" t="s">
        <v>282</v>
      </c>
      <c r="B209" t="s">
        <v>281</v>
      </c>
      <c r="C209" s="11">
        <v>11</v>
      </c>
      <c r="D209" s="11">
        <v>6</v>
      </c>
      <c r="E209" s="11">
        <v>5</v>
      </c>
      <c r="F209" s="11">
        <v>0</v>
      </c>
      <c r="G209" s="11">
        <v>0</v>
      </c>
      <c r="H209">
        <f t="shared" si="27"/>
        <v>22</v>
      </c>
      <c r="I209" s="7">
        <f t="shared" si="28"/>
        <v>0.5</v>
      </c>
      <c r="J209" s="7">
        <f t="shared" si="29"/>
        <v>0.27272727272727271</v>
      </c>
      <c r="K209" s="7">
        <f t="shared" si="30"/>
        <v>0.22727272727272727</v>
      </c>
      <c r="L209" s="7">
        <f t="shared" si="31"/>
        <v>0</v>
      </c>
      <c r="M209" s="7">
        <f t="shared" si="32"/>
        <v>0</v>
      </c>
      <c r="N209" s="7">
        <f>MAX(0,I209+'Statewide Votes'!$H$9/100)</f>
        <v>0.45537340587809649</v>
      </c>
      <c r="O209" s="7">
        <f>MAX(0,J209+'Statewide Votes'!$I$9/100)</f>
        <v>0.28012677921709878</v>
      </c>
      <c r="P209" s="7">
        <f>MAX(0,K209+'Statewide Votes'!$J$9/100)</f>
        <v>0.27162068339542289</v>
      </c>
      <c r="Q209" s="7">
        <f>MAX(0,L209+'Statewide Votes'!$K$9/100)</f>
        <v>0</v>
      </c>
      <c r="R209" s="7">
        <f>MAX(0,M209+'Statewide Votes'!$L$9/100)</f>
        <v>1.662448207141779E-3</v>
      </c>
      <c r="S209" t="str">
        <f>IF(U209=0,"Tie",INDEX({"TVK","AIADMK+BJP+PMK+AMMK","DMK+INC+VCK","NTK","NOTA"},MATCH(MAX(N209:R209),N209:R209,0)))</f>
        <v>TVK</v>
      </c>
      <c r="T209" t="str">
        <f>INDEX({"TVK","AIADMK+BJP+PMK+AMMK","DMK+INC+VCK","NTK","NOTA"},MATCH(LARGE(N209:R209,2),N209:R209,0))</f>
        <v>AIADMK+BJP+PMK+AMMK</v>
      </c>
      <c r="U209">
        <f t="shared" si="33"/>
        <v>17.5</v>
      </c>
      <c r="V209" t="str">
        <f t="shared" si="34"/>
        <v>Lean</v>
      </c>
      <c r="W209" t="str">
        <f>IF(LARGE(I209:M209,1)=LARGE(I209:M209,2),"Tie",INDEX({"TVK","AIADMK+BJP+PMK+AMMK","DMK+INC+VCK","NTK","NOTA"},MATCH(MAX(I209:M209),I209:M209,0)))</f>
        <v>TVK</v>
      </c>
      <c r="X209" s="7">
        <f t="shared" si="35"/>
        <v>0.45537340587809649</v>
      </c>
      <c r="Y209" t="str">
        <f>IF(ISNUMBER(MATCH(A209,{"Maduravoyal","Ambattur","Madavaram","Thiruvottiyur","Sholinganallur","Alandur"},0)),"Chennai",B209)</f>
        <v>Tiruvannamalai</v>
      </c>
    </row>
    <row r="210" spans="1:25" x14ac:dyDescent="0.2">
      <c r="A210" s="3" t="s">
        <v>283</v>
      </c>
      <c r="B210" t="s">
        <v>281</v>
      </c>
      <c r="C210" s="11">
        <v>6</v>
      </c>
      <c r="D210" s="11">
        <v>6</v>
      </c>
      <c r="E210" s="11">
        <v>1</v>
      </c>
      <c r="F210" s="11">
        <v>2</v>
      </c>
      <c r="G210" s="11">
        <v>1</v>
      </c>
      <c r="H210">
        <f t="shared" si="27"/>
        <v>16</v>
      </c>
      <c r="I210" s="7">
        <f t="shared" si="28"/>
        <v>0.375</v>
      </c>
      <c r="J210" s="7">
        <f t="shared" si="29"/>
        <v>0.375</v>
      </c>
      <c r="K210" s="7">
        <f t="shared" si="30"/>
        <v>6.25E-2</v>
      </c>
      <c r="L210" s="7">
        <f t="shared" si="31"/>
        <v>0.125</v>
      </c>
      <c r="M210" s="7">
        <f t="shared" si="32"/>
        <v>6.25E-2</v>
      </c>
      <c r="N210" s="7">
        <f>MAX(0,I210+'Statewide Votes'!$H$9/100)</f>
        <v>0.33037340587809649</v>
      </c>
      <c r="O210" s="7">
        <f>MAX(0,J210+'Statewide Votes'!$I$9/100)</f>
        <v>0.38239950648982607</v>
      </c>
      <c r="P210" s="7">
        <f>MAX(0,K210+'Statewide Votes'!$J$9/100)</f>
        <v>0.1068479561226956</v>
      </c>
      <c r="Q210" s="7">
        <f>MAX(0,L210+'Statewide Votes'!$K$9/100)</f>
        <v>0.11621668330224012</v>
      </c>
      <c r="R210" s="7">
        <f>MAX(0,M210+'Statewide Votes'!$L$9/100)</f>
        <v>6.4162448207141773E-2</v>
      </c>
      <c r="S210" t="str">
        <f>IF(U210=0,"Tie",INDEX({"TVK","AIADMK+BJP+PMK+AMMK","DMK+INC+VCK","NTK","NOTA"},MATCH(MAX(N210:R210),N210:R210,0)))</f>
        <v>AIADMK+BJP+PMK+AMMK</v>
      </c>
      <c r="T210" t="str">
        <f>INDEX({"TVK","AIADMK+BJP+PMK+AMMK","DMK+INC+VCK","NTK","NOTA"},MATCH(LARGE(N210:R210,2),N210:R210,0))</f>
        <v>TVK</v>
      </c>
      <c r="U210">
        <f t="shared" si="33"/>
        <v>5.2</v>
      </c>
      <c r="V210" t="str">
        <f t="shared" si="34"/>
        <v>Lean</v>
      </c>
      <c r="W210" t="str">
        <f>IF(LARGE(I210:M210,1)=LARGE(I210:M210,2),"Tie",INDEX({"TVK","AIADMK+BJP+PMK+AMMK","DMK+INC+VCK","NTK","NOTA"},MATCH(MAX(I210:M210),I210:M210,0)))</f>
        <v>Tie</v>
      </c>
      <c r="X210" s="7">
        <f t="shared" si="35"/>
        <v>0.38239950648982607</v>
      </c>
      <c r="Y210" t="str">
        <f>IF(ISNUMBER(MATCH(A210,{"Maduravoyal","Ambattur","Madavaram","Thiruvottiyur","Sholinganallur","Alandur"},0)),"Chennai",B210)</f>
        <v>Tiruvannamalai</v>
      </c>
    </row>
    <row r="211" spans="1:25" x14ac:dyDescent="0.2">
      <c r="A211" s="3" t="s">
        <v>284</v>
      </c>
      <c r="B211" t="s">
        <v>281</v>
      </c>
      <c r="C211" s="11">
        <v>8</v>
      </c>
      <c r="D211" s="11">
        <v>4</v>
      </c>
      <c r="E211" s="11">
        <v>2</v>
      </c>
      <c r="F211" s="11">
        <v>0</v>
      </c>
      <c r="G211" s="11">
        <v>0</v>
      </c>
      <c r="H211">
        <f t="shared" si="27"/>
        <v>14</v>
      </c>
      <c r="I211" s="7">
        <f t="shared" si="28"/>
        <v>0.5714285714285714</v>
      </c>
      <c r="J211" s="7">
        <f t="shared" si="29"/>
        <v>0.2857142857142857</v>
      </c>
      <c r="K211" s="7">
        <f t="shared" si="30"/>
        <v>0.14285714285714285</v>
      </c>
      <c r="L211" s="7">
        <f t="shared" si="31"/>
        <v>0</v>
      </c>
      <c r="M211" s="7">
        <f t="shared" si="32"/>
        <v>0</v>
      </c>
      <c r="N211" s="7">
        <f>MAX(0,I211+'Statewide Votes'!$H$9/100)</f>
        <v>0.52680197730666789</v>
      </c>
      <c r="O211" s="7">
        <f>MAX(0,J211+'Statewide Votes'!$I$9/100)</f>
        <v>0.29311379220411177</v>
      </c>
      <c r="P211" s="7">
        <f>MAX(0,K211+'Statewide Votes'!$J$9/100)</f>
        <v>0.18720509897983845</v>
      </c>
      <c r="Q211" s="7">
        <f>MAX(0,L211+'Statewide Votes'!$K$9/100)</f>
        <v>0</v>
      </c>
      <c r="R211" s="7">
        <f>MAX(0,M211+'Statewide Votes'!$L$9/100)</f>
        <v>1.662448207141779E-3</v>
      </c>
      <c r="S211" t="str">
        <f>IF(U211=0,"Tie",INDEX({"TVK","AIADMK+BJP+PMK+AMMK","DMK+INC+VCK","NTK","NOTA"},MATCH(MAX(N211:R211),N211:R211,0)))</f>
        <v>TVK</v>
      </c>
      <c r="T211" t="str">
        <f>INDEX({"TVK","AIADMK+BJP+PMK+AMMK","DMK+INC+VCK","NTK","NOTA"},MATCH(LARGE(N211:R211,2),N211:R211,0))</f>
        <v>AIADMK+BJP+PMK+AMMK</v>
      </c>
      <c r="U211">
        <f t="shared" si="33"/>
        <v>23.4</v>
      </c>
      <c r="V211" t="str">
        <f t="shared" si="34"/>
        <v>Lean</v>
      </c>
      <c r="W211" t="str">
        <f>IF(LARGE(I211:M211,1)=LARGE(I211:M211,2),"Tie",INDEX({"TVK","AIADMK+BJP+PMK+AMMK","DMK+INC+VCK","NTK","NOTA"},MATCH(MAX(I211:M211),I211:M211,0)))</f>
        <v>TVK</v>
      </c>
      <c r="X211" s="7">
        <f t="shared" si="35"/>
        <v>0.52680197730666789</v>
      </c>
      <c r="Y211" t="str">
        <f>IF(ISNUMBER(MATCH(A211,{"Maduravoyal","Ambattur","Madavaram","Thiruvottiyur","Sholinganallur","Alandur"},0)),"Chennai",B211)</f>
        <v>Tiruvannamalai</v>
      </c>
    </row>
    <row r="212" spans="1:25" x14ac:dyDescent="0.2">
      <c r="A212" s="3" t="s">
        <v>285</v>
      </c>
      <c r="B212" t="s">
        <v>281</v>
      </c>
      <c r="C212" s="11">
        <v>14</v>
      </c>
      <c r="D212" s="11">
        <v>4</v>
      </c>
      <c r="E212" s="11">
        <v>0</v>
      </c>
      <c r="F212" s="11">
        <v>1</v>
      </c>
      <c r="G212" s="11">
        <v>0</v>
      </c>
      <c r="H212">
        <f t="shared" si="27"/>
        <v>19</v>
      </c>
      <c r="I212" s="7">
        <f t="shared" si="28"/>
        <v>0.73684210526315785</v>
      </c>
      <c r="J212" s="7">
        <f t="shared" si="29"/>
        <v>0.21052631578947367</v>
      </c>
      <c r="K212" s="7">
        <f t="shared" si="30"/>
        <v>0</v>
      </c>
      <c r="L212" s="7">
        <f t="shared" si="31"/>
        <v>5.2631578947368418E-2</v>
      </c>
      <c r="M212" s="7">
        <f t="shared" si="32"/>
        <v>0</v>
      </c>
      <c r="N212" s="7">
        <f>MAX(0,I212+'Statewide Votes'!$H$9/100)</f>
        <v>0.69221551114125435</v>
      </c>
      <c r="O212" s="7">
        <f>MAX(0,J212+'Statewide Votes'!$I$9/100)</f>
        <v>0.21792582227929974</v>
      </c>
      <c r="P212" s="7">
        <f>MAX(0,K212+'Statewide Votes'!$J$9/100)</f>
        <v>4.4347956122695598E-2</v>
      </c>
      <c r="Q212" s="7">
        <f>MAX(0,L212+'Statewide Votes'!$K$9/100)</f>
        <v>4.3848262249608541E-2</v>
      </c>
      <c r="R212" s="7">
        <f>MAX(0,M212+'Statewide Votes'!$L$9/100)</f>
        <v>1.662448207141779E-3</v>
      </c>
      <c r="S212" t="str">
        <f>IF(U212=0,"Tie",INDEX({"TVK","AIADMK+BJP+PMK+AMMK","DMK+INC+VCK","NTK","NOTA"},MATCH(MAX(N212:R212),N212:R212,0)))</f>
        <v>TVK</v>
      </c>
      <c r="T212" t="str">
        <f>INDEX({"TVK","AIADMK+BJP+PMK+AMMK","DMK+INC+VCK","NTK","NOTA"},MATCH(LARGE(N212:R212,2),N212:R212,0))</f>
        <v>AIADMK+BJP+PMK+AMMK</v>
      </c>
      <c r="U212">
        <f t="shared" si="33"/>
        <v>47.4</v>
      </c>
      <c r="V212" t="str">
        <f t="shared" si="34"/>
        <v>Lean</v>
      </c>
      <c r="W212" t="str">
        <f>IF(LARGE(I212:M212,1)=LARGE(I212:M212,2),"Tie",INDEX({"TVK","AIADMK+BJP+PMK+AMMK","DMK+INC+VCK","NTK","NOTA"},MATCH(MAX(I212:M212),I212:M212,0)))</f>
        <v>TVK</v>
      </c>
      <c r="X212" s="7">
        <f t="shared" si="35"/>
        <v>0.69221551114125435</v>
      </c>
      <c r="Y212" t="str">
        <f>IF(ISNUMBER(MATCH(A212,{"Maduravoyal","Ambattur","Madavaram","Thiruvottiyur","Sholinganallur","Alandur"},0)),"Chennai",B212)</f>
        <v>Tiruvannamalai</v>
      </c>
    </row>
    <row r="213" spans="1:25" x14ac:dyDescent="0.2">
      <c r="A213" s="3" t="s">
        <v>286</v>
      </c>
      <c r="B213" t="s">
        <v>281</v>
      </c>
      <c r="C213" s="11">
        <v>13</v>
      </c>
      <c r="D213" s="11">
        <v>10</v>
      </c>
      <c r="E213" s="11">
        <v>1</v>
      </c>
      <c r="F213" s="11">
        <v>1</v>
      </c>
      <c r="G213" s="11">
        <v>0</v>
      </c>
      <c r="H213">
        <f t="shared" si="27"/>
        <v>25</v>
      </c>
      <c r="I213" s="7">
        <f t="shared" si="28"/>
        <v>0.52</v>
      </c>
      <c r="J213" s="7">
        <f t="shared" si="29"/>
        <v>0.4</v>
      </c>
      <c r="K213" s="7">
        <f t="shared" si="30"/>
        <v>0.04</v>
      </c>
      <c r="L213" s="7">
        <f t="shared" si="31"/>
        <v>0.04</v>
      </c>
      <c r="M213" s="7">
        <f t="shared" si="32"/>
        <v>0</v>
      </c>
      <c r="N213" s="7">
        <f>MAX(0,I213+'Statewide Votes'!$H$9/100)</f>
        <v>0.47537340587809651</v>
      </c>
      <c r="O213" s="7">
        <f>MAX(0,J213+'Statewide Votes'!$I$9/100)</f>
        <v>0.40739950648982609</v>
      </c>
      <c r="P213" s="7">
        <f>MAX(0,K213+'Statewide Votes'!$J$9/100)</f>
        <v>8.4347956122695605E-2</v>
      </c>
      <c r="Q213" s="7">
        <f>MAX(0,L213+'Statewide Votes'!$K$9/100)</f>
        <v>3.1216683302240124E-2</v>
      </c>
      <c r="R213" s="7">
        <f>MAX(0,M213+'Statewide Votes'!$L$9/100)</f>
        <v>1.662448207141779E-3</v>
      </c>
      <c r="S213" t="str">
        <f>IF(U213=0,"Tie",INDEX({"TVK","AIADMK+BJP+PMK+AMMK","DMK+INC+VCK","NTK","NOTA"},MATCH(MAX(N213:R213),N213:R213,0)))</f>
        <v>TVK</v>
      </c>
      <c r="T213" t="str">
        <f>INDEX({"TVK","AIADMK+BJP+PMK+AMMK","DMK+INC+VCK","NTK","NOTA"},MATCH(LARGE(N213:R213,2),N213:R213,0))</f>
        <v>AIADMK+BJP+PMK+AMMK</v>
      </c>
      <c r="U213">
        <f t="shared" si="33"/>
        <v>6.8</v>
      </c>
      <c r="V213" t="str">
        <f t="shared" si="34"/>
        <v>Lean</v>
      </c>
      <c r="W213" t="str">
        <f>IF(LARGE(I213:M213,1)=LARGE(I213:M213,2),"Tie",INDEX({"TVK","AIADMK+BJP+PMK+AMMK","DMK+INC+VCK","NTK","NOTA"},MATCH(MAX(I213:M213),I213:M213,0)))</f>
        <v>TVK</v>
      </c>
      <c r="X213" s="7">
        <f t="shared" si="35"/>
        <v>0.47537340587809651</v>
      </c>
      <c r="Y213" t="str">
        <f>IF(ISNUMBER(MATCH(A213,{"Maduravoyal","Ambattur","Madavaram","Thiruvottiyur","Sholinganallur","Alandur"},0)),"Chennai",B213)</f>
        <v>Tiruvannamalai</v>
      </c>
    </row>
    <row r="214" spans="1:25" x14ac:dyDescent="0.2">
      <c r="A214" s="3" t="s">
        <v>281</v>
      </c>
      <c r="B214" t="s">
        <v>281</v>
      </c>
      <c r="C214" s="11">
        <v>12</v>
      </c>
      <c r="D214" s="11">
        <v>7</v>
      </c>
      <c r="E214" s="11">
        <v>13</v>
      </c>
      <c r="F214" s="11">
        <v>1</v>
      </c>
      <c r="G214" s="11">
        <v>0</v>
      </c>
      <c r="H214">
        <f t="shared" si="27"/>
        <v>33</v>
      </c>
      <c r="I214" s="7">
        <f t="shared" si="28"/>
        <v>0.36363636363636365</v>
      </c>
      <c r="J214" s="7">
        <f t="shared" si="29"/>
        <v>0.21212121212121213</v>
      </c>
      <c r="K214" s="7">
        <f t="shared" si="30"/>
        <v>0.39393939393939392</v>
      </c>
      <c r="L214" s="7">
        <f t="shared" si="31"/>
        <v>3.0303030303030304E-2</v>
      </c>
      <c r="M214" s="7">
        <f t="shared" si="32"/>
        <v>0</v>
      </c>
      <c r="N214" s="7">
        <f>MAX(0,I214+'Statewide Votes'!$H$9/100)</f>
        <v>0.31900976951446014</v>
      </c>
      <c r="O214" s="7">
        <f>MAX(0,J214+'Statewide Votes'!$I$9/100)</f>
        <v>0.2195207186110382</v>
      </c>
      <c r="P214" s="7">
        <f>MAX(0,K214+'Statewide Votes'!$J$9/100)</f>
        <v>0.43828735006208952</v>
      </c>
      <c r="Q214" s="7">
        <f>MAX(0,L214+'Statewide Votes'!$K$9/100)</f>
        <v>2.1519713605270427E-2</v>
      </c>
      <c r="R214" s="7">
        <f>MAX(0,M214+'Statewide Votes'!$L$9/100)</f>
        <v>1.662448207141779E-3</v>
      </c>
      <c r="S214" t="str">
        <f>IF(U214=0,"Tie",INDEX({"TVK","AIADMK+BJP+PMK+AMMK","DMK+INC+VCK","NTK","NOTA"},MATCH(MAX(N214:R214),N214:R214,0)))</f>
        <v>DMK+INC+VCK</v>
      </c>
      <c r="T214" t="str">
        <f>INDEX({"TVK","AIADMK+BJP+PMK+AMMK","DMK+INC+VCK","NTK","NOTA"},MATCH(LARGE(N214:R214,2),N214:R214,0))</f>
        <v>TVK</v>
      </c>
      <c r="U214">
        <f t="shared" si="33"/>
        <v>11.9</v>
      </c>
      <c r="V214" t="str">
        <f t="shared" si="34"/>
        <v>Strong</v>
      </c>
      <c r="W214" t="str">
        <f>IF(LARGE(I214:M214,1)=LARGE(I214:M214,2),"Tie",INDEX({"TVK","AIADMK+BJP+PMK+AMMK","DMK+INC+VCK","NTK","NOTA"},MATCH(MAX(I214:M214),I214:M214,0)))</f>
        <v>DMK+INC+VCK</v>
      </c>
      <c r="X214" s="7">
        <f t="shared" si="35"/>
        <v>0.43828735006208952</v>
      </c>
      <c r="Y214" t="str">
        <f>IF(ISNUMBER(MATCH(A214,{"Maduravoyal","Ambattur","Madavaram","Thiruvottiyur","Sholinganallur","Alandur"},0)),"Chennai",B214)</f>
        <v>Tiruvannamalai</v>
      </c>
    </row>
    <row r="215" spans="1:25" x14ac:dyDescent="0.2">
      <c r="A215" s="3" t="s">
        <v>287</v>
      </c>
      <c r="B215" t="s">
        <v>281</v>
      </c>
      <c r="C215" s="11">
        <v>6</v>
      </c>
      <c r="D215" s="11">
        <v>3</v>
      </c>
      <c r="E215" s="11">
        <v>3</v>
      </c>
      <c r="F215" s="11">
        <v>0</v>
      </c>
      <c r="G215" s="11">
        <v>0</v>
      </c>
      <c r="H215">
        <f t="shared" si="27"/>
        <v>12</v>
      </c>
      <c r="I215" s="7">
        <f t="shared" si="28"/>
        <v>0.5</v>
      </c>
      <c r="J215" s="7">
        <f t="shared" si="29"/>
        <v>0.25</v>
      </c>
      <c r="K215" s="7">
        <f t="shared" si="30"/>
        <v>0.25</v>
      </c>
      <c r="L215" s="7">
        <f t="shared" si="31"/>
        <v>0</v>
      </c>
      <c r="M215" s="7">
        <f t="shared" si="32"/>
        <v>0</v>
      </c>
      <c r="N215" s="7">
        <f>MAX(0,I215+'Statewide Votes'!$H$9/100)</f>
        <v>0.45537340587809649</v>
      </c>
      <c r="O215" s="7">
        <f>MAX(0,J215+'Statewide Votes'!$I$9/100)</f>
        <v>0.25739950648982607</v>
      </c>
      <c r="P215" s="7">
        <f>MAX(0,K215+'Statewide Votes'!$J$9/100)</f>
        <v>0.2943479561226956</v>
      </c>
      <c r="Q215" s="7">
        <f>MAX(0,L215+'Statewide Votes'!$K$9/100)</f>
        <v>0</v>
      </c>
      <c r="R215" s="7">
        <f>MAX(0,M215+'Statewide Votes'!$L$9/100)</f>
        <v>1.662448207141779E-3</v>
      </c>
      <c r="S215" t="str">
        <f>IF(U215=0,"Tie",INDEX({"TVK","AIADMK+BJP+PMK+AMMK","DMK+INC+VCK","NTK","NOTA"},MATCH(MAX(N215:R215),N215:R215,0)))</f>
        <v>TVK</v>
      </c>
      <c r="T215" t="str">
        <f>INDEX({"TVK","AIADMK+BJP+PMK+AMMK","DMK+INC+VCK","NTK","NOTA"},MATCH(LARGE(N215:R215,2),N215:R215,0))</f>
        <v>DMK+INC+VCK</v>
      </c>
      <c r="U215">
        <f t="shared" si="33"/>
        <v>16.100000000000001</v>
      </c>
      <c r="V215" t="str">
        <f t="shared" si="34"/>
        <v>Lean</v>
      </c>
      <c r="W215" t="str">
        <f>IF(LARGE(I215:M215,1)=LARGE(I215:M215,2),"Tie",INDEX({"TVK","AIADMK+BJP+PMK+AMMK","DMK+INC+VCK","NTK","NOTA"},MATCH(MAX(I215:M215),I215:M215,0)))</f>
        <v>TVK</v>
      </c>
      <c r="X215" s="7">
        <f t="shared" si="35"/>
        <v>0.45537340587809649</v>
      </c>
      <c r="Y215" t="str">
        <f>IF(ISNUMBER(MATCH(A215,{"Maduravoyal","Ambattur","Madavaram","Thiruvottiyur","Sholinganallur","Alandur"},0)),"Chennai",B215)</f>
        <v>Tiruvannamalai</v>
      </c>
    </row>
    <row r="216" spans="1:25" x14ac:dyDescent="0.2">
      <c r="A216" s="3" t="s">
        <v>288</v>
      </c>
      <c r="B216" t="s">
        <v>289</v>
      </c>
      <c r="C216" s="11">
        <v>12</v>
      </c>
      <c r="D216" s="11">
        <v>17</v>
      </c>
      <c r="E216" s="11">
        <v>16</v>
      </c>
      <c r="F216" s="11">
        <v>7</v>
      </c>
      <c r="G216" s="11">
        <v>1</v>
      </c>
      <c r="H216">
        <f t="shared" si="27"/>
        <v>53</v>
      </c>
      <c r="I216" s="7">
        <f t="shared" si="28"/>
        <v>0.22641509433962265</v>
      </c>
      <c r="J216" s="7">
        <f t="shared" si="29"/>
        <v>0.32075471698113206</v>
      </c>
      <c r="K216" s="7">
        <f t="shared" si="30"/>
        <v>0.30188679245283018</v>
      </c>
      <c r="L216" s="7">
        <f t="shared" si="31"/>
        <v>0.13207547169811321</v>
      </c>
      <c r="M216" s="7">
        <f t="shared" si="32"/>
        <v>1.8867924528301886E-2</v>
      </c>
      <c r="N216" s="7">
        <f>MAX(0,I216+'Statewide Votes'!$H$9/100)</f>
        <v>0.18178850021771914</v>
      </c>
      <c r="O216" s="7">
        <f>MAX(0,J216+'Statewide Votes'!$I$9/100)</f>
        <v>0.32815422347095813</v>
      </c>
      <c r="P216" s="7">
        <f>MAX(0,K216+'Statewide Votes'!$J$9/100)</f>
        <v>0.34623474857552577</v>
      </c>
      <c r="Q216" s="7">
        <f>MAX(0,L216+'Statewide Votes'!$K$9/100)</f>
        <v>0.12329215500035333</v>
      </c>
      <c r="R216" s="7">
        <f>MAX(0,M216+'Statewide Votes'!$L$9/100)</f>
        <v>2.0530372735443666E-2</v>
      </c>
      <c r="S216" t="str">
        <f>IF(U216=0,"Tie",INDEX({"TVK","AIADMK+BJP+PMK+AMMK","DMK+INC+VCK","NTK","NOTA"},MATCH(MAX(N216:R216),N216:R216,0)))</f>
        <v>DMK+INC+VCK</v>
      </c>
      <c r="T216" t="str">
        <f>INDEX({"TVK","AIADMK+BJP+PMK+AMMK","DMK+INC+VCK","NTK","NOTA"},MATCH(LARGE(N216:R216,2),N216:R216,0))</f>
        <v>AIADMK+BJP+PMK+AMMK</v>
      </c>
      <c r="U216">
        <f t="shared" si="33"/>
        <v>1.8</v>
      </c>
      <c r="V216" t="str">
        <f t="shared" si="34"/>
        <v>Toss-up</v>
      </c>
      <c r="W216" t="str">
        <f>IF(LARGE(I216:M216,1)=LARGE(I216:M216,2),"Tie",INDEX({"TVK","AIADMK+BJP+PMK+AMMK","DMK+INC+VCK","NTK","NOTA"},MATCH(MAX(I216:M216),I216:M216,0)))</f>
        <v>AIADMK+BJP+PMK+AMMK</v>
      </c>
      <c r="X216" s="7">
        <f t="shared" si="35"/>
        <v>0.34623474857552577</v>
      </c>
      <c r="Y216" t="str">
        <f>IF(ISNUMBER(MATCH(A216,{"Maduravoyal","Ambattur","Madavaram","Thiruvottiyur","Sholinganallur","Alandur"},0)),"Chennai",B216)</f>
        <v>Tiruvarur</v>
      </c>
    </row>
    <row r="217" spans="1:25" x14ac:dyDescent="0.2">
      <c r="A217" s="3" t="s">
        <v>290</v>
      </c>
      <c r="B217" t="s">
        <v>289</v>
      </c>
      <c r="C217" s="11">
        <v>12</v>
      </c>
      <c r="D217" s="11">
        <v>9</v>
      </c>
      <c r="E217" s="11">
        <v>10</v>
      </c>
      <c r="F217" s="11">
        <v>7</v>
      </c>
      <c r="G217" s="11">
        <v>0</v>
      </c>
      <c r="H217">
        <f t="shared" si="27"/>
        <v>38</v>
      </c>
      <c r="I217" s="7">
        <f t="shared" si="28"/>
        <v>0.31578947368421051</v>
      </c>
      <c r="J217" s="7">
        <f t="shared" si="29"/>
        <v>0.23684210526315788</v>
      </c>
      <c r="K217" s="7">
        <f t="shared" si="30"/>
        <v>0.26315789473684209</v>
      </c>
      <c r="L217" s="7">
        <f t="shared" si="31"/>
        <v>0.18421052631578946</v>
      </c>
      <c r="M217" s="7">
        <f t="shared" si="32"/>
        <v>0</v>
      </c>
      <c r="N217" s="7">
        <f>MAX(0,I217+'Statewide Votes'!$H$9/100)</f>
        <v>0.271162879562307</v>
      </c>
      <c r="O217" s="7">
        <f>MAX(0,J217+'Statewide Votes'!$I$9/100)</f>
        <v>0.24424161175298395</v>
      </c>
      <c r="P217" s="7">
        <f>MAX(0,K217+'Statewide Votes'!$J$9/100)</f>
        <v>0.30750585085953769</v>
      </c>
      <c r="Q217" s="7">
        <f>MAX(0,L217+'Statewide Votes'!$K$9/100)</f>
        <v>0.1754272096180296</v>
      </c>
      <c r="R217" s="7">
        <f>MAX(0,M217+'Statewide Votes'!$L$9/100)</f>
        <v>1.662448207141779E-3</v>
      </c>
      <c r="S217" t="str">
        <f>IF(U217=0,"Tie",INDEX({"TVK","AIADMK+BJP+PMK+AMMK","DMK+INC+VCK","NTK","NOTA"},MATCH(MAX(N217:R217),N217:R217,0)))</f>
        <v>DMK+INC+VCK</v>
      </c>
      <c r="T217" t="str">
        <f>INDEX({"TVK","AIADMK+BJP+PMK+AMMK","DMK+INC+VCK","NTK","NOTA"},MATCH(LARGE(N217:R217,2),N217:R217,0))</f>
        <v>TVK</v>
      </c>
      <c r="U217">
        <f t="shared" si="33"/>
        <v>3.6</v>
      </c>
      <c r="V217" t="str">
        <f t="shared" si="34"/>
        <v>Toss-up</v>
      </c>
      <c r="W217" t="str">
        <f>IF(LARGE(I217:M217,1)=LARGE(I217:M217,2),"Tie",INDEX({"TVK","AIADMK+BJP+PMK+AMMK","DMK+INC+VCK","NTK","NOTA"},MATCH(MAX(I217:M217),I217:M217,0)))</f>
        <v>TVK</v>
      </c>
      <c r="X217" s="7">
        <f t="shared" si="35"/>
        <v>0.30750585085953769</v>
      </c>
      <c r="Y217" t="str">
        <f>IF(ISNUMBER(MATCH(A217,{"Maduravoyal","Ambattur","Madavaram","Thiruvottiyur","Sholinganallur","Alandur"},0)),"Chennai",B217)</f>
        <v>Tiruvarur</v>
      </c>
    </row>
    <row r="218" spans="1:25" x14ac:dyDescent="0.2">
      <c r="A218" s="3" t="s">
        <v>291</v>
      </c>
      <c r="B218" t="s">
        <v>289</v>
      </c>
      <c r="C218" s="11">
        <v>17</v>
      </c>
      <c r="D218" s="11">
        <v>2</v>
      </c>
      <c r="E218" s="11">
        <v>12</v>
      </c>
      <c r="F218" s="11">
        <v>2</v>
      </c>
      <c r="G218" s="11">
        <v>0</v>
      </c>
      <c r="H218">
        <f t="shared" si="27"/>
        <v>33</v>
      </c>
      <c r="I218" s="7">
        <f t="shared" si="28"/>
        <v>0.51515151515151514</v>
      </c>
      <c r="J218" s="7">
        <f t="shared" si="29"/>
        <v>6.0606060606060608E-2</v>
      </c>
      <c r="K218" s="7">
        <f t="shared" si="30"/>
        <v>0.36363636363636365</v>
      </c>
      <c r="L218" s="7">
        <f t="shared" si="31"/>
        <v>6.0606060606060608E-2</v>
      </c>
      <c r="M218" s="7">
        <f t="shared" si="32"/>
        <v>0</v>
      </c>
      <c r="N218" s="7">
        <f>MAX(0,I218+'Statewide Votes'!$H$9/100)</f>
        <v>0.47052492102961163</v>
      </c>
      <c r="O218" s="7">
        <f>MAX(0,J218+'Statewide Votes'!$I$9/100)</f>
        <v>6.8005567095886676E-2</v>
      </c>
      <c r="P218" s="7">
        <f>MAX(0,K218+'Statewide Votes'!$J$9/100)</f>
        <v>0.40798431975905924</v>
      </c>
      <c r="Q218" s="7">
        <f>MAX(0,L218+'Statewide Votes'!$K$9/100)</f>
        <v>5.1822743908300731E-2</v>
      </c>
      <c r="R218" s="7">
        <f>MAX(0,M218+'Statewide Votes'!$L$9/100)</f>
        <v>1.662448207141779E-3</v>
      </c>
      <c r="S218" t="str">
        <f>IF(U218=0,"Tie",INDEX({"TVK","AIADMK+BJP+PMK+AMMK","DMK+INC+VCK","NTK","NOTA"},MATCH(MAX(N218:R218),N218:R218,0)))</f>
        <v>TVK</v>
      </c>
      <c r="T218" t="str">
        <f>INDEX({"TVK","AIADMK+BJP+PMK+AMMK","DMK+INC+VCK","NTK","NOTA"},MATCH(LARGE(N218:R218,2),N218:R218,0))</f>
        <v>DMK+INC+VCK</v>
      </c>
      <c r="U218">
        <f t="shared" si="33"/>
        <v>6.3</v>
      </c>
      <c r="V218" t="str">
        <f t="shared" si="34"/>
        <v>Lean</v>
      </c>
      <c r="W218" t="str">
        <f>IF(LARGE(I218:M218,1)=LARGE(I218:M218,2),"Tie",INDEX({"TVK","AIADMK+BJP+PMK+AMMK","DMK+INC+VCK","NTK","NOTA"},MATCH(MAX(I218:M218),I218:M218,0)))</f>
        <v>TVK</v>
      </c>
      <c r="X218" s="7">
        <f t="shared" si="35"/>
        <v>0.47052492102961163</v>
      </c>
      <c r="Y218" t="str">
        <f>IF(ISNUMBER(MATCH(A218,{"Maduravoyal","Ambattur","Madavaram","Thiruvottiyur","Sholinganallur","Alandur"},0)),"Chennai",B218)</f>
        <v>Tiruvarur</v>
      </c>
    </row>
    <row r="219" spans="1:25" x14ac:dyDescent="0.2">
      <c r="A219" s="3" t="s">
        <v>292</v>
      </c>
      <c r="B219" t="s">
        <v>289</v>
      </c>
      <c r="C219" s="11">
        <v>11</v>
      </c>
      <c r="D219" s="11">
        <v>13</v>
      </c>
      <c r="E219" s="11">
        <v>15</v>
      </c>
      <c r="F219" s="11">
        <v>4</v>
      </c>
      <c r="G219" s="11">
        <v>0</v>
      </c>
      <c r="H219">
        <f t="shared" si="27"/>
        <v>43</v>
      </c>
      <c r="I219" s="7">
        <f t="shared" si="28"/>
        <v>0.2558139534883721</v>
      </c>
      <c r="J219" s="7">
        <f t="shared" si="29"/>
        <v>0.30232558139534882</v>
      </c>
      <c r="K219" s="7">
        <f t="shared" si="30"/>
        <v>0.34883720930232559</v>
      </c>
      <c r="L219" s="7">
        <f t="shared" si="31"/>
        <v>9.3023255813953487E-2</v>
      </c>
      <c r="M219" s="7">
        <f t="shared" si="32"/>
        <v>0</v>
      </c>
      <c r="N219" s="7">
        <f>MAX(0,I219+'Statewide Votes'!$H$9/100)</f>
        <v>0.2111873593664686</v>
      </c>
      <c r="O219" s="7">
        <f>MAX(0,J219+'Statewide Votes'!$I$9/100)</f>
        <v>0.30972508788517489</v>
      </c>
      <c r="P219" s="7">
        <f>MAX(0,K219+'Statewide Votes'!$J$9/100)</f>
        <v>0.39318516542502119</v>
      </c>
      <c r="Q219" s="7">
        <f>MAX(0,L219+'Statewide Votes'!$K$9/100)</f>
        <v>8.423993911619361E-2</v>
      </c>
      <c r="R219" s="7">
        <f>MAX(0,M219+'Statewide Votes'!$L$9/100)</f>
        <v>1.662448207141779E-3</v>
      </c>
      <c r="S219" t="str">
        <f>IF(U219=0,"Tie",INDEX({"TVK","AIADMK+BJP+PMK+AMMK","DMK+INC+VCK","NTK","NOTA"},MATCH(MAX(N219:R219),N219:R219,0)))</f>
        <v>DMK+INC+VCK</v>
      </c>
      <c r="T219" t="str">
        <f>INDEX({"TVK","AIADMK+BJP+PMK+AMMK","DMK+INC+VCK","NTK","NOTA"},MATCH(LARGE(N219:R219,2),N219:R219,0))</f>
        <v>AIADMK+BJP+PMK+AMMK</v>
      </c>
      <c r="U219">
        <f t="shared" si="33"/>
        <v>8.3000000000000007</v>
      </c>
      <c r="V219" t="str">
        <f t="shared" si="34"/>
        <v>Lean</v>
      </c>
      <c r="W219" t="str">
        <f>IF(LARGE(I219:M219,1)=LARGE(I219:M219,2),"Tie",INDEX({"TVK","AIADMK+BJP+PMK+AMMK","DMK+INC+VCK","NTK","NOTA"},MATCH(MAX(I219:M219),I219:M219,0)))</f>
        <v>DMK+INC+VCK</v>
      </c>
      <c r="X219" s="7">
        <f t="shared" si="35"/>
        <v>0.39318516542502119</v>
      </c>
      <c r="Y219" t="str">
        <f>IF(ISNUMBER(MATCH(A219,{"Maduravoyal","Ambattur","Madavaram","Thiruvottiyur","Sholinganallur","Alandur"},0)),"Chennai",B219)</f>
        <v>Tiruvarur</v>
      </c>
    </row>
    <row r="220" spans="1:25" x14ac:dyDescent="0.2">
      <c r="A220" s="3" t="s">
        <v>293</v>
      </c>
      <c r="B220" t="s">
        <v>294</v>
      </c>
      <c r="C220" s="11">
        <v>17</v>
      </c>
      <c r="D220" s="11">
        <v>10</v>
      </c>
      <c r="E220" s="11">
        <v>4</v>
      </c>
      <c r="F220" s="11">
        <v>0</v>
      </c>
      <c r="G220" s="11">
        <v>0</v>
      </c>
      <c r="H220">
        <f t="shared" si="27"/>
        <v>31</v>
      </c>
      <c r="I220" s="7">
        <f t="shared" si="28"/>
        <v>0.54838709677419351</v>
      </c>
      <c r="J220" s="7">
        <f t="shared" si="29"/>
        <v>0.32258064516129031</v>
      </c>
      <c r="K220" s="7">
        <f t="shared" si="30"/>
        <v>0.12903225806451613</v>
      </c>
      <c r="L220" s="7">
        <f t="shared" si="31"/>
        <v>0</v>
      </c>
      <c r="M220" s="7">
        <f t="shared" si="32"/>
        <v>0</v>
      </c>
      <c r="N220" s="7">
        <f>MAX(0,I220+'Statewide Votes'!$H$9/100)</f>
        <v>0.50376050265229</v>
      </c>
      <c r="O220" s="7">
        <f>MAX(0,J220+'Statewide Votes'!$I$9/100)</f>
        <v>0.32998015165111638</v>
      </c>
      <c r="P220" s="7">
        <f>MAX(0,K220+'Statewide Votes'!$J$9/100)</f>
        <v>0.17338021418721172</v>
      </c>
      <c r="Q220" s="7">
        <f>MAX(0,L220+'Statewide Votes'!$K$9/100)</f>
        <v>0</v>
      </c>
      <c r="R220" s="7">
        <f>MAX(0,M220+'Statewide Votes'!$L$9/100)</f>
        <v>1.662448207141779E-3</v>
      </c>
      <c r="S220" t="str">
        <f>IF(U220=0,"Tie",INDEX({"TVK","AIADMK+BJP+PMK+AMMK","DMK+INC+VCK","NTK","NOTA"},MATCH(MAX(N220:R220),N220:R220,0)))</f>
        <v>TVK</v>
      </c>
      <c r="T220" t="str">
        <f>INDEX({"TVK","AIADMK+BJP+PMK+AMMK","DMK+INC+VCK","NTK","NOTA"},MATCH(LARGE(N220:R220,2),N220:R220,0))</f>
        <v>AIADMK+BJP+PMK+AMMK</v>
      </c>
      <c r="U220">
        <f t="shared" si="33"/>
        <v>17.399999999999999</v>
      </c>
      <c r="V220" t="str">
        <f t="shared" si="34"/>
        <v>Strong</v>
      </c>
      <c r="W220" t="str">
        <f>IF(LARGE(I220:M220,1)=LARGE(I220:M220,2),"Tie",INDEX({"TVK","AIADMK+BJP+PMK+AMMK","DMK+INC+VCK","NTK","NOTA"},MATCH(MAX(I220:M220),I220:M220,0)))</f>
        <v>TVK</v>
      </c>
      <c r="X220" s="7">
        <f t="shared" si="35"/>
        <v>0.50376050265229</v>
      </c>
      <c r="Y220" t="str">
        <f>IF(ISNUMBER(MATCH(A220,{"Maduravoyal","Ambattur","Madavaram","Thiruvottiyur","Sholinganallur","Alandur"},0)),"Chennai",B220)</f>
        <v>Vellore</v>
      </c>
    </row>
    <row r="221" spans="1:25" x14ac:dyDescent="0.2">
      <c r="A221" s="3" t="s">
        <v>295</v>
      </c>
      <c r="B221" t="s">
        <v>294</v>
      </c>
      <c r="C221" s="11">
        <v>16</v>
      </c>
      <c r="D221" s="11">
        <v>7</v>
      </c>
      <c r="E221" s="11">
        <v>9</v>
      </c>
      <c r="F221" s="11">
        <v>1</v>
      </c>
      <c r="G221" s="11">
        <v>0</v>
      </c>
      <c r="H221">
        <f t="shared" si="27"/>
        <v>33</v>
      </c>
      <c r="I221" s="7">
        <f t="shared" si="28"/>
        <v>0.48484848484848486</v>
      </c>
      <c r="J221" s="7">
        <f t="shared" si="29"/>
        <v>0.21212121212121213</v>
      </c>
      <c r="K221" s="7">
        <f t="shared" si="30"/>
        <v>0.27272727272727271</v>
      </c>
      <c r="L221" s="7">
        <f t="shared" si="31"/>
        <v>3.0303030303030304E-2</v>
      </c>
      <c r="M221" s="7">
        <f t="shared" si="32"/>
        <v>0</v>
      </c>
      <c r="N221" s="7">
        <f>MAX(0,I221+'Statewide Votes'!$H$9/100)</f>
        <v>0.44022189072658136</v>
      </c>
      <c r="O221" s="7">
        <f>MAX(0,J221+'Statewide Votes'!$I$9/100)</f>
        <v>0.2195207186110382</v>
      </c>
      <c r="P221" s="7">
        <f>MAX(0,K221+'Statewide Votes'!$J$9/100)</f>
        <v>0.3170752288499683</v>
      </c>
      <c r="Q221" s="7">
        <f>MAX(0,L221+'Statewide Votes'!$K$9/100)</f>
        <v>2.1519713605270427E-2</v>
      </c>
      <c r="R221" s="7">
        <f>MAX(0,M221+'Statewide Votes'!$L$9/100)</f>
        <v>1.662448207141779E-3</v>
      </c>
      <c r="S221" t="str">
        <f>IF(U221=0,"Tie",INDEX({"TVK","AIADMK+BJP+PMK+AMMK","DMK+INC+VCK","NTK","NOTA"},MATCH(MAX(N221:R221),N221:R221,0)))</f>
        <v>TVK</v>
      </c>
      <c r="T221" t="str">
        <f>INDEX({"TVK","AIADMK+BJP+PMK+AMMK","DMK+INC+VCK","NTK","NOTA"},MATCH(LARGE(N221:R221,2),N221:R221,0))</f>
        <v>DMK+INC+VCK</v>
      </c>
      <c r="U221">
        <f t="shared" si="33"/>
        <v>12.3</v>
      </c>
      <c r="V221" t="str">
        <f t="shared" si="34"/>
        <v>Strong</v>
      </c>
      <c r="W221" t="str">
        <f>IF(LARGE(I221:M221,1)=LARGE(I221:M221,2),"Tie",INDEX({"TVK","AIADMK+BJP+PMK+AMMK","DMK+INC+VCK","NTK","NOTA"},MATCH(MAX(I221:M221),I221:M221,0)))</f>
        <v>TVK</v>
      </c>
      <c r="X221" s="7">
        <f t="shared" si="35"/>
        <v>0.44022189072658136</v>
      </c>
      <c r="Y221" t="str">
        <f>IF(ISNUMBER(MATCH(A221,{"Maduravoyal","Ambattur","Madavaram","Thiruvottiyur","Sholinganallur","Alandur"},0)),"Chennai",B221)</f>
        <v>Vellore</v>
      </c>
    </row>
    <row r="222" spans="1:25" x14ac:dyDescent="0.2">
      <c r="A222" s="3" t="s">
        <v>296</v>
      </c>
      <c r="B222" t="s">
        <v>294</v>
      </c>
      <c r="C222" s="11">
        <v>7</v>
      </c>
      <c r="D222" s="11">
        <v>24</v>
      </c>
      <c r="E222" s="11">
        <v>10</v>
      </c>
      <c r="F222" s="11">
        <v>3</v>
      </c>
      <c r="G222" s="11">
        <v>0</v>
      </c>
      <c r="H222">
        <f t="shared" si="27"/>
        <v>44</v>
      </c>
      <c r="I222" s="7">
        <f t="shared" si="28"/>
        <v>0.15909090909090909</v>
      </c>
      <c r="J222" s="7">
        <f t="shared" si="29"/>
        <v>0.54545454545454541</v>
      </c>
      <c r="K222" s="7">
        <f t="shared" si="30"/>
        <v>0.22727272727272727</v>
      </c>
      <c r="L222" s="7">
        <f t="shared" si="31"/>
        <v>6.8181818181818177E-2</v>
      </c>
      <c r="M222" s="7">
        <f t="shared" si="32"/>
        <v>0</v>
      </c>
      <c r="N222" s="7">
        <f>MAX(0,I222+'Statewide Votes'!$H$9/100)</f>
        <v>0.11446431496900558</v>
      </c>
      <c r="O222" s="7">
        <f>MAX(0,J222+'Statewide Votes'!$I$9/100)</f>
        <v>0.55285405194437143</v>
      </c>
      <c r="P222" s="7">
        <f>MAX(0,K222+'Statewide Votes'!$J$9/100)</f>
        <v>0.27162068339542289</v>
      </c>
      <c r="Q222" s="7">
        <f>MAX(0,L222+'Statewide Votes'!$K$9/100)</f>
        <v>5.93985014840583E-2</v>
      </c>
      <c r="R222" s="7">
        <f>MAX(0,M222+'Statewide Votes'!$L$9/100)</f>
        <v>1.662448207141779E-3</v>
      </c>
      <c r="S222" t="str">
        <f>IF(U222=0,"Tie",INDEX({"TVK","AIADMK+BJP+PMK+AMMK","DMK+INC+VCK","NTK","NOTA"},MATCH(MAX(N222:R222),N222:R222,0)))</f>
        <v>AIADMK+BJP+PMK+AMMK</v>
      </c>
      <c r="T222" t="str">
        <f>INDEX({"TVK","AIADMK+BJP+PMK+AMMK","DMK+INC+VCK","NTK","NOTA"},MATCH(LARGE(N222:R222,2),N222:R222,0))</f>
        <v>DMK+INC+VCK</v>
      </c>
      <c r="U222">
        <f t="shared" si="33"/>
        <v>28.1</v>
      </c>
      <c r="V222" t="str">
        <f t="shared" si="34"/>
        <v>Strong</v>
      </c>
      <c r="W222" t="str">
        <f>IF(LARGE(I222:M222,1)=LARGE(I222:M222,2),"Tie",INDEX({"TVK","AIADMK+BJP+PMK+AMMK","DMK+INC+VCK","NTK","NOTA"},MATCH(MAX(I222:M222),I222:M222,0)))</f>
        <v>AIADMK+BJP+PMK+AMMK</v>
      </c>
      <c r="X222" s="7">
        <f t="shared" si="35"/>
        <v>0.55285405194437143</v>
      </c>
      <c r="Y222" t="str">
        <f>IF(ISNUMBER(MATCH(A222,{"Maduravoyal","Ambattur","Madavaram","Thiruvottiyur","Sholinganallur","Alandur"},0)),"Chennai",B222)</f>
        <v>Vellore</v>
      </c>
    </row>
    <row r="223" spans="1:25" x14ac:dyDescent="0.2">
      <c r="A223" s="3" t="s">
        <v>297</v>
      </c>
      <c r="B223" t="s">
        <v>294</v>
      </c>
      <c r="C223" s="11">
        <v>11</v>
      </c>
      <c r="D223" s="11">
        <v>4</v>
      </c>
      <c r="E223" s="11">
        <v>5</v>
      </c>
      <c r="F223" s="11">
        <v>2</v>
      </c>
      <c r="G223" s="11">
        <v>0</v>
      </c>
      <c r="H223">
        <f t="shared" si="27"/>
        <v>22</v>
      </c>
      <c r="I223" s="7">
        <f t="shared" si="28"/>
        <v>0.5</v>
      </c>
      <c r="J223" s="7">
        <f t="shared" si="29"/>
        <v>0.18181818181818182</v>
      </c>
      <c r="K223" s="7">
        <f t="shared" si="30"/>
        <v>0.22727272727272727</v>
      </c>
      <c r="L223" s="7">
        <f t="shared" si="31"/>
        <v>9.0909090909090912E-2</v>
      </c>
      <c r="M223" s="7">
        <f t="shared" si="32"/>
        <v>0</v>
      </c>
      <c r="N223" s="7">
        <f>MAX(0,I223+'Statewide Votes'!$H$9/100)</f>
        <v>0.45537340587809649</v>
      </c>
      <c r="O223" s="7">
        <f>MAX(0,J223+'Statewide Votes'!$I$9/100)</f>
        <v>0.18921768830800789</v>
      </c>
      <c r="P223" s="7">
        <f>MAX(0,K223+'Statewide Votes'!$J$9/100)</f>
        <v>0.27162068339542289</v>
      </c>
      <c r="Q223" s="7">
        <f>MAX(0,L223+'Statewide Votes'!$K$9/100)</f>
        <v>8.2125774211331035E-2</v>
      </c>
      <c r="R223" s="7">
        <f>MAX(0,M223+'Statewide Votes'!$L$9/100)</f>
        <v>1.662448207141779E-3</v>
      </c>
      <c r="S223" t="str">
        <f>IF(U223=0,"Tie",INDEX({"TVK","AIADMK+BJP+PMK+AMMK","DMK+INC+VCK","NTK","NOTA"},MATCH(MAX(N223:R223),N223:R223,0)))</f>
        <v>TVK</v>
      </c>
      <c r="T223" t="str">
        <f>INDEX({"TVK","AIADMK+BJP+PMK+AMMK","DMK+INC+VCK","NTK","NOTA"},MATCH(LARGE(N223:R223,2),N223:R223,0))</f>
        <v>DMK+INC+VCK</v>
      </c>
      <c r="U223">
        <f t="shared" si="33"/>
        <v>18.399999999999999</v>
      </c>
      <c r="V223" t="str">
        <f t="shared" si="34"/>
        <v>Lean</v>
      </c>
      <c r="W223" t="str">
        <f>IF(LARGE(I223:M223,1)=LARGE(I223:M223,2),"Tie",INDEX({"TVK","AIADMK+BJP+PMK+AMMK","DMK+INC+VCK","NTK","NOTA"},MATCH(MAX(I223:M223),I223:M223,0)))</f>
        <v>TVK</v>
      </c>
      <c r="X223" s="7">
        <f t="shared" si="35"/>
        <v>0.45537340587809649</v>
      </c>
      <c r="Y223" t="str">
        <f>IF(ISNUMBER(MATCH(A223,{"Maduravoyal","Ambattur","Madavaram","Thiruvottiyur","Sholinganallur","Alandur"},0)),"Chennai",B223)</f>
        <v>Vellore</v>
      </c>
    </row>
    <row r="224" spans="1:25" x14ac:dyDescent="0.2">
      <c r="A224" s="3" t="s">
        <v>294</v>
      </c>
      <c r="B224" t="s">
        <v>294</v>
      </c>
      <c r="C224" s="11">
        <v>22</v>
      </c>
      <c r="D224" s="11">
        <v>9</v>
      </c>
      <c r="E224" s="11">
        <v>20</v>
      </c>
      <c r="F224" s="11">
        <v>3</v>
      </c>
      <c r="G224" s="11">
        <v>0</v>
      </c>
      <c r="H224">
        <f t="shared" si="27"/>
        <v>54</v>
      </c>
      <c r="I224" s="7">
        <f t="shared" si="28"/>
        <v>0.40740740740740738</v>
      </c>
      <c r="J224" s="7">
        <f t="shared" si="29"/>
        <v>0.16666666666666666</v>
      </c>
      <c r="K224" s="7">
        <f t="shared" si="30"/>
        <v>0.37037037037037035</v>
      </c>
      <c r="L224" s="7">
        <f t="shared" si="31"/>
        <v>5.5555555555555552E-2</v>
      </c>
      <c r="M224" s="7">
        <f t="shared" si="32"/>
        <v>0</v>
      </c>
      <c r="N224" s="7">
        <f>MAX(0,I224+'Statewide Votes'!$H$9/100)</f>
        <v>0.36278081328550388</v>
      </c>
      <c r="O224" s="7">
        <f>MAX(0,J224+'Statewide Votes'!$I$9/100)</f>
        <v>0.17406617315649273</v>
      </c>
      <c r="P224" s="7">
        <f>MAX(0,K224+'Statewide Votes'!$J$9/100)</f>
        <v>0.41471832649306595</v>
      </c>
      <c r="Q224" s="7">
        <f>MAX(0,L224+'Statewide Votes'!$K$9/100)</f>
        <v>4.6772238857795675E-2</v>
      </c>
      <c r="R224" s="7">
        <f>MAX(0,M224+'Statewide Votes'!$L$9/100)</f>
        <v>1.662448207141779E-3</v>
      </c>
      <c r="S224" t="str">
        <f>IF(U224=0,"Tie",INDEX({"TVK","AIADMK+BJP+PMK+AMMK","DMK+INC+VCK","NTK","NOTA"},MATCH(MAX(N224:R224),N224:R224,0)))</f>
        <v>DMK+INC+VCK</v>
      </c>
      <c r="T224" t="str">
        <f>INDEX({"TVK","AIADMK+BJP+PMK+AMMK","DMK+INC+VCK","NTK","NOTA"},MATCH(LARGE(N224:R224,2),N224:R224,0))</f>
        <v>TVK</v>
      </c>
      <c r="U224">
        <f t="shared" si="33"/>
        <v>5.2</v>
      </c>
      <c r="V224" t="str">
        <f t="shared" si="34"/>
        <v>Lean</v>
      </c>
      <c r="W224" t="str">
        <f>IF(LARGE(I224:M224,1)=LARGE(I224:M224,2),"Tie",INDEX({"TVK","AIADMK+BJP+PMK+AMMK","DMK+INC+VCK","NTK","NOTA"},MATCH(MAX(I224:M224),I224:M224,0)))</f>
        <v>TVK</v>
      </c>
      <c r="X224" s="7">
        <f t="shared" si="35"/>
        <v>0.41471832649306595</v>
      </c>
      <c r="Y224" t="str">
        <f>IF(ISNUMBER(MATCH(A224,{"Maduravoyal","Ambattur","Madavaram","Thiruvottiyur","Sholinganallur","Alandur"},0)),"Chennai",B224)</f>
        <v>Vellore</v>
      </c>
    </row>
    <row r="225" spans="1:25" x14ac:dyDescent="0.2">
      <c r="A225" s="3" t="s">
        <v>298</v>
      </c>
      <c r="B225" t="s">
        <v>299</v>
      </c>
      <c r="C225" s="11">
        <v>6</v>
      </c>
      <c r="D225" s="11">
        <v>11</v>
      </c>
      <c r="E225" s="11">
        <v>6</v>
      </c>
      <c r="F225" s="11">
        <v>4</v>
      </c>
      <c r="G225" s="11">
        <v>0</v>
      </c>
      <c r="H225">
        <f t="shared" si="27"/>
        <v>27</v>
      </c>
      <c r="I225" s="7">
        <f t="shared" si="28"/>
        <v>0.22222222222222221</v>
      </c>
      <c r="J225" s="7">
        <f t="shared" si="29"/>
        <v>0.40740740740740738</v>
      </c>
      <c r="K225" s="7">
        <f t="shared" si="30"/>
        <v>0.22222222222222221</v>
      </c>
      <c r="L225" s="7">
        <f t="shared" si="31"/>
        <v>0.14814814814814814</v>
      </c>
      <c r="M225" s="7">
        <f t="shared" si="32"/>
        <v>0</v>
      </c>
      <c r="N225" s="7">
        <f>MAX(0,I225+'Statewide Votes'!$H$9/100)</f>
        <v>0.1775956281003187</v>
      </c>
      <c r="O225" s="7">
        <f>MAX(0,J225+'Statewide Votes'!$I$9/100)</f>
        <v>0.41480691389723345</v>
      </c>
      <c r="P225" s="7">
        <f>MAX(0,K225+'Statewide Votes'!$J$9/100)</f>
        <v>0.26657017834491781</v>
      </c>
      <c r="Q225" s="7">
        <f>MAX(0,L225+'Statewide Votes'!$K$9/100)</f>
        <v>0.13936483145038825</v>
      </c>
      <c r="R225" s="7">
        <f>MAX(0,M225+'Statewide Votes'!$L$9/100)</f>
        <v>1.662448207141779E-3</v>
      </c>
      <c r="S225" t="str">
        <f>IF(U225=0,"Tie",INDEX({"TVK","AIADMK+BJP+PMK+AMMK","DMK+INC+VCK","NTK","NOTA"},MATCH(MAX(N225:R225),N225:R225,0)))</f>
        <v>AIADMK+BJP+PMK+AMMK</v>
      </c>
      <c r="T225" t="str">
        <f>INDEX({"TVK","AIADMK+BJP+PMK+AMMK","DMK+INC+VCK","NTK","NOTA"},MATCH(LARGE(N225:R225,2),N225:R225,0))</f>
        <v>DMK+INC+VCK</v>
      </c>
      <c r="U225">
        <f t="shared" si="33"/>
        <v>14.8</v>
      </c>
      <c r="V225" t="str">
        <f t="shared" si="34"/>
        <v>Lean</v>
      </c>
      <c r="W225" t="str">
        <f>IF(LARGE(I225:M225,1)=LARGE(I225:M225,2),"Tie",INDEX({"TVK","AIADMK+BJP+PMK+AMMK","DMK+INC+VCK","NTK","NOTA"},MATCH(MAX(I225:M225),I225:M225,0)))</f>
        <v>AIADMK+BJP+PMK+AMMK</v>
      </c>
      <c r="X225" s="7">
        <f t="shared" si="35"/>
        <v>0.41480691389723345</v>
      </c>
      <c r="Y225" t="str">
        <f>IF(ISNUMBER(MATCH(A225,{"Maduravoyal","Ambattur","Madavaram","Thiruvottiyur","Sholinganallur","Alandur"},0)),"Chennai",B225)</f>
        <v>Villupuram</v>
      </c>
    </row>
    <row r="226" spans="1:25" x14ac:dyDescent="0.2">
      <c r="A226" s="3" t="s">
        <v>300</v>
      </c>
      <c r="B226" t="s">
        <v>299</v>
      </c>
      <c r="C226" s="11">
        <v>5</v>
      </c>
      <c r="D226" s="11">
        <v>7</v>
      </c>
      <c r="E226" s="11">
        <v>1</v>
      </c>
      <c r="F226" s="11">
        <v>0</v>
      </c>
      <c r="G226" s="11">
        <v>0</v>
      </c>
      <c r="H226">
        <f t="shared" si="27"/>
        <v>13</v>
      </c>
      <c r="I226" s="7">
        <f t="shared" si="28"/>
        <v>0.38461538461538464</v>
      </c>
      <c r="J226" s="7">
        <f t="shared" si="29"/>
        <v>0.53846153846153844</v>
      </c>
      <c r="K226" s="7">
        <f t="shared" si="30"/>
        <v>7.6923076923076927E-2</v>
      </c>
      <c r="L226" s="7">
        <f t="shared" si="31"/>
        <v>0</v>
      </c>
      <c r="M226" s="7">
        <f t="shared" si="32"/>
        <v>0</v>
      </c>
      <c r="N226" s="7">
        <f>MAX(0,I226+'Statewide Votes'!$H$9/100)</f>
        <v>0.33998879049348113</v>
      </c>
      <c r="O226" s="7">
        <f>MAX(0,J226+'Statewide Votes'!$I$9/100)</f>
        <v>0.54586104495136456</v>
      </c>
      <c r="P226" s="7">
        <f>MAX(0,K226+'Statewide Votes'!$J$9/100)</f>
        <v>0.12127103304577252</v>
      </c>
      <c r="Q226" s="7">
        <f>MAX(0,L226+'Statewide Votes'!$K$9/100)</f>
        <v>0</v>
      </c>
      <c r="R226" s="7">
        <f>MAX(0,M226+'Statewide Votes'!$L$9/100)</f>
        <v>1.662448207141779E-3</v>
      </c>
      <c r="S226" t="str">
        <f>IF(U226=0,"Tie",INDEX({"TVK","AIADMK+BJP+PMK+AMMK","DMK+INC+VCK","NTK","NOTA"},MATCH(MAX(N226:R226),N226:R226,0)))</f>
        <v>AIADMK+BJP+PMK+AMMK</v>
      </c>
      <c r="T226" t="str">
        <f>INDEX({"TVK","AIADMK+BJP+PMK+AMMK","DMK+INC+VCK","NTK","NOTA"},MATCH(LARGE(N226:R226,2),N226:R226,0))</f>
        <v>TVK</v>
      </c>
      <c r="U226">
        <f t="shared" si="33"/>
        <v>20.6</v>
      </c>
      <c r="V226" t="str">
        <f t="shared" si="34"/>
        <v>Lean</v>
      </c>
      <c r="W226" t="str">
        <f>IF(LARGE(I226:M226,1)=LARGE(I226:M226,2),"Tie",INDEX({"TVK","AIADMK+BJP+PMK+AMMK","DMK+INC+VCK","NTK","NOTA"},MATCH(MAX(I226:M226),I226:M226,0)))</f>
        <v>AIADMK+BJP+PMK+AMMK</v>
      </c>
      <c r="X226" s="7">
        <f t="shared" si="35"/>
        <v>0.54586104495136456</v>
      </c>
      <c r="Y226" t="str">
        <f>IF(ISNUMBER(MATCH(A226,{"Maduravoyal","Ambattur","Madavaram","Thiruvottiyur","Sholinganallur","Alandur"},0)),"Chennai",B226)</f>
        <v>Villupuram</v>
      </c>
    </row>
    <row r="227" spans="1:25" x14ac:dyDescent="0.2">
      <c r="A227" s="3" t="s">
        <v>301</v>
      </c>
      <c r="B227" t="s">
        <v>299</v>
      </c>
      <c r="C227" s="11">
        <v>4</v>
      </c>
      <c r="D227" s="11">
        <v>2</v>
      </c>
      <c r="E227" s="11">
        <v>6</v>
      </c>
      <c r="F227" s="11">
        <v>1</v>
      </c>
      <c r="G227" s="11">
        <v>0</v>
      </c>
      <c r="H227">
        <f t="shared" si="27"/>
        <v>13</v>
      </c>
      <c r="I227" s="7">
        <f t="shared" si="28"/>
        <v>0.30769230769230771</v>
      </c>
      <c r="J227" s="7">
        <f t="shared" si="29"/>
        <v>0.15384615384615385</v>
      </c>
      <c r="K227" s="7">
        <f t="shared" si="30"/>
        <v>0.46153846153846156</v>
      </c>
      <c r="L227" s="7">
        <f t="shared" si="31"/>
        <v>7.6923076923076927E-2</v>
      </c>
      <c r="M227" s="7">
        <f t="shared" si="32"/>
        <v>0</v>
      </c>
      <c r="N227" s="7">
        <f>MAX(0,I227+'Statewide Votes'!$H$9/100)</f>
        <v>0.2630657135704042</v>
      </c>
      <c r="O227" s="7">
        <f>MAX(0,J227+'Statewide Votes'!$I$9/100)</f>
        <v>0.16124566033597992</v>
      </c>
      <c r="P227" s="7">
        <f>MAX(0,K227+'Statewide Votes'!$J$9/100)</f>
        <v>0.50588641766115716</v>
      </c>
      <c r="Q227" s="7">
        <f>MAX(0,L227+'Statewide Votes'!$K$9/100)</f>
        <v>6.813976022531705E-2</v>
      </c>
      <c r="R227" s="7">
        <f>MAX(0,M227+'Statewide Votes'!$L$9/100)</f>
        <v>1.662448207141779E-3</v>
      </c>
      <c r="S227" t="str">
        <f>IF(U227=0,"Tie",INDEX({"TVK","AIADMK+BJP+PMK+AMMK","DMK+INC+VCK","NTK","NOTA"},MATCH(MAX(N227:R227),N227:R227,0)))</f>
        <v>DMK+INC+VCK</v>
      </c>
      <c r="T227" t="str">
        <f>INDEX({"TVK","AIADMK+BJP+PMK+AMMK","DMK+INC+VCK","NTK","NOTA"},MATCH(LARGE(N227:R227,2),N227:R227,0))</f>
        <v>TVK</v>
      </c>
      <c r="U227">
        <f t="shared" si="33"/>
        <v>24.3</v>
      </c>
      <c r="V227" t="str">
        <f t="shared" si="34"/>
        <v>Lean</v>
      </c>
      <c r="W227" t="str">
        <f>IF(LARGE(I227:M227,1)=LARGE(I227:M227,2),"Tie",INDEX({"TVK","AIADMK+BJP+PMK+AMMK","DMK+INC+VCK","NTK","NOTA"},MATCH(MAX(I227:M227),I227:M227,0)))</f>
        <v>DMK+INC+VCK</v>
      </c>
      <c r="X227" s="7">
        <f t="shared" si="35"/>
        <v>0.50588641766115716</v>
      </c>
      <c r="Y227" t="str">
        <f>IF(ISNUMBER(MATCH(A227,{"Maduravoyal","Ambattur","Madavaram","Thiruvottiyur","Sholinganallur","Alandur"},0)),"Chennai",B227)</f>
        <v>Villupuram</v>
      </c>
    </row>
    <row r="228" spans="1:25" x14ac:dyDescent="0.2">
      <c r="A228" s="3" t="s">
        <v>302</v>
      </c>
      <c r="B228" t="s">
        <v>299</v>
      </c>
      <c r="C228" s="11">
        <v>7</v>
      </c>
      <c r="D228" s="11">
        <v>7</v>
      </c>
      <c r="E228" s="11">
        <v>4</v>
      </c>
      <c r="F228" s="11">
        <v>2</v>
      </c>
      <c r="G228" s="11">
        <v>0</v>
      </c>
      <c r="H228">
        <f t="shared" si="27"/>
        <v>20</v>
      </c>
      <c r="I228" s="7">
        <f t="shared" si="28"/>
        <v>0.35</v>
      </c>
      <c r="J228" s="7">
        <f t="shared" si="29"/>
        <v>0.35</v>
      </c>
      <c r="K228" s="7">
        <f t="shared" si="30"/>
        <v>0.2</v>
      </c>
      <c r="L228" s="7">
        <f t="shared" si="31"/>
        <v>0.1</v>
      </c>
      <c r="M228" s="7">
        <f t="shared" si="32"/>
        <v>0</v>
      </c>
      <c r="N228" s="7">
        <f>MAX(0,I228+'Statewide Votes'!$H$9/100)</f>
        <v>0.30537340587809647</v>
      </c>
      <c r="O228" s="7">
        <f>MAX(0,J228+'Statewide Votes'!$I$9/100)</f>
        <v>0.35739950648982605</v>
      </c>
      <c r="P228" s="7">
        <f>MAX(0,K228+'Statewide Votes'!$J$9/100)</f>
        <v>0.24434795612269561</v>
      </c>
      <c r="Q228" s="7">
        <f>MAX(0,L228+'Statewide Votes'!$K$9/100)</f>
        <v>9.1216683302240129E-2</v>
      </c>
      <c r="R228" s="7">
        <f>MAX(0,M228+'Statewide Votes'!$L$9/100)</f>
        <v>1.662448207141779E-3</v>
      </c>
      <c r="S228" t="str">
        <f>IF(U228=0,"Tie",INDEX({"TVK","AIADMK+BJP+PMK+AMMK","DMK+INC+VCK","NTK","NOTA"},MATCH(MAX(N228:R228),N228:R228,0)))</f>
        <v>AIADMK+BJP+PMK+AMMK</v>
      </c>
      <c r="T228" t="str">
        <f>INDEX({"TVK","AIADMK+BJP+PMK+AMMK","DMK+INC+VCK","NTK","NOTA"},MATCH(LARGE(N228:R228,2),N228:R228,0))</f>
        <v>TVK</v>
      </c>
      <c r="U228">
        <f t="shared" si="33"/>
        <v>5.2</v>
      </c>
      <c r="V228" t="str">
        <f t="shared" si="34"/>
        <v>Lean</v>
      </c>
      <c r="W228" t="str">
        <f>IF(LARGE(I228:M228,1)=LARGE(I228:M228,2),"Tie",INDEX({"TVK","AIADMK+BJP+PMK+AMMK","DMK+INC+VCK","NTK","NOTA"},MATCH(MAX(I228:M228),I228:M228,0)))</f>
        <v>Tie</v>
      </c>
      <c r="X228" s="7">
        <f t="shared" si="35"/>
        <v>0.35739950648982605</v>
      </c>
      <c r="Y228" t="str">
        <f>IF(ISNUMBER(MATCH(A228,{"Maduravoyal","Ambattur","Madavaram","Thiruvottiyur","Sholinganallur","Alandur"},0)),"Chennai",B228)</f>
        <v>Villupuram</v>
      </c>
    </row>
    <row r="229" spans="1:25" x14ac:dyDescent="0.2">
      <c r="A229" s="3" t="s">
        <v>303</v>
      </c>
      <c r="B229" t="s">
        <v>299</v>
      </c>
      <c r="C229" s="11">
        <v>9</v>
      </c>
      <c r="D229" s="11">
        <v>10</v>
      </c>
      <c r="E229" s="11">
        <v>8</v>
      </c>
      <c r="F229" s="11">
        <v>1</v>
      </c>
      <c r="G229" s="11">
        <v>0</v>
      </c>
      <c r="H229">
        <f t="shared" si="27"/>
        <v>28</v>
      </c>
      <c r="I229" s="7">
        <f t="shared" si="28"/>
        <v>0.32142857142857145</v>
      </c>
      <c r="J229" s="7">
        <f t="shared" si="29"/>
        <v>0.35714285714285715</v>
      </c>
      <c r="K229" s="7">
        <f t="shared" si="30"/>
        <v>0.2857142857142857</v>
      </c>
      <c r="L229" s="7">
        <f t="shared" si="31"/>
        <v>3.5714285714285712E-2</v>
      </c>
      <c r="M229" s="7">
        <f t="shared" si="32"/>
        <v>0</v>
      </c>
      <c r="N229" s="7">
        <f>MAX(0,I229+'Statewide Votes'!$H$9/100)</f>
        <v>0.27680197730666795</v>
      </c>
      <c r="O229" s="7">
        <f>MAX(0,J229+'Statewide Votes'!$I$9/100)</f>
        <v>0.36454236363268322</v>
      </c>
      <c r="P229" s="7">
        <f>MAX(0,K229+'Statewide Votes'!$J$9/100)</f>
        <v>0.3300622418369813</v>
      </c>
      <c r="Q229" s="7">
        <f>MAX(0,L229+'Statewide Votes'!$K$9/100)</f>
        <v>2.6930969016525835E-2</v>
      </c>
      <c r="R229" s="7">
        <f>MAX(0,M229+'Statewide Votes'!$L$9/100)</f>
        <v>1.662448207141779E-3</v>
      </c>
      <c r="S229" t="str">
        <f>IF(U229=0,"Tie",INDEX({"TVK","AIADMK+BJP+PMK+AMMK","DMK+INC+VCK","NTK","NOTA"},MATCH(MAX(N229:R229),N229:R229,0)))</f>
        <v>AIADMK+BJP+PMK+AMMK</v>
      </c>
      <c r="T229" t="str">
        <f>INDEX({"TVK","AIADMK+BJP+PMK+AMMK","DMK+INC+VCK","NTK","NOTA"},MATCH(LARGE(N229:R229,2),N229:R229,0))</f>
        <v>DMK+INC+VCK</v>
      </c>
      <c r="U229">
        <f t="shared" si="33"/>
        <v>3.4</v>
      </c>
      <c r="V229" t="str">
        <f t="shared" si="34"/>
        <v>Toss-up</v>
      </c>
      <c r="W229" t="str">
        <f>IF(LARGE(I229:M229,1)=LARGE(I229:M229,2),"Tie",INDEX({"TVK","AIADMK+BJP+PMK+AMMK","DMK+INC+VCK","NTK","NOTA"},MATCH(MAX(I229:M229),I229:M229,0)))</f>
        <v>AIADMK+BJP+PMK+AMMK</v>
      </c>
      <c r="X229" s="7">
        <f t="shared" si="35"/>
        <v>0.36454236363268322</v>
      </c>
      <c r="Y229" t="str">
        <f>IF(ISNUMBER(MATCH(A229,{"Maduravoyal","Ambattur","Madavaram","Thiruvottiyur","Sholinganallur","Alandur"},0)),"Chennai",B229)</f>
        <v>Villupuram</v>
      </c>
    </row>
    <row r="230" spans="1:25" x14ac:dyDescent="0.2">
      <c r="A230" s="3" t="s">
        <v>304</v>
      </c>
      <c r="B230" t="s">
        <v>299</v>
      </c>
      <c r="C230" s="11">
        <v>10</v>
      </c>
      <c r="D230" s="11">
        <v>9</v>
      </c>
      <c r="E230" s="11">
        <v>6</v>
      </c>
      <c r="F230" s="11">
        <v>0</v>
      </c>
      <c r="G230" s="11">
        <v>1</v>
      </c>
      <c r="H230">
        <f t="shared" si="27"/>
        <v>26</v>
      </c>
      <c r="I230" s="7">
        <f t="shared" si="28"/>
        <v>0.38461538461538464</v>
      </c>
      <c r="J230" s="7">
        <f t="shared" si="29"/>
        <v>0.34615384615384615</v>
      </c>
      <c r="K230" s="7">
        <f t="shared" si="30"/>
        <v>0.23076923076923078</v>
      </c>
      <c r="L230" s="7">
        <f t="shared" si="31"/>
        <v>0</v>
      </c>
      <c r="M230" s="7">
        <f t="shared" si="32"/>
        <v>3.8461538461538464E-2</v>
      </c>
      <c r="N230" s="7">
        <f>MAX(0,I230+'Statewide Votes'!$H$9/100)</f>
        <v>0.33998879049348113</v>
      </c>
      <c r="O230" s="7">
        <f>MAX(0,J230+'Statewide Votes'!$I$9/100)</f>
        <v>0.35355335264367221</v>
      </c>
      <c r="P230" s="7">
        <f>MAX(0,K230+'Statewide Votes'!$J$9/100)</f>
        <v>0.27511718689192638</v>
      </c>
      <c r="Q230" s="7">
        <f>MAX(0,L230+'Statewide Votes'!$K$9/100)</f>
        <v>0</v>
      </c>
      <c r="R230" s="7">
        <f>MAX(0,M230+'Statewide Votes'!$L$9/100)</f>
        <v>4.0123986668680243E-2</v>
      </c>
      <c r="S230" t="str">
        <f>IF(U230=0,"Tie",INDEX({"TVK","AIADMK+BJP+PMK+AMMK","DMK+INC+VCK","NTK","NOTA"},MATCH(MAX(N230:R230),N230:R230,0)))</f>
        <v>AIADMK+BJP+PMK+AMMK</v>
      </c>
      <c r="T230" t="str">
        <f>INDEX({"TVK","AIADMK+BJP+PMK+AMMK","DMK+INC+VCK","NTK","NOTA"},MATCH(LARGE(N230:R230,2),N230:R230,0))</f>
        <v>TVK</v>
      </c>
      <c r="U230">
        <f t="shared" si="33"/>
        <v>1.4</v>
      </c>
      <c r="V230" t="str">
        <f t="shared" si="34"/>
        <v>Toss-up</v>
      </c>
      <c r="W230" t="str">
        <f>IF(LARGE(I230:M230,1)=LARGE(I230:M230,2),"Tie",INDEX({"TVK","AIADMK+BJP+PMK+AMMK","DMK+INC+VCK","NTK","NOTA"},MATCH(MAX(I230:M230),I230:M230,0)))</f>
        <v>TVK</v>
      </c>
      <c r="X230" s="7">
        <f t="shared" si="35"/>
        <v>0.35355335264367221</v>
      </c>
      <c r="Y230" t="str">
        <f>IF(ISNUMBER(MATCH(A230,{"Maduravoyal","Ambattur","Madavaram","Thiruvottiyur","Sholinganallur","Alandur"},0)),"Chennai",B230)</f>
        <v>Villupuram</v>
      </c>
    </row>
    <row r="231" spans="1:25" x14ac:dyDescent="0.2">
      <c r="A231" s="3" t="s">
        <v>299</v>
      </c>
      <c r="B231" t="s">
        <v>299</v>
      </c>
      <c r="C231" s="11">
        <v>15</v>
      </c>
      <c r="D231" s="11">
        <v>17</v>
      </c>
      <c r="E231" s="11">
        <v>12</v>
      </c>
      <c r="F231" s="11">
        <v>4</v>
      </c>
      <c r="G231" s="11">
        <v>0</v>
      </c>
      <c r="H231">
        <f t="shared" si="27"/>
        <v>48</v>
      </c>
      <c r="I231" s="7">
        <f t="shared" si="28"/>
        <v>0.3125</v>
      </c>
      <c r="J231" s="7">
        <f t="shared" si="29"/>
        <v>0.35416666666666669</v>
      </c>
      <c r="K231" s="7">
        <f t="shared" si="30"/>
        <v>0.25</v>
      </c>
      <c r="L231" s="7">
        <f t="shared" si="31"/>
        <v>8.3333333333333329E-2</v>
      </c>
      <c r="M231" s="7">
        <f t="shared" si="32"/>
        <v>0</v>
      </c>
      <c r="N231" s="7">
        <f>MAX(0,I231+'Statewide Votes'!$H$9/100)</f>
        <v>0.26787340587809649</v>
      </c>
      <c r="O231" s="7">
        <f>MAX(0,J231+'Statewide Votes'!$I$9/100)</f>
        <v>0.36156617315649275</v>
      </c>
      <c r="P231" s="7">
        <f>MAX(0,K231+'Statewide Votes'!$J$9/100)</f>
        <v>0.2943479561226956</v>
      </c>
      <c r="Q231" s="7">
        <f>MAX(0,L231+'Statewide Votes'!$K$9/100)</f>
        <v>7.4550016635573452E-2</v>
      </c>
      <c r="R231" s="7">
        <f>MAX(0,M231+'Statewide Votes'!$L$9/100)</f>
        <v>1.662448207141779E-3</v>
      </c>
      <c r="S231" t="str">
        <f>IF(U231=0,"Tie",INDEX({"TVK","AIADMK+BJP+PMK+AMMK","DMK+INC+VCK","NTK","NOTA"},MATCH(MAX(N231:R231),N231:R231,0)))</f>
        <v>AIADMK+BJP+PMK+AMMK</v>
      </c>
      <c r="T231" t="str">
        <f>INDEX({"TVK","AIADMK+BJP+PMK+AMMK","DMK+INC+VCK","NTK","NOTA"},MATCH(LARGE(N231:R231,2),N231:R231,0))</f>
        <v>DMK+INC+VCK</v>
      </c>
      <c r="U231">
        <f t="shared" si="33"/>
        <v>6.7</v>
      </c>
      <c r="V231" t="str">
        <f t="shared" si="34"/>
        <v>Lean</v>
      </c>
      <c r="W231" t="str">
        <f>IF(LARGE(I231:M231,1)=LARGE(I231:M231,2),"Tie",INDEX({"TVK","AIADMK+BJP+PMK+AMMK","DMK+INC+VCK","NTK","NOTA"},MATCH(MAX(I231:M231),I231:M231,0)))</f>
        <v>AIADMK+BJP+PMK+AMMK</v>
      </c>
      <c r="X231" s="7">
        <f t="shared" si="35"/>
        <v>0.36156617315649275</v>
      </c>
      <c r="Y231" t="str">
        <f>IF(ISNUMBER(MATCH(A231,{"Maduravoyal","Ambattur","Madavaram","Thiruvottiyur","Sholinganallur","Alandur"},0)),"Chennai",B231)</f>
        <v>Villupuram</v>
      </c>
    </row>
    <row r="232" spans="1:25" x14ac:dyDescent="0.2">
      <c r="A232" s="3" t="s">
        <v>305</v>
      </c>
      <c r="B232" t="s">
        <v>306</v>
      </c>
      <c r="C232" s="11">
        <v>12</v>
      </c>
      <c r="D232" s="11">
        <v>6</v>
      </c>
      <c r="E232" s="11">
        <v>7</v>
      </c>
      <c r="F232" s="11">
        <v>2</v>
      </c>
      <c r="G232" s="11">
        <v>0</v>
      </c>
      <c r="H232">
        <f t="shared" si="27"/>
        <v>27</v>
      </c>
      <c r="I232" s="7">
        <f t="shared" si="28"/>
        <v>0.44444444444444442</v>
      </c>
      <c r="J232" s="7">
        <f t="shared" si="29"/>
        <v>0.22222222222222221</v>
      </c>
      <c r="K232" s="7">
        <f t="shared" si="30"/>
        <v>0.25925925925925924</v>
      </c>
      <c r="L232" s="7">
        <f t="shared" si="31"/>
        <v>7.407407407407407E-2</v>
      </c>
      <c r="M232" s="7">
        <f t="shared" si="32"/>
        <v>0</v>
      </c>
      <c r="N232" s="7">
        <f>MAX(0,I232+'Statewide Votes'!$H$9/100)</f>
        <v>0.39981785032254091</v>
      </c>
      <c r="O232" s="7">
        <f>MAX(0,J232+'Statewide Votes'!$I$9/100)</f>
        <v>0.22962172871204828</v>
      </c>
      <c r="P232" s="7">
        <f>MAX(0,K232+'Statewide Votes'!$J$9/100)</f>
        <v>0.30360721538195484</v>
      </c>
      <c r="Q232" s="7">
        <f>MAX(0,L232+'Statewide Votes'!$K$9/100)</f>
        <v>6.5290757376314193E-2</v>
      </c>
      <c r="R232" s="7">
        <f>MAX(0,M232+'Statewide Votes'!$L$9/100)</f>
        <v>1.662448207141779E-3</v>
      </c>
      <c r="S232" t="str">
        <f>IF(U232=0,"Tie",INDEX({"TVK","AIADMK+BJP+PMK+AMMK","DMK+INC+VCK","NTK","NOTA"},MATCH(MAX(N232:R232),N232:R232,0)))</f>
        <v>TVK</v>
      </c>
      <c r="T232" t="str">
        <f>INDEX({"TVK","AIADMK+BJP+PMK+AMMK","DMK+INC+VCK","NTK","NOTA"},MATCH(LARGE(N232:R232,2),N232:R232,0))</f>
        <v>DMK+INC+VCK</v>
      </c>
      <c r="U232">
        <f t="shared" si="33"/>
        <v>9.6</v>
      </c>
      <c r="V232" t="str">
        <f t="shared" si="34"/>
        <v>Lean</v>
      </c>
      <c r="W232" t="str">
        <f>IF(LARGE(I232:M232,1)=LARGE(I232:M232,2),"Tie",INDEX({"TVK","AIADMK+BJP+PMK+AMMK","DMK+INC+VCK","NTK","NOTA"},MATCH(MAX(I232:M232),I232:M232,0)))</f>
        <v>TVK</v>
      </c>
      <c r="X232" s="7">
        <f t="shared" si="35"/>
        <v>0.39981785032254091</v>
      </c>
      <c r="Y232" t="str">
        <f>IF(ISNUMBER(MATCH(A232,{"Maduravoyal","Ambattur","Madavaram","Thiruvottiyur","Sholinganallur","Alandur"},0)),"Chennai",B232)</f>
        <v>Virudhunagar</v>
      </c>
    </row>
    <row r="233" spans="1:25" x14ac:dyDescent="0.2">
      <c r="A233" s="3" t="s">
        <v>307</v>
      </c>
      <c r="B233" t="s">
        <v>306</v>
      </c>
      <c r="C233" s="11">
        <v>27</v>
      </c>
      <c r="D233" s="11">
        <v>19</v>
      </c>
      <c r="E233" s="11">
        <v>7</v>
      </c>
      <c r="F233" s="11">
        <v>5</v>
      </c>
      <c r="G233" s="11">
        <v>1</v>
      </c>
      <c r="H233">
        <f t="shared" si="27"/>
        <v>59</v>
      </c>
      <c r="I233" s="7">
        <f t="shared" si="28"/>
        <v>0.4576271186440678</v>
      </c>
      <c r="J233" s="7">
        <f t="shared" si="29"/>
        <v>0.32203389830508472</v>
      </c>
      <c r="K233" s="7">
        <f t="shared" si="30"/>
        <v>0.11864406779661017</v>
      </c>
      <c r="L233" s="7">
        <f t="shared" si="31"/>
        <v>8.4745762711864403E-2</v>
      </c>
      <c r="M233" s="7">
        <f t="shared" si="32"/>
        <v>1.6949152542372881E-2</v>
      </c>
      <c r="N233" s="7">
        <f>MAX(0,I233+'Statewide Votes'!$H$9/100)</f>
        <v>0.41300052452216429</v>
      </c>
      <c r="O233" s="7">
        <f>MAX(0,J233+'Statewide Votes'!$I$9/100)</f>
        <v>0.32943340479491079</v>
      </c>
      <c r="P233" s="7">
        <f>MAX(0,K233+'Statewide Votes'!$J$9/100)</f>
        <v>0.16299202391930578</v>
      </c>
      <c r="Q233" s="7">
        <f>MAX(0,L233+'Statewide Votes'!$K$9/100)</f>
        <v>7.5962446014104526E-2</v>
      </c>
      <c r="R233" s="7">
        <f>MAX(0,M233+'Statewide Votes'!$L$9/100)</f>
        <v>1.8611600749514661E-2</v>
      </c>
      <c r="S233" t="str">
        <f>IF(U233=0,"Tie",INDEX({"TVK","AIADMK+BJP+PMK+AMMK","DMK+INC+VCK","NTK","NOTA"},MATCH(MAX(N233:R233),N233:R233,0)))</f>
        <v>TVK</v>
      </c>
      <c r="T233" t="str">
        <f>INDEX({"TVK","AIADMK+BJP+PMK+AMMK","DMK+INC+VCK","NTK","NOTA"},MATCH(LARGE(N233:R233,2),N233:R233,0))</f>
        <v>AIADMK+BJP+PMK+AMMK</v>
      </c>
      <c r="U233">
        <f t="shared" si="33"/>
        <v>8.4</v>
      </c>
      <c r="V233" t="str">
        <f t="shared" si="34"/>
        <v>Lean</v>
      </c>
      <c r="W233" t="str">
        <f>IF(LARGE(I233:M233,1)=LARGE(I233:M233,2),"Tie",INDEX({"TVK","AIADMK+BJP+PMK+AMMK","DMK+INC+VCK","NTK","NOTA"},MATCH(MAX(I233:M233),I233:M233,0)))</f>
        <v>TVK</v>
      </c>
      <c r="X233" s="7">
        <f t="shared" si="35"/>
        <v>0.41300052452216429</v>
      </c>
      <c r="Y233" t="str">
        <f>IF(ISNUMBER(MATCH(A233,{"Maduravoyal","Ambattur","Madavaram","Thiruvottiyur","Sholinganallur","Alandur"},0)),"Chennai",B233)</f>
        <v>Virudhunagar</v>
      </c>
    </row>
    <row r="234" spans="1:25" x14ac:dyDescent="0.2">
      <c r="A234" s="3" t="s">
        <v>308</v>
      </c>
      <c r="B234" t="s">
        <v>306</v>
      </c>
      <c r="C234" s="11">
        <v>15</v>
      </c>
      <c r="D234" s="11">
        <v>22</v>
      </c>
      <c r="E234" s="11">
        <v>7</v>
      </c>
      <c r="F234" s="11">
        <v>5</v>
      </c>
      <c r="G234" s="11">
        <v>0</v>
      </c>
      <c r="H234">
        <f t="shared" si="27"/>
        <v>49</v>
      </c>
      <c r="I234" s="7">
        <f t="shared" si="28"/>
        <v>0.30612244897959184</v>
      </c>
      <c r="J234" s="7">
        <f t="shared" si="29"/>
        <v>0.44897959183673469</v>
      </c>
      <c r="K234" s="7">
        <f t="shared" si="30"/>
        <v>0.14285714285714285</v>
      </c>
      <c r="L234" s="7">
        <f t="shared" si="31"/>
        <v>0.10204081632653061</v>
      </c>
      <c r="M234" s="7">
        <f t="shared" si="32"/>
        <v>0</v>
      </c>
      <c r="N234" s="7">
        <f>MAX(0,I234+'Statewide Votes'!$H$9/100)</f>
        <v>0.26149585485768834</v>
      </c>
      <c r="O234" s="7">
        <f>MAX(0,J234+'Statewide Votes'!$I$9/100)</f>
        <v>0.45637909832656076</v>
      </c>
      <c r="P234" s="7">
        <f>MAX(0,K234+'Statewide Votes'!$J$9/100)</f>
        <v>0.18720509897983845</v>
      </c>
      <c r="Q234" s="7">
        <f>MAX(0,L234+'Statewide Votes'!$K$9/100)</f>
        <v>9.3257499628770738E-2</v>
      </c>
      <c r="R234" s="7">
        <f>MAX(0,M234+'Statewide Votes'!$L$9/100)</f>
        <v>1.662448207141779E-3</v>
      </c>
      <c r="S234" t="str">
        <f>IF(U234=0,"Tie",INDEX({"TVK","AIADMK+BJP+PMK+AMMK","DMK+INC+VCK","NTK","NOTA"},MATCH(MAX(N234:R234),N234:R234,0)))</f>
        <v>AIADMK+BJP+PMK+AMMK</v>
      </c>
      <c r="T234" t="str">
        <f>INDEX({"TVK","AIADMK+BJP+PMK+AMMK","DMK+INC+VCK","NTK","NOTA"},MATCH(LARGE(N234:R234,2),N234:R234,0))</f>
        <v>TVK</v>
      </c>
      <c r="U234">
        <f t="shared" si="33"/>
        <v>19.5</v>
      </c>
      <c r="V234" t="str">
        <f t="shared" si="34"/>
        <v>Strong</v>
      </c>
      <c r="W234" t="str">
        <f>IF(LARGE(I234:M234,1)=LARGE(I234:M234,2),"Tie",INDEX({"TVK","AIADMK+BJP+PMK+AMMK","DMK+INC+VCK","NTK","NOTA"},MATCH(MAX(I234:M234),I234:M234,0)))</f>
        <v>AIADMK+BJP+PMK+AMMK</v>
      </c>
      <c r="X234" s="7">
        <f t="shared" si="35"/>
        <v>0.45637909832656076</v>
      </c>
      <c r="Y234" t="str">
        <f>IF(ISNUMBER(MATCH(A234,{"Maduravoyal","Ambattur","Madavaram","Thiruvottiyur","Sholinganallur","Alandur"},0)),"Chennai",B234)</f>
        <v>Virudhunagar</v>
      </c>
    </row>
    <row r="235" spans="1:25" x14ac:dyDescent="0.2">
      <c r="A235" s="3" t="s">
        <v>309</v>
      </c>
      <c r="B235" t="s">
        <v>306</v>
      </c>
      <c r="C235" s="11">
        <v>31</v>
      </c>
      <c r="D235" s="11">
        <v>22</v>
      </c>
      <c r="E235" s="11">
        <v>13</v>
      </c>
      <c r="F235" s="11">
        <v>7</v>
      </c>
      <c r="G235" s="11">
        <v>0</v>
      </c>
      <c r="H235">
        <f t="shared" si="27"/>
        <v>73</v>
      </c>
      <c r="I235" s="7">
        <f t="shared" si="28"/>
        <v>0.42465753424657532</v>
      </c>
      <c r="J235" s="7">
        <f t="shared" si="29"/>
        <v>0.30136986301369861</v>
      </c>
      <c r="K235" s="7">
        <f t="shared" si="30"/>
        <v>0.17808219178082191</v>
      </c>
      <c r="L235" s="7">
        <f t="shared" si="31"/>
        <v>9.5890410958904104E-2</v>
      </c>
      <c r="M235" s="7">
        <f t="shared" si="32"/>
        <v>0</v>
      </c>
      <c r="N235" s="7">
        <f>MAX(0,I235+'Statewide Votes'!$H$9/100)</f>
        <v>0.38003094012467181</v>
      </c>
      <c r="O235" s="7">
        <f>MAX(0,J235+'Statewide Votes'!$I$9/100)</f>
        <v>0.30876936950352468</v>
      </c>
      <c r="P235" s="7">
        <f>MAX(0,K235+'Statewide Votes'!$J$9/100)</f>
        <v>0.22243014790351751</v>
      </c>
      <c r="Q235" s="7">
        <f>MAX(0,L235+'Statewide Votes'!$K$9/100)</f>
        <v>8.7107094261144227E-2</v>
      </c>
      <c r="R235" s="7">
        <f>MAX(0,M235+'Statewide Votes'!$L$9/100)</f>
        <v>1.662448207141779E-3</v>
      </c>
      <c r="S235" t="str">
        <f>IF(U235=0,"Tie",INDEX({"TVK","AIADMK+BJP+PMK+AMMK","DMK+INC+VCK","NTK","NOTA"},MATCH(MAX(N235:R235),N235:R235,0)))</f>
        <v>TVK</v>
      </c>
      <c r="T235" t="str">
        <f>INDEX({"TVK","AIADMK+BJP+PMK+AMMK","DMK+INC+VCK","NTK","NOTA"},MATCH(LARGE(N235:R235,2),N235:R235,0))</f>
        <v>AIADMK+BJP+PMK+AMMK</v>
      </c>
      <c r="U235">
        <f t="shared" si="33"/>
        <v>7.1</v>
      </c>
      <c r="V235" t="str">
        <f t="shared" si="34"/>
        <v>Lean</v>
      </c>
      <c r="W235" t="str">
        <f>IF(LARGE(I235:M235,1)=LARGE(I235:M235,2),"Tie",INDEX({"TVK","AIADMK+BJP+PMK+AMMK","DMK+INC+VCK","NTK","NOTA"},MATCH(MAX(I235:M235),I235:M235,0)))</f>
        <v>TVK</v>
      </c>
      <c r="X235" s="7">
        <f t="shared" si="35"/>
        <v>0.38003094012467181</v>
      </c>
      <c r="Y235" t="str">
        <f>IF(ISNUMBER(MATCH(A235,{"Maduravoyal","Ambattur","Madavaram","Thiruvottiyur","Sholinganallur","Alandur"},0)),"Chennai",B235)</f>
        <v>Virudhunagar</v>
      </c>
    </row>
    <row r="236" spans="1:25" x14ac:dyDescent="0.2">
      <c r="A236" s="3" t="s">
        <v>310</v>
      </c>
      <c r="B236" t="s">
        <v>306</v>
      </c>
      <c r="C236" s="11">
        <v>15</v>
      </c>
      <c r="D236" s="11">
        <v>11</v>
      </c>
      <c r="E236" s="11">
        <v>11</v>
      </c>
      <c r="F236" s="11">
        <v>3</v>
      </c>
      <c r="G236" s="11">
        <v>0</v>
      </c>
      <c r="H236">
        <f t="shared" si="27"/>
        <v>40</v>
      </c>
      <c r="I236" s="7">
        <f t="shared" si="28"/>
        <v>0.375</v>
      </c>
      <c r="J236" s="7">
        <f t="shared" si="29"/>
        <v>0.27500000000000002</v>
      </c>
      <c r="K236" s="7">
        <f t="shared" si="30"/>
        <v>0.27500000000000002</v>
      </c>
      <c r="L236" s="7">
        <f t="shared" si="31"/>
        <v>7.4999999999999997E-2</v>
      </c>
      <c r="M236" s="7">
        <f t="shared" si="32"/>
        <v>0</v>
      </c>
      <c r="N236" s="7">
        <f>MAX(0,I236+'Statewide Votes'!$H$9/100)</f>
        <v>0.33037340587809649</v>
      </c>
      <c r="O236" s="7">
        <f>MAX(0,J236+'Statewide Votes'!$I$9/100)</f>
        <v>0.28239950648982609</v>
      </c>
      <c r="P236" s="7">
        <f>MAX(0,K236+'Statewide Votes'!$J$9/100)</f>
        <v>0.31934795612269562</v>
      </c>
      <c r="Q236" s="7">
        <f>MAX(0,L236+'Statewide Votes'!$K$9/100)</f>
        <v>6.621668330224012E-2</v>
      </c>
      <c r="R236" s="7">
        <f>MAX(0,M236+'Statewide Votes'!$L$9/100)</f>
        <v>1.662448207141779E-3</v>
      </c>
      <c r="S236" t="str">
        <f>IF(U236=0,"Tie",INDEX({"TVK","AIADMK+BJP+PMK+AMMK","DMK+INC+VCK","NTK","NOTA"},MATCH(MAX(N236:R236),N236:R236,0)))</f>
        <v>TVK</v>
      </c>
      <c r="T236" t="str">
        <f>INDEX({"TVK","AIADMK+BJP+PMK+AMMK","DMK+INC+VCK","NTK","NOTA"},MATCH(LARGE(N236:R236,2),N236:R236,0))</f>
        <v>DMK+INC+VCK</v>
      </c>
      <c r="U236">
        <f t="shared" si="33"/>
        <v>1.1000000000000001</v>
      </c>
      <c r="V236" t="str">
        <f t="shared" si="34"/>
        <v>Toss-up</v>
      </c>
      <c r="W236" t="str">
        <f>IF(LARGE(I236:M236,1)=LARGE(I236:M236,2),"Tie",INDEX({"TVK","AIADMK+BJP+PMK+AMMK","DMK+INC+VCK","NTK","NOTA"},MATCH(MAX(I236:M236),I236:M236,0)))</f>
        <v>TVK</v>
      </c>
      <c r="X236" s="7">
        <f t="shared" si="35"/>
        <v>0.33037340587809649</v>
      </c>
      <c r="Y236" t="str">
        <f>IF(ISNUMBER(MATCH(A236,{"Maduravoyal","Ambattur","Madavaram","Thiruvottiyur","Sholinganallur","Alandur"},0)),"Chennai",B236)</f>
        <v>Virudhunagar</v>
      </c>
    </row>
    <row r="237" spans="1:25" x14ac:dyDescent="0.2">
      <c r="A237" s="3" t="s">
        <v>311</v>
      </c>
      <c r="B237" t="s">
        <v>306</v>
      </c>
      <c r="C237" s="11">
        <v>11</v>
      </c>
      <c r="D237" s="11">
        <v>5</v>
      </c>
      <c r="E237" s="11">
        <v>3</v>
      </c>
      <c r="F237" s="11">
        <v>1</v>
      </c>
      <c r="G237" s="11">
        <v>0</v>
      </c>
      <c r="H237">
        <f t="shared" si="27"/>
        <v>20</v>
      </c>
      <c r="I237" s="7">
        <f t="shared" si="28"/>
        <v>0.55000000000000004</v>
      </c>
      <c r="J237" s="7">
        <f t="shared" si="29"/>
        <v>0.25</v>
      </c>
      <c r="K237" s="7">
        <f t="shared" si="30"/>
        <v>0.15</v>
      </c>
      <c r="L237" s="7">
        <f t="shared" si="31"/>
        <v>0.05</v>
      </c>
      <c r="M237" s="7">
        <f t="shared" si="32"/>
        <v>0</v>
      </c>
      <c r="N237" s="7">
        <f>MAX(0,I237+'Statewide Votes'!$H$9/100)</f>
        <v>0.50537340587809654</v>
      </c>
      <c r="O237" s="7">
        <f>MAX(0,J237+'Statewide Votes'!$I$9/100)</f>
        <v>0.25739950648982607</v>
      </c>
      <c r="P237" s="7">
        <f>MAX(0,K237+'Statewide Votes'!$J$9/100)</f>
        <v>0.19434795612269559</v>
      </c>
      <c r="Q237" s="7">
        <f>MAX(0,L237+'Statewide Votes'!$K$9/100)</f>
        <v>4.1216683302240126E-2</v>
      </c>
      <c r="R237" s="7">
        <f>MAX(0,M237+'Statewide Votes'!$L$9/100)</f>
        <v>1.662448207141779E-3</v>
      </c>
      <c r="S237" t="str">
        <f>IF(U237=0,"Tie",INDEX({"TVK","AIADMK+BJP+PMK+AMMK","DMK+INC+VCK","NTK","NOTA"},MATCH(MAX(N237:R237),N237:R237,0)))</f>
        <v>TVK</v>
      </c>
      <c r="T237" t="str">
        <f>INDEX({"TVK","AIADMK+BJP+PMK+AMMK","DMK+INC+VCK","NTK","NOTA"},MATCH(LARGE(N237:R237,2),N237:R237,0))</f>
        <v>AIADMK+BJP+PMK+AMMK</v>
      </c>
      <c r="U237">
        <f t="shared" si="33"/>
        <v>24.8</v>
      </c>
      <c r="V237" t="str">
        <f t="shared" si="34"/>
        <v>Lean</v>
      </c>
      <c r="W237" t="str">
        <f>IF(LARGE(I237:M237,1)=LARGE(I237:M237,2),"Tie",INDEX({"TVK","AIADMK+BJP+PMK+AMMK","DMK+INC+VCK","NTK","NOTA"},MATCH(MAX(I237:M237),I237:M237,0)))</f>
        <v>TVK</v>
      </c>
      <c r="X237" s="7">
        <f t="shared" si="35"/>
        <v>0.50537340587809654</v>
      </c>
      <c r="Y237" t="str">
        <f>IF(ISNUMBER(MATCH(A237,{"Maduravoyal","Ambattur","Madavaram","Thiruvottiyur","Sholinganallur","Alandur"},0)),"Chennai",B237)</f>
        <v>Virudhunagar</v>
      </c>
    </row>
    <row r="238" spans="1:25" x14ac:dyDescent="0.2">
      <c r="A238" s="3" t="s">
        <v>306</v>
      </c>
      <c r="B238" t="s">
        <v>306</v>
      </c>
      <c r="C238" s="11">
        <v>19</v>
      </c>
      <c r="D238" s="11">
        <v>8</v>
      </c>
      <c r="E238" s="11">
        <v>14</v>
      </c>
      <c r="F238" s="11">
        <v>2</v>
      </c>
      <c r="G238" s="11">
        <v>0</v>
      </c>
      <c r="H238">
        <f t="shared" si="27"/>
        <v>43</v>
      </c>
      <c r="I238" s="7">
        <f t="shared" si="28"/>
        <v>0.44186046511627908</v>
      </c>
      <c r="J238" s="7">
        <f t="shared" si="29"/>
        <v>0.18604651162790697</v>
      </c>
      <c r="K238" s="7">
        <f t="shared" si="30"/>
        <v>0.32558139534883723</v>
      </c>
      <c r="L238" s="7">
        <f t="shared" si="31"/>
        <v>4.6511627906976744E-2</v>
      </c>
      <c r="M238" s="7">
        <f t="shared" si="32"/>
        <v>0</v>
      </c>
      <c r="N238" s="7">
        <f>MAX(0,I238+'Statewide Votes'!$H$9/100)</f>
        <v>0.39723387099437557</v>
      </c>
      <c r="O238" s="7">
        <f>MAX(0,J238+'Statewide Votes'!$I$9/100)</f>
        <v>0.19344601811773304</v>
      </c>
      <c r="P238" s="7">
        <f>MAX(0,K238+'Statewide Votes'!$J$9/100)</f>
        <v>0.36992935147153283</v>
      </c>
      <c r="Q238" s="7">
        <f>MAX(0,L238+'Statewide Votes'!$K$9/100)</f>
        <v>3.7728311209216867E-2</v>
      </c>
      <c r="R238" s="7">
        <f>MAX(0,M238+'Statewide Votes'!$L$9/100)</f>
        <v>1.662448207141779E-3</v>
      </c>
      <c r="S238" t="str">
        <f>IF(U238=0,"Tie",INDEX({"TVK","AIADMK+BJP+PMK+AMMK","DMK+INC+VCK","NTK","NOTA"},MATCH(MAX(N238:R238),N238:R238,0)))</f>
        <v>TVK</v>
      </c>
      <c r="T238" t="str">
        <f>INDEX({"TVK","AIADMK+BJP+PMK+AMMK","DMK+INC+VCK","NTK","NOTA"},MATCH(LARGE(N238:R238,2),N238:R238,0))</f>
        <v>DMK+INC+VCK</v>
      </c>
      <c r="U238">
        <f t="shared" si="33"/>
        <v>2.7</v>
      </c>
      <c r="V238" t="str">
        <f t="shared" si="34"/>
        <v>Toss-up</v>
      </c>
      <c r="W238" t="str">
        <f>IF(LARGE(I238:M238,1)=LARGE(I238:M238,2),"Tie",INDEX({"TVK","AIADMK+BJP+PMK+AMMK","DMK+INC+VCK","NTK","NOTA"},MATCH(MAX(I238:M238),I238:M238,0)))</f>
        <v>TVK</v>
      </c>
      <c r="X238" s="7">
        <f t="shared" si="35"/>
        <v>0.39723387099437557</v>
      </c>
      <c r="Y238" t="str">
        <f>IF(ISNUMBER(MATCH(A238,{"Maduravoyal","Ambattur","Madavaram","Thiruvottiyur","Sholinganallur","Alandur"},0)),"Chennai",B238)</f>
        <v>Virudhunagar</v>
      </c>
    </row>
    <row r="239" spans="1:25" x14ac:dyDescent="0.2">
      <c r="C239">
        <f>SUM(C4:C238)</f>
        <v>4165</v>
      </c>
      <c r="D239">
        <f t="shared" ref="D239:G239" si="36">SUM(D4:D238)</f>
        <v>2898</v>
      </c>
      <c r="E239">
        <f t="shared" si="36"/>
        <v>2583</v>
      </c>
      <c r="F239">
        <f t="shared" si="36"/>
        <v>856</v>
      </c>
      <c r="G239">
        <f t="shared" si="36"/>
        <v>65</v>
      </c>
      <c r="I239" s="7">
        <f>AVERAGE(I4:I238)</f>
        <v>0.38861605515421793</v>
      </c>
    </row>
    <row r="240" spans="1:25" x14ac:dyDescent="0.2">
      <c r="C240">
        <f>C239/SUM(C239:G239)</f>
        <v>0.39415160405034544</v>
      </c>
    </row>
  </sheetData>
  <autoFilter ref="A4:X238" xr:uid="{00000000-0009-0000-0000-000002000000}"/>
  <conditionalFormatting sqref="S5:S238">
    <cfRule type="cellIs" dxfId="30" priority="2" operator="equal">
      <formula>"TVK"</formula>
    </cfRule>
    <cfRule type="cellIs" dxfId="29" priority="3" operator="equal">
      <formula>"AIADMK+BJP+PMK+AMMK"</formula>
    </cfRule>
    <cfRule type="cellIs" dxfId="28" priority="4" operator="equal">
      <formula>"DMK+INC+VCK"</formula>
    </cfRule>
  </conditionalFormatting>
  <conditionalFormatting sqref="V5:V238">
    <cfRule type="cellIs" dxfId="27" priority="8" operator="equal">
      <formula>"Strong"</formula>
    </cfRule>
    <cfRule type="cellIs" dxfId="26" priority="9" operator="equal">
      <formula>"Toss-up"</formula>
    </cfRule>
  </conditionalFormatting>
  <conditionalFormatting sqref="W5:W238">
    <cfRule type="cellIs" dxfId="25" priority="5" operator="equal">
      <formula>"TVK"</formula>
    </cfRule>
    <cfRule type="cellIs" dxfId="24" priority="6" operator="equal">
      <formula>"AIADMK+BJP+PMK+AMMK"</formula>
    </cfRule>
    <cfRule type="cellIs" dxfId="23" priority="7" operator="equal">
      <formula>"DMK+INC+VCK"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8" customWidth="1"/>
    <col min="2" max="2" width="8" customWidth="1"/>
    <col min="3" max="3" width="9" customWidth="1"/>
    <col min="4" max="4" width="11" customWidth="1"/>
    <col min="5" max="6" width="10" customWidth="1"/>
    <col min="7" max="7" width="9" customWidth="1"/>
    <col min="8" max="8" width="11" customWidth="1"/>
    <col min="9" max="10" width="10" customWidth="1"/>
    <col min="11" max="11" width="12" customWidth="1"/>
    <col min="12" max="13" width="10" customWidth="1"/>
    <col min="14" max="15" width="14" customWidth="1"/>
    <col min="16" max="16" width="12" customWidth="1"/>
    <col min="17" max="17" width="11" customWidth="1"/>
    <col min="18" max="18" width="12" customWidth="1"/>
    <col min="19" max="19" width="11" customWidth="1"/>
  </cols>
  <sheetData>
    <row r="1" spans="1:19" ht="18" x14ac:dyDescent="0.2">
      <c r="A1" s="1" t="s">
        <v>312</v>
      </c>
    </row>
    <row r="2" spans="1:19" x14ac:dyDescent="0.2">
      <c r="A2" s="2" t="s">
        <v>313</v>
      </c>
    </row>
    <row r="4" spans="1:19" ht="36" customHeight="1" x14ac:dyDescent="0.2">
      <c r="A4" s="6" t="s">
        <v>47</v>
      </c>
      <c r="B4" s="6" t="s">
        <v>18</v>
      </c>
      <c r="C4" s="6" t="s">
        <v>314</v>
      </c>
      <c r="D4" s="6" t="s">
        <v>315</v>
      </c>
      <c r="E4" s="6" t="s">
        <v>316</v>
      </c>
      <c r="F4" s="6" t="s">
        <v>317</v>
      </c>
      <c r="G4" s="6" t="s">
        <v>318</v>
      </c>
      <c r="H4" s="6" t="s">
        <v>319</v>
      </c>
      <c r="I4" s="6" t="s">
        <v>320</v>
      </c>
      <c r="J4" s="6" t="s">
        <v>321</v>
      </c>
      <c r="K4" s="6" t="s">
        <v>322</v>
      </c>
      <c r="L4" s="6" t="s">
        <v>323</v>
      </c>
      <c r="M4" s="6" t="s">
        <v>324</v>
      </c>
      <c r="N4" s="6" t="s">
        <v>325</v>
      </c>
      <c r="O4" s="6" t="s">
        <v>326</v>
      </c>
      <c r="P4" s="6" t="s">
        <v>327</v>
      </c>
      <c r="Q4" s="6" t="s">
        <v>328</v>
      </c>
      <c r="R4" s="6" t="s">
        <v>329</v>
      </c>
      <c r="S4" s="6" t="s">
        <v>330</v>
      </c>
    </row>
    <row r="5" spans="1:19" x14ac:dyDescent="0.2">
      <c r="A5" s="3" t="s">
        <v>236</v>
      </c>
      <c r="B5">
        <f>COUNTIF('AC Results'!$Y$5:$Y$238,$A5)</f>
        <v>6</v>
      </c>
      <c r="C5">
        <f>COUNTIFS('AC Results'!$Y$5:$Y$238,$A5,'AC Results'!$S$5:$S$238,"TVK")</f>
        <v>5</v>
      </c>
      <c r="D5">
        <f>COUNTIFS('AC Results'!$Y$5:$Y$238,$A5,'AC Results'!$S$5:$S$238,"AIADMK+BJP+PMK+AMMK")</f>
        <v>0</v>
      </c>
      <c r="E5">
        <f>COUNTIFS('AC Results'!$Y$5:$Y$238,$A5,'AC Results'!$S$5:$S$238,"DMK+INC+VCK")</f>
        <v>1</v>
      </c>
      <c r="F5">
        <f t="shared" ref="F5:F42" si="0">B5-SUM(C5:E5)</f>
        <v>0</v>
      </c>
      <c r="G5" s="12">
        <f>COUNTIFS('AC vs Actual 2026'!$C$5:$C$238,$A5,'AC vs Actual 2026'!$L$5:$L$238,"TVK")</f>
        <v>5</v>
      </c>
      <c r="H5" s="12">
        <f>COUNTIFS('AC vs Actual 2026'!$C$5:$C$238,$A5,'AC vs Actual 2026'!$L$5:$L$238,"AIADMK+BJP+PMK+AMMK")</f>
        <v>1</v>
      </c>
      <c r="I5" s="12">
        <f>COUNTIFS('AC vs Actual 2026'!$C$5:$C$238,$A5,'AC vs Actual 2026'!$L$5:$L$238,"DMK+INC+VCK")</f>
        <v>0</v>
      </c>
      <c r="J5" s="13">
        <f t="shared" ref="J5:J42" si="1">G5-C5</f>
        <v>0</v>
      </c>
      <c r="K5" s="13">
        <f t="shared" ref="K5:K42" si="2">H5-D5</f>
        <v>1</v>
      </c>
      <c r="L5" s="13">
        <f t="shared" ref="L5:L42" si="3">I5-E5</f>
        <v>-1</v>
      </c>
      <c r="M5">
        <f t="shared" ref="M5:M42" si="4">ABS(J5)+ABS(K5)+ABS(L5)+F5</f>
        <v>2</v>
      </c>
      <c r="N5" t="str">
        <f>IF(COUNTIF(C5:E5,MAX(C5:E5))&gt;1,"Tie",INDEX({"TVK","AIADMK+","DMK+"},MATCH(MAX(C5:E5),C5:E5,0)))</f>
        <v>TVK</v>
      </c>
      <c r="O5" t="str">
        <f>IF(COUNTIF(G5:I5,MAX(G5:I5))&gt;1,"Tie",INDEX({"TVK","AIADMK+","DMK+"},MATCH(MAX(G5:I5),G5:I5,0)))</f>
        <v>TVK</v>
      </c>
      <c r="P5" t="str">
        <f t="shared" ref="P5:P42" si="5">IF(OR(N5="Tie",O5="Tie"),"Partly",IF(N5=O5,"Yes","No"))</f>
        <v>Yes</v>
      </c>
      <c r="Q5" t="str">
        <f t="shared" ref="Q5:Q42" si="6">IF(J5&gt;=0,"Yes","No")</f>
        <v>Yes</v>
      </c>
      <c r="R5" t="str">
        <f t="shared" ref="R5:R42" si="7">IF(K5&gt;=0,"Yes","No")</f>
        <v>Yes</v>
      </c>
      <c r="S5" t="str">
        <f t="shared" ref="S5:S42" si="8">IF(L5&gt;=0,"Yes","No")</f>
        <v>No</v>
      </c>
    </row>
    <row r="6" spans="1:19" x14ac:dyDescent="0.2">
      <c r="A6" s="3" t="s">
        <v>76</v>
      </c>
      <c r="B6">
        <f>COUNTIF('AC Results'!$Y$5:$Y$238,$A6)</f>
        <v>22</v>
      </c>
      <c r="C6">
        <f>COUNTIFS('AC Results'!$Y$5:$Y$238,$A6,'AC Results'!$S$5:$S$238,"TVK")</f>
        <v>13</v>
      </c>
      <c r="D6">
        <f>COUNTIFS('AC Results'!$Y$5:$Y$238,$A6,'AC Results'!$S$5:$S$238,"AIADMK+BJP+PMK+AMMK")</f>
        <v>3</v>
      </c>
      <c r="E6">
        <f>COUNTIFS('AC Results'!$Y$5:$Y$238,$A6,'AC Results'!$S$5:$S$238,"DMK+INC+VCK")</f>
        <v>6</v>
      </c>
      <c r="F6">
        <f t="shared" si="0"/>
        <v>0</v>
      </c>
      <c r="G6" s="12">
        <f>COUNTIFS('AC vs Actual 2026'!$C$5:$C$238,$A6,'AC vs Actual 2026'!$L$5:$L$238,"TVK")</f>
        <v>20</v>
      </c>
      <c r="H6" s="12">
        <f>COUNTIFS('AC vs Actual 2026'!$C$5:$C$238,$A6,'AC vs Actual 2026'!$L$5:$L$238,"AIADMK+BJP+PMK+AMMK")</f>
        <v>0</v>
      </c>
      <c r="I6" s="12">
        <f>COUNTIFS('AC vs Actual 2026'!$C$5:$C$238,$A6,'AC vs Actual 2026'!$L$5:$L$238,"DMK+INC+VCK")</f>
        <v>2</v>
      </c>
      <c r="J6" s="13">
        <f t="shared" si="1"/>
        <v>7</v>
      </c>
      <c r="K6" s="13">
        <f t="shared" si="2"/>
        <v>-3</v>
      </c>
      <c r="L6" s="13">
        <f t="shared" si="3"/>
        <v>-4</v>
      </c>
      <c r="M6">
        <f t="shared" si="4"/>
        <v>14</v>
      </c>
      <c r="N6" t="str">
        <f>IF(COUNTIF(C6:E6,MAX(C6:E6))&gt;1,"Tie",INDEX({"TVK","AIADMK+","DMK+"},MATCH(MAX(C6:E6),C6:E6,0)))</f>
        <v>TVK</v>
      </c>
      <c r="O6" t="str">
        <f>IF(COUNTIF(G6:I6,MAX(G6:I6))&gt;1,"Tie",INDEX({"TVK","AIADMK+","DMK+"},MATCH(MAX(G6:I6),G6:I6,0)))</f>
        <v>TVK</v>
      </c>
      <c r="P6" t="str">
        <f t="shared" si="5"/>
        <v>Yes</v>
      </c>
      <c r="Q6" t="str">
        <f t="shared" si="6"/>
        <v>Yes</v>
      </c>
      <c r="R6" t="str">
        <f t="shared" si="7"/>
        <v>No</v>
      </c>
      <c r="S6" t="str">
        <f t="shared" si="8"/>
        <v>No</v>
      </c>
    </row>
    <row r="7" spans="1:19" x14ac:dyDescent="0.2">
      <c r="A7" s="3" t="s">
        <v>138</v>
      </c>
      <c r="B7">
        <f>COUNTIF('AC Results'!$Y$5:$Y$238,$A7)</f>
        <v>3</v>
      </c>
      <c r="C7">
        <f>COUNTIFS('AC Results'!$Y$5:$Y$238,$A7,'AC Results'!$S$5:$S$238,"TVK")</f>
        <v>1</v>
      </c>
      <c r="D7">
        <f>COUNTIFS('AC Results'!$Y$5:$Y$238,$A7,'AC Results'!$S$5:$S$238,"AIADMK+BJP+PMK+AMMK")</f>
        <v>0</v>
      </c>
      <c r="E7">
        <f>COUNTIFS('AC Results'!$Y$5:$Y$238,$A7,'AC Results'!$S$5:$S$238,"DMK+INC+VCK")</f>
        <v>2</v>
      </c>
      <c r="F7">
        <f t="shared" si="0"/>
        <v>0</v>
      </c>
      <c r="G7" s="12">
        <f>COUNTIFS('AC vs Actual 2026'!$C$5:$C$238,$A7,'AC vs Actual 2026'!$L$5:$L$238,"TVK")</f>
        <v>3</v>
      </c>
      <c r="H7" s="12">
        <f>COUNTIFS('AC vs Actual 2026'!$C$5:$C$238,$A7,'AC vs Actual 2026'!$L$5:$L$238,"AIADMK+BJP+PMK+AMMK")</f>
        <v>0</v>
      </c>
      <c r="I7" s="12">
        <f>COUNTIFS('AC vs Actual 2026'!$C$5:$C$238,$A7,'AC vs Actual 2026'!$L$5:$L$238,"DMK+INC+VCK")</f>
        <v>0</v>
      </c>
      <c r="J7" s="13">
        <f t="shared" si="1"/>
        <v>2</v>
      </c>
      <c r="K7" s="13">
        <f t="shared" si="2"/>
        <v>0</v>
      </c>
      <c r="L7" s="13">
        <f t="shared" si="3"/>
        <v>-2</v>
      </c>
      <c r="M7">
        <f t="shared" si="4"/>
        <v>4</v>
      </c>
      <c r="N7" t="str">
        <f>IF(COUNTIF(C7:E7,MAX(C7:E7))&gt;1,"Tie",INDEX({"TVK","AIADMK+","DMK+"},MATCH(MAX(C7:E7),C7:E7,0)))</f>
        <v>DMK+</v>
      </c>
      <c r="O7" t="str">
        <f>IF(COUNTIF(G7:I7,MAX(G7:I7))&gt;1,"Tie",INDEX({"TVK","AIADMK+","DMK+"},MATCH(MAX(G7:I7),G7:I7,0)))</f>
        <v>TVK</v>
      </c>
      <c r="P7" t="str">
        <f t="shared" si="5"/>
        <v>No</v>
      </c>
      <c r="Q7" t="str">
        <f t="shared" si="6"/>
        <v>Yes</v>
      </c>
      <c r="R7" t="str">
        <f t="shared" si="7"/>
        <v>Yes</v>
      </c>
      <c r="S7" t="str">
        <f t="shared" si="8"/>
        <v>No</v>
      </c>
    </row>
    <row r="8" spans="1:19" x14ac:dyDescent="0.2">
      <c r="A8" s="3" t="s">
        <v>68</v>
      </c>
      <c r="B8">
        <f>COUNTIF('AC Results'!$Y$5:$Y$238,$A8)</f>
        <v>6</v>
      </c>
      <c r="C8">
        <f>COUNTIFS('AC Results'!$Y$5:$Y$238,$A8,'AC Results'!$S$5:$S$238,"TVK")</f>
        <v>4</v>
      </c>
      <c r="D8">
        <f>COUNTIFS('AC Results'!$Y$5:$Y$238,$A8,'AC Results'!$S$5:$S$238,"AIADMK+BJP+PMK+AMMK")</f>
        <v>1</v>
      </c>
      <c r="E8">
        <f>COUNTIFS('AC Results'!$Y$5:$Y$238,$A8,'AC Results'!$S$5:$S$238,"DMK+INC+VCK")</f>
        <v>1</v>
      </c>
      <c r="F8">
        <f t="shared" si="0"/>
        <v>0</v>
      </c>
      <c r="G8" s="12">
        <f>COUNTIFS('AC vs Actual 2026'!$C$5:$C$238,$A8,'AC vs Actual 2026'!$L$5:$L$238,"TVK")</f>
        <v>4</v>
      </c>
      <c r="H8" s="12">
        <f>COUNTIFS('AC vs Actual 2026'!$C$5:$C$238,$A8,'AC vs Actual 2026'!$L$5:$L$238,"AIADMK+BJP+PMK+AMMK")</f>
        <v>2</v>
      </c>
      <c r="I8" s="12">
        <f>COUNTIFS('AC vs Actual 2026'!$C$5:$C$238,$A8,'AC vs Actual 2026'!$L$5:$L$238,"DMK+INC+VCK")</f>
        <v>0</v>
      </c>
      <c r="J8" s="13">
        <f t="shared" si="1"/>
        <v>0</v>
      </c>
      <c r="K8" s="13">
        <f t="shared" si="2"/>
        <v>1</v>
      </c>
      <c r="L8" s="13">
        <f t="shared" si="3"/>
        <v>-1</v>
      </c>
      <c r="M8">
        <f t="shared" si="4"/>
        <v>2</v>
      </c>
      <c r="N8" t="str">
        <f>IF(COUNTIF(C8:E8,MAX(C8:E8))&gt;1,"Tie",INDEX({"TVK","AIADMK+","DMK+"},MATCH(MAX(C8:E8),C8:E8,0)))</f>
        <v>TVK</v>
      </c>
      <c r="O8" t="str">
        <f>IF(COUNTIF(G8:I8,MAX(G8:I8))&gt;1,"Tie",INDEX({"TVK","AIADMK+","DMK+"},MATCH(MAX(G8:I8),G8:I8,0)))</f>
        <v>TVK</v>
      </c>
      <c r="P8" t="str">
        <f t="shared" si="5"/>
        <v>Yes</v>
      </c>
      <c r="Q8" t="str">
        <f t="shared" si="6"/>
        <v>Yes</v>
      </c>
      <c r="R8" t="str">
        <f t="shared" si="7"/>
        <v>Yes</v>
      </c>
      <c r="S8" t="str">
        <f t="shared" si="8"/>
        <v>No</v>
      </c>
    </row>
    <row r="9" spans="1:19" x14ac:dyDescent="0.2">
      <c r="A9" s="3" t="s">
        <v>194</v>
      </c>
      <c r="B9">
        <f>COUNTIF('AC Results'!$Y$5:$Y$238,$A9)</f>
        <v>4</v>
      </c>
      <c r="C9">
        <f>COUNTIFS('AC Results'!$Y$5:$Y$238,$A9,'AC Results'!$S$5:$S$238,"TVK")</f>
        <v>1</v>
      </c>
      <c r="D9">
        <f>COUNTIFS('AC Results'!$Y$5:$Y$238,$A9,'AC Results'!$S$5:$S$238,"AIADMK+BJP+PMK+AMMK")</f>
        <v>2</v>
      </c>
      <c r="E9">
        <f>COUNTIFS('AC Results'!$Y$5:$Y$238,$A9,'AC Results'!$S$5:$S$238,"DMK+INC+VCK")</f>
        <v>1</v>
      </c>
      <c r="F9">
        <f t="shared" si="0"/>
        <v>0</v>
      </c>
      <c r="G9" s="12">
        <f>COUNTIFS('AC vs Actual 2026'!$C$5:$C$238,$A9,'AC vs Actual 2026'!$L$5:$L$238,"TVK")</f>
        <v>3</v>
      </c>
      <c r="H9" s="12">
        <f>COUNTIFS('AC vs Actual 2026'!$C$5:$C$238,$A9,'AC vs Actual 2026'!$L$5:$L$238,"AIADMK+BJP+PMK+AMMK")</f>
        <v>1</v>
      </c>
      <c r="I9" s="12">
        <f>COUNTIFS('AC vs Actual 2026'!$C$5:$C$238,$A9,'AC vs Actual 2026'!$L$5:$L$238,"DMK+INC+VCK")</f>
        <v>0</v>
      </c>
      <c r="J9" s="13">
        <f t="shared" si="1"/>
        <v>2</v>
      </c>
      <c r="K9" s="13">
        <f t="shared" si="2"/>
        <v>-1</v>
      </c>
      <c r="L9" s="13">
        <f t="shared" si="3"/>
        <v>-1</v>
      </c>
      <c r="M9">
        <f t="shared" si="4"/>
        <v>4</v>
      </c>
      <c r="N9" t="str">
        <f>IF(COUNTIF(C9:E9,MAX(C9:E9))&gt;1,"Tie",INDEX({"TVK","AIADMK+","DMK+"},MATCH(MAX(C9:E9),C9:E9,0)))</f>
        <v>AIADMK+</v>
      </c>
      <c r="O9" t="str">
        <f>IF(COUNTIF(G9:I9,MAX(G9:I9))&gt;1,"Tie",INDEX({"TVK","AIADMK+","DMK+"},MATCH(MAX(G9:I9),G9:I9,0)))</f>
        <v>TVK</v>
      </c>
      <c r="P9" t="str">
        <f t="shared" si="5"/>
        <v>No</v>
      </c>
      <c r="Q9" t="str">
        <f t="shared" si="6"/>
        <v>Yes</v>
      </c>
      <c r="R9" t="str">
        <f t="shared" si="7"/>
        <v>No</v>
      </c>
      <c r="S9" t="str">
        <f t="shared" si="8"/>
        <v>No</v>
      </c>
    </row>
    <row r="10" spans="1:19" x14ac:dyDescent="0.2">
      <c r="A10" s="3" t="s">
        <v>294</v>
      </c>
      <c r="B10">
        <f>COUNTIF('AC Results'!$Y$5:$Y$238,$A10)</f>
        <v>5</v>
      </c>
      <c r="C10">
        <f>COUNTIFS('AC Results'!$Y$5:$Y$238,$A10,'AC Results'!$S$5:$S$238,"TVK")</f>
        <v>3</v>
      </c>
      <c r="D10">
        <f>COUNTIFS('AC Results'!$Y$5:$Y$238,$A10,'AC Results'!$S$5:$S$238,"AIADMK+BJP+PMK+AMMK")</f>
        <v>1</v>
      </c>
      <c r="E10">
        <f>COUNTIFS('AC Results'!$Y$5:$Y$238,$A10,'AC Results'!$S$5:$S$238,"DMK+INC+VCK")</f>
        <v>1</v>
      </c>
      <c r="F10">
        <f t="shared" si="0"/>
        <v>0</v>
      </c>
      <c r="G10" s="12">
        <f>COUNTIFS('AC vs Actual 2026'!$C$5:$C$238,$A10,'AC vs Actual 2026'!$L$5:$L$238,"TVK")</f>
        <v>4</v>
      </c>
      <c r="H10" s="12">
        <f>COUNTIFS('AC vs Actual 2026'!$C$5:$C$238,$A10,'AC vs Actual 2026'!$L$5:$L$238,"AIADMK+BJP+PMK+AMMK")</f>
        <v>1</v>
      </c>
      <c r="I10" s="12">
        <f>COUNTIFS('AC vs Actual 2026'!$C$5:$C$238,$A10,'AC vs Actual 2026'!$L$5:$L$238,"DMK+INC+VCK")</f>
        <v>0</v>
      </c>
      <c r="J10" s="13">
        <f t="shared" si="1"/>
        <v>1</v>
      </c>
      <c r="K10" s="13">
        <f t="shared" si="2"/>
        <v>0</v>
      </c>
      <c r="L10" s="13">
        <f t="shared" si="3"/>
        <v>-1</v>
      </c>
      <c r="M10">
        <f t="shared" si="4"/>
        <v>2</v>
      </c>
      <c r="N10" t="str">
        <f>IF(COUNTIF(C10:E10,MAX(C10:E10))&gt;1,"Tie",INDEX({"TVK","AIADMK+","DMK+"},MATCH(MAX(C10:E10),C10:E10,0)))</f>
        <v>TVK</v>
      </c>
      <c r="O10" t="str">
        <f>IF(COUNTIF(G10:I10,MAX(G10:I10))&gt;1,"Tie",INDEX({"TVK","AIADMK+","DMK+"},MATCH(MAX(G10:I10),G10:I10,0)))</f>
        <v>TVK</v>
      </c>
      <c r="P10" t="str">
        <f t="shared" si="5"/>
        <v>Yes</v>
      </c>
      <c r="Q10" t="str">
        <f t="shared" si="6"/>
        <v>Yes</v>
      </c>
      <c r="R10" t="str">
        <f t="shared" si="7"/>
        <v>Yes</v>
      </c>
      <c r="S10" t="str">
        <f t="shared" si="8"/>
        <v>No</v>
      </c>
    </row>
    <row r="11" spans="1:19" x14ac:dyDescent="0.2">
      <c r="A11" s="3" t="s">
        <v>268</v>
      </c>
      <c r="B11">
        <f>COUNTIF('AC Results'!$Y$5:$Y$238,$A11)</f>
        <v>4</v>
      </c>
      <c r="C11">
        <f>COUNTIFS('AC Results'!$Y$5:$Y$238,$A11,'AC Results'!$S$5:$S$238,"TVK")</f>
        <v>2</v>
      </c>
      <c r="D11">
        <f>COUNTIFS('AC Results'!$Y$5:$Y$238,$A11,'AC Results'!$S$5:$S$238,"AIADMK+BJP+PMK+AMMK")</f>
        <v>0</v>
      </c>
      <c r="E11">
        <f>COUNTIFS('AC Results'!$Y$5:$Y$238,$A11,'AC Results'!$S$5:$S$238,"DMK+INC+VCK")</f>
        <v>2</v>
      </c>
      <c r="F11">
        <f t="shared" si="0"/>
        <v>0</v>
      </c>
      <c r="G11" s="12">
        <f>COUNTIFS('AC vs Actual 2026'!$C$5:$C$238,$A11,'AC vs Actual 2026'!$L$5:$L$238,"TVK")</f>
        <v>1</v>
      </c>
      <c r="H11" s="12">
        <f>COUNTIFS('AC vs Actual 2026'!$C$5:$C$238,$A11,'AC vs Actual 2026'!$L$5:$L$238,"AIADMK+BJP+PMK+AMMK")</f>
        <v>1</v>
      </c>
      <c r="I11" s="12">
        <f>COUNTIFS('AC vs Actual 2026'!$C$5:$C$238,$A11,'AC vs Actual 2026'!$L$5:$L$238,"DMK+INC+VCK")</f>
        <v>2</v>
      </c>
      <c r="J11" s="13">
        <f t="shared" si="1"/>
        <v>-1</v>
      </c>
      <c r="K11" s="13">
        <f t="shared" si="2"/>
        <v>1</v>
      </c>
      <c r="L11" s="13">
        <f t="shared" si="3"/>
        <v>0</v>
      </c>
      <c r="M11">
        <f t="shared" si="4"/>
        <v>2</v>
      </c>
      <c r="N11" t="str">
        <f>IF(COUNTIF(C11:E11,MAX(C11:E11))&gt;1,"Tie",INDEX({"TVK","AIADMK+","DMK+"},MATCH(MAX(C11:E11),C11:E11,0)))</f>
        <v>Tie</v>
      </c>
      <c r="O11" t="str">
        <f>IF(COUNTIF(G11:I11,MAX(G11:I11))&gt;1,"Tie",INDEX({"TVK","AIADMK+","DMK+"},MATCH(MAX(G11:I11),G11:I11,0)))</f>
        <v>DMK+</v>
      </c>
      <c r="P11" t="str">
        <f t="shared" si="5"/>
        <v>Partly</v>
      </c>
      <c r="Q11" t="str">
        <f t="shared" si="6"/>
        <v>No</v>
      </c>
      <c r="R11" t="str">
        <f t="shared" si="7"/>
        <v>Yes</v>
      </c>
      <c r="S11" t="str">
        <f t="shared" si="8"/>
        <v>Yes</v>
      </c>
    </row>
    <row r="12" spans="1:19" x14ac:dyDescent="0.2">
      <c r="A12" s="3" t="s">
        <v>152</v>
      </c>
      <c r="B12">
        <f>COUNTIF('AC Results'!$Y$5:$Y$238,$A12)</f>
        <v>6</v>
      </c>
      <c r="C12">
        <f>COUNTIFS('AC Results'!$Y$5:$Y$238,$A12,'AC Results'!$S$5:$S$238,"TVK")</f>
        <v>4</v>
      </c>
      <c r="D12">
        <f>COUNTIFS('AC Results'!$Y$5:$Y$238,$A12,'AC Results'!$S$5:$S$238,"AIADMK+BJP+PMK+AMMK")</f>
        <v>2</v>
      </c>
      <c r="E12">
        <f>COUNTIFS('AC Results'!$Y$5:$Y$238,$A12,'AC Results'!$S$5:$S$238,"DMK+INC+VCK")</f>
        <v>0</v>
      </c>
      <c r="F12">
        <f t="shared" si="0"/>
        <v>0</v>
      </c>
      <c r="G12" s="12">
        <f>COUNTIFS('AC vs Actual 2026'!$C$5:$C$238,$A12,'AC vs Actual 2026'!$L$5:$L$238,"TVK")</f>
        <v>2</v>
      </c>
      <c r="H12" s="12">
        <f>COUNTIFS('AC vs Actual 2026'!$C$5:$C$238,$A12,'AC vs Actual 2026'!$L$5:$L$238,"AIADMK+BJP+PMK+AMMK")</f>
        <v>2</v>
      </c>
      <c r="I12" s="12">
        <f>COUNTIFS('AC vs Actual 2026'!$C$5:$C$238,$A12,'AC vs Actual 2026'!$L$5:$L$238,"DMK+INC+VCK")</f>
        <v>2</v>
      </c>
      <c r="J12" s="13">
        <f t="shared" si="1"/>
        <v>-2</v>
      </c>
      <c r="K12" s="13">
        <f t="shared" si="2"/>
        <v>0</v>
      </c>
      <c r="L12" s="13">
        <f t="shared" si="3"/>
        <v>2</v>
      </c>
      <c r="M12">
        <f t="shared" si="4"/>
        <v>4</v>
      </c>
      <c r="N12" t="str">
        <f>IF(COUNTIF(C12:E12,MAX(C12:E12))&gt;1,"Tie",INDEX({"TVK","AIADMK+","DMK+"},MATCH(MAX(C12:E12),C12:E12,0)))</f>
        <v>TVK</v>
      </c>
      <c r="O12" t="str">
        <f>IF(COUNTIF(G12:I12,MAX(G12:I12))&gt;1,"Tie",INDEX({"TVK","AIADMK+","DMK+"},MATCH(MAX(G12:I12),G12:I12,0)))</f>
        <v>Tie</v>
      </c>
      <c r="P12" t="str">
        <f t="shared" si="5"/>
        <v>Partly</v>
      </c>
      <c r="Q12" t="str">
        <f t="shared" si="6"/>
        <v>No</v>
      </c>
      <c r="R12" t="str">
        <f t="shared" si="7"/>
        <v>Yes</v>
      </c>
      <c r="S12" t="str">
        <f t="shared" si="8"/>
        <v>Yes</v>
      </c>
    </row>
    <row r="13" spans="1:19" x14ac:dyDescent="0.2">
      <c r="A13" s="3" t="s">
        <v>112</v>
      </c>
      <c r="B13">
        <f>COUNTIF('AC Results'!$Y$5:$Y$238,$A13)</f>
        <v>5</v>
      </c>
      <c r="C13">
        <f>COUNTIFS('AC Results'!$Y$5:$Y$238,$A13,'AC Results'!$S$5:$S$238,"TVK")</f>
        <v>1</v>
      </c>
      <c r="D13">
        <f>COUNTIFS('AC Results'!$Y$5:$Y$238,$A13,'AC Results'!$S$5:$S$238,"AIADMK+BJP+PMK+AMMK")</f>
        <v>4</v>
      </c>
      <c r="E13">
        <f>COUNTIFS('AC Results'!$Y$5:$Y$238,$A13,'AC Results'!$S$5:$S$238,"DMK+INC+VCK")</f>
        <v>0</v>
      </c>
      <c r="F13">
        <f t="shared" si="0"/>
        <v>0</v>
      </c>
      <c r="G13" s="12">
        <f>COUNTIFS('AC vs Actual 2026'!$C$5:$C$238,$A13,'AC vs Actual 2026'!$L$5:$L$238,"TVK")</f>
        <v>1</v>
      </c>
      <c r="H13" s="12">
        <f>COUNTIFS('AC vs Actual 2026'!$C$5:$C$238,$A13,'AC vs Actual 2026'!$L$5:$L$238,"AIADMK+BJP+PMK+AMMK")</f>
        <v>4</v>
      </c>
      <c r="I13" s="12">
        <f>COUNTIFS('AC vs Actual 2026'!$C$5:$C$238,$A13,'AC vs Actual 2026'!$L$5:$L$238,"DMK+INC+VCK")</f>
        <v>0</v>
      </c>
      <c r="J13" s="13">
        <f t="shared" si="1"/>
        <v>0</v>
      </c>
      <c r="K13" s="13">
        <f t="shared" si="2"/>
        <v>0</v>
      </c>
      <c r="L13" s="13">
        <f t="shared" si="3"/>
        <v>0</v>
      </c>
      <c r="M13">
        <f t="shared" si="4"/>
        <v>0</v>
      </c>
      <c r="N13" t="str">
        <f>IF(COUNTIF(C13:E13,MAX(C13:E13))&gt;1,"Tie",INDEX({"TVK","AIADMK+","DMK+"},MATCH(MAX(C13:E13),C13:E13,0)))</f>
        <v>AIADMK+</v>
      </c>
      <c r="O13" t="str">
        <f>IF(COUNTIF(G13:I13,MAX(G13:I13))&gt;1,"Tie",INDEX({"TVK","AIADMK+","DMK+"},MATCH(MAX(G13:I13),G13:I13,0)))</f>
        <v>AIADMK+</v>
      </c>
      <c r="P13" t="str">
        <f t="shared" si="5"/>
        <v>Yes</v>
      </c>
      <c r="Q13" t="str">
        <f t="shared" si="6"/>
        <v>Yes</v>
      </c>
      <c r="R13" t="str">
        <f t="shared" si="7"/>
        <v>Yes</v>
      </c>
      <c r="S13" t="str">
        <f t="shared" si="8"/>
        <v>Yes</v>
      </c>
    </row>
    <row r="14" spans="1:19" x14ac:dyDescent="0.2">
      <c r="A14" s="3" t="s">
        <v>281</v>
      </c>
      <c r="B14">
        <f>COUNTIF('AC Results'!$Y$5:$Y$238,$A14)</f>
        <v>8</v>
      </c>
      <c r="C14">
        <f>COUNTIFS('AC Results'!$Y$5:$Y$238,$A14,'AC Results'!$S$5:$S$238,"TVK")</f>
        <v>6</v>
      </c>
      <c r="D14">
        <f>COUNTIFS('AC Results'!$Y$5:$Y$238,$A14,'AC Results'!$S$5:$S$238,"AIADMK+BJP+PMK+AMMK")</f>
        <v>1</v>
      </c>
      <c r="E14">
        <f>COUNTIFS('AC Results'!$Y$5:$Y$238,$A14,'AC Results'!$S$5:$S$238,"DMK+INC+VCK")</f>
        <v>1</v>
      </c>
      <c r="F14">
        <f t="shared" si="0"/>
        <v>0</v>
      </c>
      <c r="G14" s="12">
        <f>COUNTIFS('AC vs Actual 2026'!$C$5:$C$238,$A14,'AC vs Actual 2026'!$L$5:$L$238,"TVK")</f>
        <v>1</v>
      </c>
      <c r="H14" s="12">
        <f>COUNTIFS('AC vs Actual 2026'!$C$5:$C$238,$A14,'AC vs Actual 2026'!$L$5:$L$238,"AIADMK+BJP+PMK+AMMK")</f>
        <v>5</v>
      </c>
      <c r="I14" s="12">
        <f>COUNTIFS('AC vs Actual 2026'!$C$5:$C$238,$A14,'AC vs Actual 2026'!$L$5:$L$238,"DMK+INC+VCK")</f>
        <v>2</v>
      </c>
      <c r="J14" s="13">
        <f t="shared" si="1"/>
        <v>-5</v>
      </c>
      <c r="K14" s="13">
        <f t="shared" si="2"/>
        <v>4</v>
      </c>
      <c r="L14" s="13">
        <f t="shared" si="3"/>
        <v>1</v>
      </c>
      <c r="M14">
        <f t="shared" si="4"/>
        <v>10</v>
      </c>
      <c r="N14" t="str">
        <f>IF(COUNTIF(C14:E14,MAX(C14:E14))&gt;1,"Tie",INDEX({"TVK","AIADMK+","DMK+"},MATCH(MAX(C14:E14),C14:E14,0)))</f>
        <v>TVK</v>
      </c>
      <c r="O14" t="str">
        <f>IF(COUNTIF(G14:I14,MAX(G14:I14))&gt;1,"Tie",INDEX({"TVK","AIADMK+","DMK+"},MATCH(MAX(G14:I14),G14:I14,0)))</f>
        <v>AIADMK+</v>
      </c>
      <c r="P14" t="str">
        <f t="shared" si="5"/>
        <v>No</v>
      </c>
      <c r="Q14" t="str">
        <f t="shared" si="6"/>
        <v>No</v>
      </c>
      <c r="R14" t="str">
        <f t="shared" si="7"/>
        <v>Yes</v>
      </c>
      <c r="S14" t="str">
        <f t="shared" si="8"/>
        <v>Yes</v>
      </c>
    </row>
    <row r="15" spans="1:19" x14ac:dyDescent="0.2">
      <c r="A15" s="3" t="s">
        <v>299</v>
      </c>
      <c r="B15">
        <f>COUNTIF('AC Results'!$Y$5:$Y$238,$A15)</f>
        <v>7</v>
      </c>
      <c r="C15">
        <f>COUNTIFS('AC Results'!$Y$5:$Y$238,$A15,'AC Results'!$S$5:$S$238,"TVK")</f>
        <v>0</v>
      </c>
      <c r="D15">
        <f>COUNTIFS('AC Results'!$Y$5:$Y$238,$A15,'AC Results'!$S$5:$S$238,"AIADMK+BJP+PMK+AMMK")</f>
        <v>6</v>
      </c>
      <c r="E15">
        <f>COUNTIFS('AC Results'!$Y$5:$Y$238,$A15,'AC Results'!$S$5:$S$238,"DMK+INC+VCK")</f>
        <v>1</v>
      </c>
      <c r="F15">
        <f t="shared" si="0"/>
        <v>0</v>
      </c>
      <c r="G15" s="12">
        <f>COUNTIFS('AC vs Actual 2026'!$C$5:$C$238,$A15,'AC vs Actual 2026'!$L$5:$L$238,"TVK")</f>
        <v>0</v>
      </c>
      <c r="H15" s="12">
        <f>COUNTIFS('AC vs Actual 2026'!$C$5:$C$238,$A15,'AC vs Actual 2026'!$L$5:$L$238,"AIADMK+BJP+PMK+AMMK")</f>
        <v>4</v>
      </c>
      <c r="I15" s="12">
        <f>COUNTIFS('AC vs Actual 2026'!$C$5:$C$238,$A15,'AC vs Actual 2026'!$L$5:$L$238,"DMK+INC+VCK")</f>
        <v>3</v>
      </c>
      <c r="J15" s="13">
        <f t="shared" si="1"/>
        <v>0</v>
      </c>
      <c r="K15" s="13">
        <f t="shared" si="2"/>
        <v>-2</v>
      </c>
      <c r="L15" s="13">
        <f t="shared" si="3"/>
        <v>2</v>
      </c>
      <c r="M15">
        <f t="shared" si="4"/>
        <v>4</v>
      </c>
      <c r="N15" t="str">
        <f>IF(COUNTIF(C15:E15,MAX(C15:E15))&gt;1,"Tie",INDEX({"TVK","AIADMK+","DMK+"},MATCH(MAX(C15:E15),C15:E15,0)))</f>
        <v>AIADMK+</v>
      </c>
      <c r="O15" t="str">
        <f>IF(COUNTIF(G15:I15,MAX(G15:I15))&gt;1,"Tie",INDEX({"TVK","AIADMK+","DMK+"},MATCH(MAX(G15:I15),G15:I15,0)))</f>
        <v>AIADMK+</v>
      </c>
      <c r="P15" t="str">
        <f t="shared" si="5"/>
        <v>Yes</v>
      </c>
      <c r="Q15" t="str">
        <f t="shared" si="6"/>
        <v>Yes</v>
      </c>
      <c r="R15" t="str">
        <f t="shared" si="7"/>
        <v>No</v>
      </c>
      <c r="S15" t="str">
        <f t="shared" si="8"/>
        <v>Yes</v>
      </c>
    </row>
    <row r="16" spans="1:19" x14ac:dyDescent="0.2">
      <c r="A16" s="3" t="s">
        <v>133</v>
      </c>
      <c r="B16">
        <f>COUNTIF('AC Results'!$Y$5:$Y$238,$A16)</f>
        <v>4</v>
      </c>
      <c r="C16">
        <f>COUNTIFS('AC Results'!$Y$5:$Y$238,$A16,'AC Results'!$S$5:$S$238,"TVK")</f>
        <v>4</v>
      </c>
      <c r="D16">
        <f>COUNTIFS('AC Results'!$Y$5:$Y$238,$A16,'AC Results'!$S$5:$S$238,"AIADMK+BJP+PMK+AMMK")</f>
        <v>0</v>
      </c>
      <c r="E16">
        <f>COUNTIFS('AC Results'!$Y$5:$Y$238,$A16,'AC Results'!$S$5:$S$238,"DMK+INC+VCK")</f>
        <v>0</v>
      </c>
      <c r="F16">
        <f t="shared" si="0"/>
        <v>0</v>
      </c>
      <c r="G16" s="12">
        <f>COUNTIFS('AC vs Actual 2026'!$C$5:$C$238,$A16,'AC vs Actual 2026'!$L$5:$L$238,"TVK")</f>
        <v>1</v>
      </c>
      <c r="H16" s="12">
        <f>COUNTIFS('AC vs Actual 2026'!$C$5:$C$238,$A16,'AC vs Actual 2026'!$L$5:$L$238,"AIADMK+BJP+PMK+AMMK")</f>
        <v>1</v>
      </c>
      <c r="I16" s="12">
        <f>COUNTIFS('AC vs Actual 2026'!$C$5:$C$238,$A16,'AC vs Actual 2026'!$L$5:$L$238,"DMK+INC+VCK")</f>
        <v>2</v>
      </c>
      <c r="J16" s="13">
        <f t="shared" si="1"/>
        <v>-3</v>
      </c>
      <c r="K16" s="13">
        <f t="shared" si="2"/>
        <v>1</v>
      </c>
      <c r="L16" s="13">
        <f t="shared" si="3"/>
        <v>2</v>
      </c>
      <c r="M16">
        <f t="shared" si="4"/>
        <v>6</v>
      </c>
      <c r="N16" t="str">
        <f>IF(COUNTIF(C16:E16,MAX(C16:E16))&gt;1,"Tie",INDEX({"TVK","AIADMK+","DMK+"},MATCH(MAX(C16:E16),C16:E16,0)))</f>
        <v>TVK</v>
      </c>
      <c r="O16" t="str">
        <f>IF(COUNTIF(G16:I16,MAX(G16:I16))&gt;1,"Tie",INDEX({"TVK","AIADMK+","DMK+"},MATCH(MAX(G16:I16),G16:I16,0)))</f>
        <v>DMK+</v>
      </c>
      <c r="P16" t="str">
        <f t="shared" si="5"/>
        <v>No</v>
      </c>
      <c r="Q16" t="str">
        <f t="shared" si="6"/>
        <v>No</v>
      </c>
      <c r="R16" t="str">
        <f t="shared" si="7"/>
        <v>Yes</v>
      </c>
      <c r="S16" t="str">
        <f t="shared" si="8"/>
        <v>Yes</v>
      </c>
    </row>
    <row r="17" spans="1:19" x14ac:dyDescent="0.2">
      <c r="A17" s="3" t="s">
        <v>198</v>
      </c>
      <c r="B17">
        <f>COUNTIF('AC Results'!$Y$5:$Y$238,$A17)</f>
        <v>11</v>
      </c>
      <c r="C17">
        <f>COUNTIFS('AC Results'!$Y$5:$Y$238,$A17,'AC Results'!$S$5:$S$238,"TVK")</f>
        <v>6</v>
      </c>
      <c r="D17">
        <f>COUNTIFS('AC Results'!$Y$5:$Y$238,$A17,'AC Results'!$S$5:$S$238,"AIADMK+BJP+PMK+AMMK")</f>
        <v>3</v>
      </c>
      <c r="E17">
        <f>COUNTIFS('AC Results'!$Y$5:$Y$238,$A17,'AC Results'!$S$5:$S$238,"DMK+INC+VCK")</f>
        <v>2</v>
      </c>
      <c r="F17">
        <f t="shared" si="0"/>
        <v>0</v>
      </c>
      <c r="G17" s="12">
        <f>COUNTIFS('AC vs Actual 2026'!$C$5:$C$238,$A17,'AC vs Actual 2026'!$L$5:$L$238,"TVK")</f>
        <v>4</v>
      </c>
      <c r="H17" s="12">
        <f>COUNTIFS('AC vs Actual 2026'!$C$5:$C$238,$A17,'AC vs Actual 2026'!$L$5:$L$238,"AIADMK+BJP+PMK+AMMK")</f>
        <v>7</v>
      </c>
      <c r="I17" s="12">
        <f>COUNTIFS('AC vs Actual 2026'!$C$5:$C$238,$A17,'AC vs Actual 2026'!$L$5:$L$238,"DMK+INC+VCK")</f>
        <v>0</v>
      </c>
      <c r="J17" s="13">
        <f t="shared" si="1"/>
        <v>-2</v>
      </c>
      <c r="K17" s="13">
        <f t="shared" si="2"/>
        <v>4</v>
      </c>
      <c r="L17" s="13">
        <f t="shared" si="3"/>
        <v>-2</v>
      </c>
      <c r="M17">
        <f t="shared" si="4"/>
        <v>8</v>
      </c>
      <c r="N17" t="str">
        <f>IF(COUNTIF(C17:E17,MAX(C17:E17))&gt;1,"Tie",INDEX({"TVK","AIADMK+","DMK+"},MATCH(MAX(C17:E17),C17:E17,0)))</f>
        <v>TVK</v>
      </c>
      <c r="O17" t="str">
        <f>IF(COUNTIF(G17:I17,MAX(G17:I17))&gt;1,"Tie",INDEX({"TVK","AIADMK+","DMK+"},MATCH(MAX(G17:I17),G17:I17,0)))</f>
        <v>AIADMK+</v>
      </c>
      <c r="P17" t="str">
        <f t="shared" si="5"/>
        <v>No</v>
      </c>
      <c r="Q17" t="str">
        <f t="shared" si="6"/>
        <v>No</v>
      </c>
      <c r="R17" t="str">
        <f t="shared" si="7"/>
        <v>Yes</v>
      </c>
      <c r="S17" t="str">
        <f t="shared" si="8"/>
        <v>No</v>
      </c>
    </row>
    <row r="18" spans="1:19" x14ac:dyDescent="0.2">
      <c r="A18" s="3" t="s">
        <v>176</v>
      </c>
      <c r="B18">
        <f>COUNTIF('AC Results'!$Y$5:$Y$238,$A18)</f>
        <v>6</v>
      </c>
      <c r="C18">
        <f>COUNTIFS('AC Results'!$Y$5:$Y$238,$A18,'AC Results'!$S$5:$S$238,"TVK")</f>
        <v>2</v>
      </c>
      <c r="D18">
        <f>COUNTIFS('AC Results'!$Y$5:$Y$238,$A18,'AC Results'!$S$5:$S$238,"AIADMK+BJP+PMK+AMMK")</f>
        <v>4</v>
      </c>
      <c r="E18">
        <f>COUNTIFS('AC Results'!$Y$5:$Y$238,$A18,'AC Results'!$S$5:$S$238,"DMK+INC+VCK")</f>
        <v>0</v>
      </c>
      <c r="F18">
        <f t="shared" si="0"/>
        <v>0</v>
      </c>
      <c r="G18" s="12">
        <f>COUNTIFS('AC vs Actual 2026'!$C$5:$C$238,$A18,'AC vs Actual 2026'!$L$5:$L$238,"TVK")</f>
        <v>5</v>
      </c>
      <c r="H18" s="12">
        <f>COUNTIFS('AC vs Actual 2026'!$C$5:$C$238,$A18,'AC vs Actual 2026'!$L$5:$L$238,"AIADMK+BJP+PMK+AMMK")</f>
        <v>1</v>
      </c>
      <c r="I18" s="12">
        <f>COUNTIFS('AC vs Actual 2026'!$C$5:$C$238,$A18,'AC vs Actual 2026'!$L$5:$L$238,"DMK+INC+VCK")</f>
        <v>0</v>
      </c>
      <c r="J18" s="13">
        <f t="shared" si="1"/>
        <v>3</v>
      </c>
      <c r="K18" s="13">
        <f t="shared" si="2"/>
        <v>-3</v>
      </c>
      <c r="L18" s="13">
        <f t="shared" si="3"/>
        <v>0</v>
      </c>
      <c r="M18">
        <f t="shared" si="4"/>
        <v>6</v>
      </c>
      <c r="N18" t="str">
        <f>IF(COUNTIF(C18:E18,MAX(C18:E18))&gt;1,"Tie",INDEX({"TVK","AIADMK+","DMK+"},MATCH(MAX(C18:E18),C18:E18,0)))</f>
        <v>AIADMK+</v>
      </c>
      <c r="O18" t="str">
        <f>IF(COUNTIF(G18:I18,MAX(G18:I18))&gt;1,"Tie",INDEX({"TVK","AIADMK+","DMK+"},MATCH(MAX(G18:I18),G18:I18,0)))</f>
        <v>TVK</v>
      </c>
      <c r="P18" t="str">
        <f t="shared" si="5"/>
        <v>No</v>
      </c>
      <c r="Q18" t="str">
        <f t="shared" si="6"/>
        <v>Yes</v>
      </c>
      <c r="R18" t="str">
        <f t="shared" si="7"/>
        <v>No</v>
      </c>
      <c r="S18" t="str">
        <f t="shared" si="8"/>
        <v>Yes</v>
      </c>
    </row>
    <row r="19" spans="1:19" x14ac:dyDescent="0.2">
      <c r="A19" s="3" t="s">
        <v>125</v>
      </c>
      <c r="B19">
        <f>COUNTIF('AC Results'!$Y$5:$Y$238,$A19)</f>
        <v>8</v>
      </c>
      <c r="C19">
        <f>COUNTIFS('AC Results'!$Y$5:$Y$238,$A19,'AC Results'!$S$5:$S$238,"TVK")</f>
        <v>1</v>
      </c>
      <c r="D19">
        <f>COUNTIFS('AC Results'!$Y$5:$Y$238,$A19,'AC Results'!$S$5:$S$238,"AIADMK+BJP+PMK+AMMK")</f>
        <v>6</v>
      </c>
      <c r="E19">
        <f>COUNTIFS('AC Results'!$Y$5:$Y$238,$A19,'AC Results'!$S$5:$S$238,"DMK+INC+VCK")</f>
        <v>1</v>
      </c>
      <c r="F19">
        <f t="shared" si="0"/>
        <v>0</v>
      </c>
      <c r="G19" s="12">
        <f>COUNTIFS('AC vs Actual 2026'!$C$5:$C$238,$A19,'AC vs Actual 2026'!$L$5:$L$238,"TVK")</f>
        <v>5</v>
      </c>
      <c r="H19" s="12">
        <f>COUNTIFS('AC vs Actual 2026'!$C$5:$C$238,$A19,'AC vs Actual 2026'!$L$5:$L$238,"AIADMK+BJP+PMK+AMMK")</f>
        <v>3</v>
      </c>
      <c r="I19" s="12">
        <f>COUNTIFS('AC vs Actual 2026'!$C$5:$C$238,$A19,'AC vs Actual 2026'!$L$5:$L$238,"DMK+INC+VCK")</f>
        <v>0</v>
      </c>
      <c r="J19" s="13">
        <f t="shared" si="1"/>
        <v>4</v>
      </c>
      <c r="K19" s="13">
        <f t="shared" si="2"/>
        <v>-3</v>
      </c>
      <c r="L19" s="13">
        <f t="shared" si="3"/>
        <v>-1</v>
      </c>
      <c r="M19">
        <f t="shared" si="4"/>
        <v>8</v>
      </c>
      <c r="N19" t="str">
        <f>IF(COUNTIF(C19:E19,MAX(C19:E19))&gt;1,"Tie",INDEX({"TVK","AIADMK+","DMK+"},MATCH(MAX(C19:E19),C19:E19,0)))</f>
        <v>AIADMK+</v>
      </c>
      <c r="O19" t="str">
        <f>IF(COUNTIF(G19:I19,MAX(G19:I19))&gt;1,"Tie",INDEX({"TVK","AIADMK+","DMK+"},MATCH(MAX(G19:I19),G19:I19,0)))</f>
        <v>TVK</v>
      </c>
      <c r="P19" t="str">
        <f t="shared" si="5"/>
        <v>No</v>
      </c>
      <c r="Q19" t="str">
        <f t="shared" si="6"/>
        <v>Yes</v>
      </c>
      <c r="R19" t="str">
        <f t="shared" si="7"/>
        <v>No</v>
      </c>
      <c r="S19" t="str">
        <f t="shared" si="8"/>
        <v>No</v>
      </c>
    </row>
    <row r="20" spans="1:19" x14ac:dyDescent="0.2">
      <c r="A20" s="3" t="s">
        <v>227</v>
      </c>
      <c r="B20">
        <f>COUNTIF('AC Results'!$Y$5:$Y$238,$A20)</f>
        <v>3</v>
      </c>
      <c r="C20">
        <f>COUNTIFS('AC Results'!$Y$5:$Y$238,$A20,'AC Results'!$S$5:$S$238,"TVK")</f>
        <v>2</v>
      </c>
      <c r="D20">
        <f>COUNTIFS('AC Results'!$Y$5:$Y$238,$A20,'AC Results'!$S$5:$S$238,"AIADMK+BJP+PMK+AMMK")</f>
        <v>0</v>
      </c>
      <c r="E20">
        <f>COUNTIFS('AC Results'!$Y$5:$Y$238,$A20,'AC Results'!$S$5:$S$238,"DMK+INC+VCK")</f>
        <v>1</v>
      </c>
      <c r="F20">
        <f t="shared" si="0"/>
        <v>0</v>
      </c>
      <c r="G20" s="12">
        <f>COUNTIFS('AC vs Actual 2026'!$C$5:$C$238,$A20,'AC vs Actual 2026'!$L$5:$L$238,"TVK")</f>
        <v>0</v>
      </c>
      <c r="H20" s="12">
        <f>COUNTIFS('AC vs Actual 2026'!$C$5:$C$238,$A20,'AC vs Actual 2026'!$L$5:$L$238,"AIADMK+BJP+PMK+AMMK")</f>
        <v>1</v>
      </c>
      <c r="I20" s="12">
        <f>COUNTIFS('AC vs Actual 2026'!$C$5:$C$238,$A20,'AC vs Actual 2026'!$L$5:$L$238,"DMK+INC+VCK")</f>
        <v>2</v>
      </c>
      <c r="J20" s="13">
        <f t="shared" si="1"/>
        <v>-2</v>
      </c>
      <c r="K20" s="13">
        <f t="shared" si="2"/>
        <v>1</v>
      </c>
      <c r="L20" s="13">
        <f t="shared" si="3"/>
        <v>1</v>
      </c>
      <c r="M20">
        <f t="shared" si="4"/>
        <v>4</v>
      </c>
      <c r="N20" t="str">
        <f>IF(COUNTIF(C20:E20,MAX(C20:E20))&gt;1,"Tie",INDEX({"TVK","AIADMK+","DMK+"},MATCH(MAX(C20:E20),C20:E20,0)))</f>
        <v>TVK</v>
      </c>
      <c r="O20" t="str">
        <f>IF(COUNTIF(G20:I20,MAX(G20:I20))&gt;1,"Tie",INDEX({"TVK","AIADMK+","DMK+"},MATCH(MAX(G20:I20),G20:I20,0)))</f>
        <v>DMK+</v>
      </c>
      <c r="P20" t="str">
        <f t="shared" si="5"/>
        <v>No</v>
      </c>
      <c r="Q20" t="str">
        <f t="shared" si="6"/>
        <v>No</v>
      </c>
      <c r="R20" t="str">
        <f t="shared" si="7"/>
        <v>Yes</v>
      </c>
      <c r="S20" t="str">
        <f t="shared" si="8"/>
        <v>Yes</v>
      </c>
    </row>
    <row r="21" spans="1:19" x14ac:dyDescent="0.2">
      <c r="A21" s="3" t="s">
        <v>272</v>
      </c>
      <c r="B21">
        <f>COUNTIF('AC Results'!$Y$5:$Y$238,$A21)</f>
        <v>8</v>
      </c>
      <c r="C21">
        <f>COUNTIFS('AC Results'!$Y$5:$Y$238,$A21,'AC Results'!$S$5:$S$238,"TVK")</f>
        <v>5</v>
      </c>
      <c r="D21">
        <f>COUNTIFS('AC Results'!$Y$5:$Y$238,$A21,'AC Results'!$S$5:$S$238,"AIADMK+BJP+PMK+AMMK")</f>
        <v>2</v>
      </c>
      <c r="E21">
        <f>COUNTIFS('AC Results'!$Y$5:$Y$238,$A21,'AC Results'!$S$5:$S$238,"DMK+INC+VCK")</f>
        <v>1</v>
      </c>
      <c r="F21">
        <f t="shared" si="0"/>
        <v>0</v>
      </c>
      <c r="G21" s="12">
        <f>COUNTIFS('AC vs Actual 2026'!$C$5:$C$238,$A21,'AC vs Actual 2026'!$L$5:$L$238,"TVK")</f>
        <v>4</v>
      </c>
      <c r="H21" s="12">
        <f>COUNTIFS('AC vs Actual 2026'!$C$5:$C$238,$A21,'AC vs Actual 2026'!$L$5:$L$238,"AIADMK+BJP+PMK+AMMK")</f>
        <v>2</v>
      </c>
      <c r="I21" s="12">
        <f>COUNTIFS('AC vs Actual 2026'!$C$5:$C$238,$A21,'AC vs Actual 2026'!$L$5:$L$238,"DMK+INC+VCK")</f>
        <v>2</v>
      </c>
      <c r="J21" s="13">
        <f t="shared" si="1"/>
        <v>-1</v>
      </c>
      <c r="K21" s="13">
        <f t="shared" si="2"/>
        <v>0</v>
      </c>
      <c r="L21" s="13">
        <f t="shared" si="3"/>
        <v>1</v>
      </c>
      <c r="M21">
        <f t="shared" si="4"/>
        <v>2</v>
      </c>
      <c r="N21" t="str">
        <f>IF(COUNTIF(C21:E21,MAX(C21:E21))&gt;1,"Tie",INDEX({"TVK","AIADMK+","DMK+"},MATCH(MAX(C21:E21),C21:E21,0)))</f>
        <v>TVK</v>
      </c>
      <c r="O21" t="str">
        <f>IF(COUNTIF(G21:I21,MAX(G21:I21))&gt;1,"Tie",INDEX({"TVK","AIADMK+","DMK+"},MATCH(MAX(G21:I21),G21:I21,0)))</f>
        <v>TVK</v>
      </c>
      <c r="P21" t="str">
        <f t="shared" si="5"/>
        <v>Yes</v>
      </c>
      <c r="Q21" t="str">
        <f t="shared" si="6"/>
        <v>No</v>
      </c>
      <c r="R21" t="str">
        <f t="shared" si="7"/>
        <v>Yes</v>
      </c>
      <c r="S21" t="str">
        <f t="shared" si="8"/>
        <v>Yes</v>
      </c>
    </row>
    <row r="22" spans="1:19" x14ac:dyDescent="0.2">
      <c r="A22" s="3" t="s">
        <v>93</v>
      </c>
      <c r="B22">
        <f>COUNTIF('AC Results'!$Y$5:$Y$238,$A22)</f>
        <v>10</v>
      </c>
      <c r="C22">
        <f>COUNTIFS('AC Results'!$Y$5:$Y$238,$A22,'AC Results'!$S$5:$S$238,"TVK")</f>
        <v>7</v>
      </c>
      <c r="D22">
        <f>COUNTIFS('AC Results'!$Y$5:$Y$238,$A22,'AC Results'!$S$5:$S$238,"AIADMK+BJP+PMK+AMMK")</f>
        <v>0</v>
      </c>
      <c r="E22">
        <f>COUNTIFS('AC Results'!$Y$5:$Y$238,$A22,'AC Results'!$S$5:$S$238,"DMK+INC+VCK")</f>
        <v>3</v>
      </c>
      <c r="F22">
        <f t="shared" si="0"/>
        <v>0</v>
      </c>
      <c r="G22" s="12">
        <f>COUNTIFS('AC vs Actual 2026'!$C$5:$C$238,$A22,'AC vs Actual 2026'!$L$5:$L$238,"TVK")</f>
        <v>6</v>
      </c>
      <c r="H22" s="12">
        <f>COUNTIFS('AC vs Actual 2026'!$C$5:$C$238,$A22,'AC vs Actual 2026'!$L$5:$L$238,"AIADMK+BJP+PMK+AMMK")</f>
        <v>1</v>
      </c>
      <c r="I22" s="12">
        <f>COUNTIFS('AC vs Actual 2026'!$C$5:$C$238,$A22,'AC vs Actual 2026'!$L$5:$L$238,"DMK+INC+VCK")</f>
        <v>3</v>
      </c>
      <c r="J22" s="13">
        <f t="shared" si="1"/>
        <v>-1</v>
      </c>
      <c r="K22" s="13">
        <f t="shared" si="2"/>
        <v>1</v>
      </c>
      <c r="L22" s="13">
        <f t="shared" si="3"/>
        <v>0</v>
      </c>
      <c r="M22">
        <f t="shared" si="4"/>
        <v>2</v>
      </c>
      <c r="N22" t="str">
        <f>IF(COUNTIF(C22:E22,MAX(C22:E22))&gt;1,"Tie",INDEX({"TVK","AIADMK+","DMK+"},MATCH(MAX(C22:E22),C22:E22,0)))</f>
        <v>TVK</v>
      </c>
      <c r="O22" t="str">
        <f>IF(COUNTIF(G22:I22,MAX(G22:I22))&gt;1,"Tie",INDEX({"TVK","AIADMK+","DMK+"},MATCH(MAX(G22:I22),G22:I22,0)))</f>
        <v>TVK</v>
      </c>
      <c r="P22" t="str">
        <f t="shared" si="5"/>
        <v>Yes</v>
      </c>
      <c r="Q22" t="str">
        <f t="shared" si="6"/>
        <v>No</v>
      </c>
      <c r="R22" t="str">
        <f t="shared" si="7"/>
        <v>Yes</v>
      </c>
      <c r="S22" t="str">
        <f t="shared" si="8"/>
        <v>Yes</v>
      </c>
    </row>
    <row r="23" spans="1:19" x14ac:dyDescent="0.2">
      <c r="A23" s="3" t="s">
        <v>118</v>
      </c>
      <c r="B23">
        <f>COUNTIF('AC Results'!$Y$5:$Y$238,$A23)</f>
        <v>7</v>
      </c>
      <c r="C23">
        <f>COUNTIFS('AC Results'!$Y$5:$Y$238,$A23,'AC Results'!$S$5:$S$238,"TVK")</f>
        <v>6</v>
      </c>
      <c r="D23">
        <f>COUNTIFS('AC Results'!$Y$5:$Y$238,$A23,'AC Results'!$S$5:$S$238,"AIADMK+BJP+PMK+AMMK")</f>
        <v>0</v>
      </c>
      <c r="E23">
        <f>COUNTIFS('AC Results'!$Y$5:$Y$238,$A23,'AC Results'!$S$5:$S$238,"DMK+INC+VCK")</f>
        <v>1</v>
      </c>
      <c r="F23">
        <f t="shared" si="0"/>
        <v>0</v>
      </c>
      <c r="G23" s="12">
        <f>COUNTIFS('AC vs Actual 2026'!$C$5:$C$238,$A23,'AC vs Actual 2026'!$L$5:$L$238,"TVK")</f>
        <v>1</v>
      </c>
      <c r="H23" s="12">
        <f>COUNTIFS('AC vs Actual 2026'!$C$5:$C$238,$A23,'AC vs Actual 2026'!$L$5:$L$238,"AIADMK+BJP+PMK+AMMK")</f>
        <v>2</v>
      </c>
      <c r="I23" s="12">
        <f>COUNTIFS('AC vs Actual 2026'!$C$5:$C$238,$A23,'AC vs Actual 2026'!$L$5:$L$238,"DMK+INC+VCK")</f>
        <v>4</v>
      </c>
      <c r="J23" s="13">
        <f t="shared" si="1"/>
        <v>-5</v>
      </c>
      <c r="K23" s="13">
        <f t="shared" si="2"/>
        <v>2</v>
      </c>
      <c r="L23" s="13">
        <f t="shared" si="3"/>
        <v>3</v>
      </c>
      <c r="M23">
        <f t="shared" si="4"/>
        <v>10</v>
      </c>
      <c r="N23" t="str">
        <f>IF(COUNTIF(C23:E23,MAX(C23:E23))&gt;1,"Tie",INDEX({"TVK","AIADMK+","DMK+"},MATCH(MAX(C23:E23),C23:E23,0)))</f>
        <v>TVK</v>
      </c>
      <c r="O23" t="str">
        <f>IF(COUNTIF(G23:I23,MAX(G23:I23))&gt;1,"Tie",INDEX({"TVK","AIADMK+","DMK+"},MATCH(MAX(G23:I23),G23:I23,0)))</f>
        <v>DMK+</v>
      </c>
      <c r="P23" t="str">
        <f t="shared" si="5"/>
        <v>No</v>
      </c>
      <c r="Q23" t="str">
        <f t="shared" si="6"/>
        <v>No</v>
      </c>
      <c r="R23" t="str">
        <f t="shared" si="7"/>
        <v>Yes</v>
      </c>
      <c r="S23" t="str">
        <f t="shared" si="8"/>
        <v>Yes</v>
      </c>
    </row>
    <row r="24" spans="1:19" x14ac:dyDescent="0.2">
      <c r="A24" s="3" t="s">
        <v>148</v>
      </c>
      <c r="B24">
        <f>COUNTIF('AC Results'!$Y$5:$Y$238,$A24)</f>
        <v>4</v>
      </c>
      <c r="C24">
        <f>COUNTIFS('AC Results'!$Y$5:$Y$238,$A24,'AC Results'!$S$5:$S$238,"TVK")</f>
        <v>4</v>
      </c>
      <c r="D24">
        <f>COUNTIFS('AC Results'!$Y$5:$Y$238,$A24,'AC Results'!$S$5:$S$238,"AIADMK+BJP+PMK+AMMK")</f>
        <v>0</v>
      </c>
      <c r="E24">
        <f>COUNTIFS('AC Results'!$Y$5:$Y$238,$A24,'AC Results'!$S$5:$S$238,"DMK+INC+VCK")</f>
        <v>0</v>
      </c>
      <c r="F24">
        <f t="shared" si="0"/>
        <v>0</v>
      </c>
      <c r="G24" s="12">
        <f>COUNTIFS('AC vs Actual 2026'!$C$5:$C$238,$A24,'AC vs Actual 2026'!$L$5:$L$238,"TVK")</f>
        <v>1</v>
      </c>
      <c r="H24" s="12">
        <f>COUNTIFS('AC vs Actual 2026'!$C$5:$C$238,$A24,'AC vs Actual 2026'!$L$5:$L$238,"AIADMK+BJP+PMK+AMMK")</f>
        <v>1</v>
      </c>
      <c r="I24" s="12">
        <f>COUNTIFS('AC vs Actual 2026'!$C$5:$C$238,$A24,'AC vs Actual 2026'!$L$5:$L$238,"DMK+INC+VCK")</f>
        <v>2</v>
      </c>
      <c r="J24" s="13">
        <f t="shared" si="1"/>
        <v>-3</v>
      </c>
      <c r="K24" s="13">
        <f t="shared" si="2"/>
        <v>1</v>
      </c>
      <c r="L24" s="13">
        <f t="shared" si="3"/>
        <v>2</v>
      </c>
      <c r="M24">
        <f t="shared" si="4"/>
        <v>6</v>
      </c>
      <c r="N24" t="str">
        <f>IF(COUNTIF(C24:E24,MAX(C24:E24))&gt;1,"Tie",INDEX({"TVK","AIADMK+","DMK+"},MATCH(MAX(C24:E24),C24:E24,0)))</f>
        <v>TVK</v>
      </c>
      <c r="O24" t="str">
        <f>IF(COUNTIF(G24:I24,MAX(G24:I24))&gt;1,"Tie",INDEX({"TVK","AIADMK+","DMK+"},MATCH(MAX(G24:I24),G24:I24,0)))</f>
        <v>DMK+</v>
      </c>
      <c r="P24" t="str">
        <f t="shared" si="5"/>
        <v>No</v>
      </c>
      <c r="Q24" t="str">
        <f t="shared" si="6"/>
        <v>No</v>
      </c>
      <c r="R24" t="str">
        <f t="shared" si="7"/>
        <v>Yes</v>
      </c>
      <c r="S24" t="str">
        <f t="shared" si="8"/>
        <v>Yes</v>
      </c>
    </row>
    <row r="25" spans="1:19" x14ac:dyDescent="0.2">
      <c r="A25" s="3" t="s">
        <v>253</v>
      </c>
      <c r="B25">
        <f>COUNTIF('AC Results'!$Y$5:$Y$238,$A25)</f>
        <v>9</v>
      </c>
      <c r="C25">
        <f>COUNTIFS('AC Results'!$Y$5:$Y$238,$A25,'AC Results'!$S$5:$S$238,"TVK")</f>
        <v>4</v>
      </c>
      <c r="D25">
        <f>COUNTIFS('AC Results'!$Y$5:$Y$238,$A25,'AC Results'!$S$5:$S$238,"AIADMK+BJP+PMK+AMMK")</f>
        <v>2</v>
      </c>
      <c r="E25">
        <f>COUNTIFS('AC Results'!$Y$5:$Y$238,$A25,'AC Results'!$S$5:$S$238,"DMK+INC+VCK")</f>
        <v>3</v>
      </c>
      <c r="F25">
        <f t="shared" si="0"/>
        <v>0</v>
      </c>
      <c r="G25" s="12">
        <f>COUNTIFS('AC vs Actual 2026'!$C$5:$C$238,$A25,'AC vs Actual 2026'!$L$5:$L$238,"TVK")</f>
        <v>6</v>
      </c>
      <c r="H25" s="12">
        <f>COUNTIFS('AC vs Actual 2026'!$C$5:$C$238,$A25,'AC vs Actual 2026'!$L$5:$L$238,"AIADMK+BJP+PMK+AMMK")</f>
        <v>1</v>
      </c>
      <c r="I25" s="12">
        <f>COUNTIFS('AC vs Actual 2026'!$C$5:$C$238,$A25,'AC vs Actual 2026'!$L$5:$L$238,"DMK+INC+VCK")</f>
        <v>2</v>
      </c>
      <c r="J25" s="13">
        <f t="shared" si="1"/>
        <v>2</v>
      </c>
      <c r="K25" s="13">
        <f t="shared" si="2"/>
        <v>-1</v>
      </c>
      <c r="L25" s="13">
        <f t="shared" si="3"/>
        <v>-1</v>
      </c>
      <c r="M25">
        <f t="shared" si="4"/>
        <v>4</v>
      </c>
      <c r="N25" t="str">
        <f>IF(COUNTIF(C25:E25,MAX(C25:E25))&gt;1,"Tie",INDEX({"TVK","AIADMK+","DMK+"},MATCH(MAX(C25:E25),C25:E25,0)))</f>
        <v>TVK</v>
      </c>
      <c r="O25" t="str">
        <f>IF(COUNTIF(G25:I25,MAX(G25:I25))&gt;1,"Tie",INDEX({"TVK","AIADMK+","DMK+"},MATCH(MAX(G25:I25),G25:I25,0)))</f>
        <v>TVK</v>
      </c>
      <c r="P25" t="str">
        <f t="shared" si="5"/>
        <v>Yes</v>
      </c>
      <c r="Q25" t="str">
        <f t="shared" si="6"/>
        <v>Yes</v>
      </c>
      <c r="R25" t="str">
        <f t="shared" si="7"/>
        <v>No</v>
      </c>
      <c r="S25" t="str">
        <f t="shared" si="8"/>
        <v>No</v>
      </c>
    </row>
    <row r="26" spans="1:19" x14ac:dyDescent="0.2">
      <c r="A26" s="3" t="s">
        <v>182</v>
      </c>
      <c r="B26">
        <f>COUNTIF('AC Results'!$Y$5:$Y$238,$A26)</f>
        <v>2</v>
      </c>
      <c r="C26">
        <f>COUNTIFS('AC Results'!$Y$5:$Y$238,$A26,'AC Results'!$S$5:$S$238,"TVK")</f>
        <v>1</v>
      </c>
      <c r="D26">
        <f>COUNTIFS('AC Results'!$Y$5:$Y$238,$A26,'AC Results'!$S$5:$S$238,"AIADMK+BJP+PMK+AMMK")</f>
        <v>0</v>
      </c>
      <c r="E26">
        <f>COUNTIFS('AC Results'!$Y$5:$Y$238,$A26,'AC Results'!$S$5:$S$238,"DMK+INC+VCK")</f>
        <v>1</v>
      </c>
      <c r="F26">
        <f t="shared" si="0"/>
        <v>0</v>
      </c>
      <c r="G26" s="12">
        <f>COUNTIFS('AC vs Actual 2026'!$C$5:$C$238,$A26,'AC vs Actual 2026'!$L$5:$L$238,"TVK")</f>
        <v>1</v>
      </c>
      <c r="H26" s="12">
        <f>COUNTIFS('AC vs Actual 2026'!$C$5:$C$238,$A26,'AC vs Actual 2026'!$L$5:$L$238,"AIADMK+BJP+PMK+AMMK")</f>
        <v>0</v>
      </c>
      <c r="I26" s="12">
        <f>COUNTIFS('AC vs Actual 2026'!$C$5:$C$238,$A26,'AC vs Actual 2026'!$L$5:$L$238,"DMK+INC+VCK")</f>
        <v>1</v>
      </c>
      <c r="J26" s="13">
        <f t="shared" si="1"/>
        <v>0</v>
      </c>
      <c r="K26" s="13">
        <f t="shared" si="2"/>
        <v>0</v>
      </c>
      <c r="L26" s="13">
        <f t="shared" si="3"/>
        <v>0</v>
      </c>
      <c r="M26">
        <f t="shared" si="4"/>
        <v>0</v>
      </c>
      <c r="N26" t="str">
        <f>IF(COUNTIF(C26:E26,MAX(C26:E26))&gt;1,"Tie",INDEX({"TVK","AIADMK+","DMK+"},MATCH(MAX(C26:E26),C26:E26,0)))</f>
        <v>Tie</v>
      </c>
      <c r="O26" t="str">
        <f>IF(COUNTIF(G26:I26,MAX(G26:I26))&gt;1,"Tie",INDEX({"TVK","AIADMK+","DMK+"},MATCH(MAX(G26:I26),G26:I26,0)))</f>
        <v>Tie</v>
      </c>
      <c r="P26" t="str">
        <f t="shared" si="5"/>
        <v>Partly</v>
      </c>
      <c r="Q26" t="str">
        <f t="shared" si="6"/>
        <v>Yes</v>
      </c>
      <c r="R26" t="str">
        <f t="shared" si="7"/>
        <v>Yes</v>
      </c>
      <c r="S26" t="str">
        <f t="shared" si="8"/>
        <v>Yes</v>
      </c>
    </row>
    <row r="27" spans="1:19" x14ac:dyDescent="0.2">
      <c r="A27" s="3" t="s">
        <v>66</v>
      </c>
      <c r="B27">
        <f>COUNTIF('AC Results'!$Y$5:$Y$238,$A27)</f>
        <v>2</v>
      </c>
      <c r="C27">
        <f>COUNTIFS('AC Results'!$Y$5:$Y$238,$A27,'AC Results'!$S$5:$S$238,"TVK")</f>
        <v>1</v>
      </c>
      <c r="D27">
        <f>COUNTIFS('AC Results'!$Y$5:$Y$238,$A27,'AC Results'!$S$5:$S$238,"AIADMK+BJP+PMK+AMMK")</f>
        <v>1</v>
      </c>
      <c r="E27">
        <f>COUNTIFS('AC Results'!$Y$5:$Y$238,$A27,'AC Results'!$S$5:$S$238,"DMK+INC+VCK")</f>
        <v>0</v>
      </c>
      <c r="F27">
        <f t="shared" si="0"/>
        <v>0</v>
      </c>
      <c r="G27" s="12">
        <f>COUNTIFS('AC vs Actual 2026'!$C$5:$C$238,$A27,'AC vs Actual 2026'!$L$5:$L$238,"TVK")</f>
        <v>0</v>
      </c>
      <c r="H27" s="12">
        <f>COUNTIFS('AC vs Actual 2026'!$C$5:$C$238,$A27,'AC vs Actual 2026'!$L$5:$L$238,"AIADMK+BJP+PMK+AMMK")</f>
        <v>2</v>
      </c>
      <c r="I27" s="12">
        <f>COUNTIFS('AC vs Actual 2026'!$C$5:$C$238,$A27,'AC vs Actual 2026'!$L$5:$L$238,"DMK+INC+VCK")</f>
        <v>0</v>
      </c>
      <c r="J27" s="13">
        <f t="shared" si="1"/>
        <v>-1</v>
      </c>
      <c r="K27" s="13">
        <f t="shared" si="2"/>
        <v>1</v>
      </c>
      <c r="L27" s="13">
        <f t="shared" si="3"/>
        <v>0</v>
      </c>
      <c r="M27">
        <f t="shared" si="4"/>
        <v>2</v>
      </c>
      <c r="N27" t="str">
        <f>IF(COUNTIF(C27:E27,MAX(C27:E27))&gt;1,"Tie",INDEX({"TVK","AIADMK+","DMK+"},MATCH(MAX(C27:E27),C27:E27,0)))</f>
        <v>Tie</v>
      </c>
      <c r="O27" t="str">
        <f>IF(COUNTIF(G27:I27,MAX(G27:I27))&gt;1,"Tie",INDEX({"TVK","AIADMK+","DMK+"},MATCH(MAX(G27:I27),G27:I27,0)))</f>
        <v>AIADMK+</v>
      </c>
      <c r="P27" t="str">
        <f t="shared" si="5"/>
        <v>Partly</v>
      </c>
      <c r="Q27" t="str">
        <f t="shared" si="6"/>
        <v>No</v>
      </c>
      <c r="R27" t="str">
        <f t="shared" si="7"/>
        <v>Yes</v>
      </c>
      <c r="S27" t="str">
        <f t="shared" si="8"/>
        <v>Yes</v>
      </c>
    </row>
    <row r="28" spans="1:19" x14ac:dyDescent="0.2">
      <c r="A28" s="3" t="s">
        <v>104</v>
      </c>
      <c r="B28">
        <f>COUNTIF('AC Results'!$Y$5:$Y$238,$A28)</f>
        <v>9</v>
      </c>
      <c r="C28">
        <f>COUNTIFS('AC Results'!$Y$5:$Y$238,$A28,'AC Results'!$S$5:$S$238,"TVK")</f>
        <v>1</v>
      </c>
      <c r="D28">
        <f>COUNTIFS('AC Results'!$Y$5:$Y$238,$A28,'AC Results'!$S$5:$S$238,"AIADMK+BJP+PMK+AMMK")</f>
        <v>6</v>
      </c>
      <c r="E28">
        <f>COUNTIFS('AC Results'!$Y$5:$Y$238,$A28,'AC Results'!$S$5:$S$238,"DMK+INC+VCK")</f>
        <v>2</v>
      </c>
      <c r="F28">
        <f t="shared" si="0"/>
        <v>0</v>
      </c>
      <c r="G28" s="12">
        <f>COUNTIFS('AC vs Actual 2026'!$C$5:$C$238,$A28,'AC vs Actual 2026'!$L$5:$L$238,"TVK")</f>
        <v>1</v>
      </c>
      <c r="H28" s="12">
        <f>COUNTIFS('AC vs Actual 2026'!$C$5:$C$238,$A28,'AC vs Actual 2026'!$L$5:$L$238,"AIADMK+BJP+PMK+AMMK")</f>
        <v>3</v>
      </c>
      <c r="I28" s="12">
        <f>COUNTIFS('AC vs Actual 2026'!$C$5:$C$238,$A28,'AC vs Actual 2026'!$L$5:$L$238,"DMK+INC+VCK")</f>
        <v>5</v>
      </c>
      <c r="J28" s="13">
        <f t="shared" si="1"/>
        <v>0</v>
      </c>
      <c r="K28" s="13">
        <f t="shared" si="2"/>
        <v>-3</v>
      </c>
      <c r="L28" s="13">
        <f t="shared" si="3"/>
        <v>3</v>
      </c>
      <c r="M28">
        <f t="shared" si="4"/>
        <v>6</v>
      </c>
      <c r="N28" t="str">
        <f>IF(COUNTIF(C28:E28,MAX(C28:E28))&gt;1,"Tie",INDEX({"TVK","AIADMK+","DMK+"},MATCH(MAX(C28:E28),C28:E28,0)))</f>
        <v>AIADMK+</v>
      </c>
      <c r="O28" t="str">
        <f>IF(COUNTIF(G28:I28,MAX(G28:I28))&gt;1,"Tie",INDEX({"TVK","AIADMK+","DMK+"},MATCH(MAX(G28:I28),G28:I28,0)))</f>
        <v>DMK+</v>
      </c>
      <c r="P28" t="str">
        <f t="shared" si="5"/>
        <v>No</v>
      </c>
      <c r="Q28" t="str">
        <f t="shared" si="6"/>
        <v>Yes</v>
      </c>
      <c r="R28" t="str">
        <f t="shared" si="7"/>
        <v>No</v>
      </c>
      <c r="S28" t="str">
        <f t="shared" si="8"/>
        <v>Yes</v>
      </c>
    </row>
    <row r="29" spans="1:19" x14ac:dyDescent="0.2">
      <c r="A29" s="3" t="s">
        <v>169</v>
      </c>
      <c r="B29">
        <f>COUNTIF('AC Results'!$Y$5:$Y$238,$A29)</f>
        <v>3</v>
      </c>
      <c r="C29">
        <f>COUNTIFS('AC Results'!$Y$5:$Y$238,$A29,'AC Results'!$S$5:$S$238,"TVK")</f>
        <v>0</v>
      </c>
      <c r="D29">
        <f>COUNTIFS('AC Results'!$Y$5:$Y$238,$A29,'AC Results'!$S$5:$S$238,"AIADMK+BJP+PMK+AMMK")</f>
        <v>2</v>
      </c>
      <c r="E29">
        <f>COUNTIFS('AC Results'!$Y$5:$Y$238,$A29,'AC Results'!$S$5:$S$238,"DMK+INC+VCK")</f>
        <v>1</v>
      </c>
      <c r="F29">
        <f t="shared" si="0"/>
        <v>0</v>
      </c>
      <c r="G29" s="12">
        <f>COUNTIFS('AC vs Actual 2026'!$C$5:$C$238,$A29,'AC vs Actual 2026'!$L$5:$L$238,"TVK")</f>
        <v>0</v>
      </c>
      <c r="H29" s="12">
        <f>COUNTIFS('AC vs Actual 2026'!$C$5:$C$238,$A29,'AC vs Actual 2026'!$L$5:$L$238,"AIADMK+BJP+PMK+AMMK")</f>
        <v>0</v>
      </c>
      <c r="I29" s="12">
        <f>COUNTIFS('AC vs Actual 2026'!$C$5:$C$238,$A29,'AC vs Actual 2026'!$L$5:$L$238,"DMK+INC+VCK")</f>
        <v>3</v>
      </c>
      <c r="J29" s="13">
        <f t="shared" si="1"/>
        <v>0</v>
      </c>
      <c r="K29" s="13">
        <f t="shared" si="2"/>
        <v>-2</v>
      </c>
      <c r="L29" s="13">
        <f t="shared" si="3"/>
        <v>2</v>
      </c>
      <c r="M29">
        <f t="shared" si="4"/>
        <v>4</v>
      </c>
      <c r="N29" t="str">
        <f>IF(COUNTIF(C29:E29,MAX(C29:E29))&gt;1,"Tie",INDEX({"TVK","AIADMK+","DMK+"},MATCH(MAX(C29:E29),C29:E29,0)))</f>
        <v>AIADMK+</v>
      </c>
      <c r="O29" t="str">
        <f>IF(COUNTIF(G29:I29,MAX(G29:I29))&gt;1,"Tie",INDEX({"TVK","AIADMK+","DMK+"},MATCH(MAX(G29:I29),G29:I29,0)))</f>
        <v>DMK+</v>
      </c>
      <c r="P29" t="str">
        <f t="shared" si="5"/>
        <v>No</v>
      </c>
      <c r="Q29" t="str">
        <f t="shared" si="6"/>
        <v>Yes</v>
      </c>
      <c r="R29" t="str">
        <f t="shared" si="7"/>
        <v>No</v>
      </c>
      <c r="S29" t="str">
        <f t="shared" si="8"/>
        <v>Yes</v>
      </c>
    </row>
    <row r="30" spans="1:19" x14ac:dyDescent="0.2">
      <c r="A30" s="3" t="s">
        <v>173</v>
      </c>
      <c r="B30">
        <f>COUNTIF('AC Results'!$Y$5:$Y$238,$A30)</f>
        <v>3</v>
      </c>
      <c r="C30">
        <f>COUNTIFS('AC Results'!$Y$5:$Y$238,$A30,'AC Results'!$S$5:$S$238,"TVK")</f>
        <v>0</v>
      </c>
      <c r="D30">
        <f>COUNTIFS('AC Results'!$Y$5:$Y$238,$A30,'AC Results'!$S$5:$S$238,"AIADMK+BJP+PMK+AMMK")</f>
        <v>0</v>
      </c>
      <c r="E30">
        <f>COUNTIFS('AC Results'!$Y$5:$Y$238,$A30,'AC Results'!$S$5:$S$238,"DMK+INC+VCK")</f>
        <v>2</v>
      </c>
      <c r="F30">
        <f t="shared" si="0"/>
        <v>1</v>
      </c>
      <c r="G30" s="12">
        <f>COUNTIFS('AC vs Actual 2026'!$C$5:$C$238,$A30,'AC vs Actual 2026'!$L$5:$L$238,"TVK")</f>
        <v>0</v>
      </c>
      <c r="H30" s="12">
        <f>COUNTIFS('AC vs Actual 2026'!$C$5:$C$238,$A30,'AC vs Actual 2026'!$L$5:$L$238,"AIADMK+BJP+PMK+AMMK")</f>
        <v>1</v>
      </c>
      <c r="I30" s="12">
        <f>COUNTIFS('AC vs Actual 2026'!$C$5:$C$238,$A30,'AC vs Actual 2026'!$L$5:$L$238,"DMK+INC+VCK")</f>
        <v>2</v>
      </c>
      <c r="J30" s="13">
        <f t="shared" si="1"/>
        <v>0</v>
      </c>
      <c r="K30" s="13">
        <f t="shared" si="2"/>
        <v>1</v>
      </c>
      <c r="L30" s="13">
        <f t="shared" si="3"/>
        <v>0</v>
      </c>
      <c r="M30">
        <f t="shared" si="4"/>
        <v>2</v>
      </c>
      <c r="N30" t="str">
        <f>IF(COUNTIF(C30:E30,MAX(C30:E30))&gt;1,"Tie",INDEX({"TVK","AIADMK+","DMK+"},MATCH(MAX(C30:E30),C30:E30,0)))</f>
        <v>DMK+</v>
      </c>
      <c r="O30" t="str">
        <f>IF(COUNTIF(G30:I30,MAX(G30:I30))&gt;1,"Tie",INDEX({"TVK","AIADMK+","DMK+"},MATCH(MAX(G30:I30),G30:I30,0)))</f>
        <v>DMK+</v>
      </c>
      <c r="P30" t="str">
        <f t="shared" si="5"/>
        <v>Yes</v>
      </c>
      <c r="Q30" t="str">
        <f t="shared" si="6"/>
        <v>Yes</v>
      </c>
      <c r="R30" t="str">
        <f t="shared" si="7"/>
        <v>Yes</v>
      </c>
      <c r="S30" t="str">
        <f t="shared" si="8"/>
        <v>Yes</v>
      </c>
    </row>
    <row r="31" spans="1:19" x14ac:dyDescent="0.2">
      <c r="A31" s="3" t="s">
        <v>289</v>
      </c>
      <c r="B31">
        <f>COUNTIF('AC Results'!$Y$5:$Y$238,$A31)</f>
        <v>4</v>
      </c>
      <c r="C31">
        <f>COUNTIFS('AC Results'!$Y$5:$Y$238,$A31,'AC Results'!$S$5:$S$238,"TVK")</f>
        <v>1</v>
      </c>
      <c r="D31">
        <f>COUNTIFS('AC Results'!$Y$5:$Y$238,$A31,'AC Results'!$S$5:$S$238,"AIADMK+BJP+PMK+AMMK")</f>
        <v>0</v>
      </c>
      <c r="E31">
        <f>COUNTIFS('AC Results'!$Y$5:$Y$238,$A31,'AC Results'!$S$5:$S$238,"DMK+INC+VCK")</f>
        <v>3</v>
      </c>
      <c r="F31">
        <f t="shared" si="0"/>
        <v>0</v>
      </c>
      <c r="G31" s="12">
        <f>COUNTIFS('AC vs Actual 2026'!$C$5:$C$238,$A31,'AC vs Actual 2026'!$L$5:$L$238,"TVK")</f>
        <v>0</v>
      </c>
      <c r="H31" s="12">
        <f>COUNTIFS('AC vs Actual 2026'!$C$5:$C$238,$A31,'AC vs Actual 2026'!$L$5:$L$238,"AIADMK+BJP+PMK+AMMK")</f>
        <v>2</v>
      </c>
      <c r="I31" s="12">
        <f>COUNTIFS('AC vs Actual 2026'!$C$5:$C$238,$A31,'AC vs Actual 2026'!$L$5:$L$238,"DMK+INC+VCK")</f>
        <v>2</v>
      </c>
      <c r="J31" s="13">
        <f t="shared" si="1"/>
        <v>-1</v>
      </c>
      <c r="K31" s="13">
        <f t="shared" si="2"/>
        <v>2</v>
      </c>
      <c r="L31" s="13">
        <f t="shared" si="3"/>
        <v>-1</v>
      </c>
      <c r="M31">
        <f t="shared" si="4"/>
        <v>4</v>
      </c>
      <c r="N31" t="str">
        <f>IF(COUNTIF(C31:E31,MAX(C31:E31))&gt;1,"Tie",INDEX({"TVK","AIADMK+","DMK+"},MATCH(MAX(C31:E31),C31:E31,0)))</f>
        <v>DMK+</v>
      </c>
      <c r="O31" t="str">
        <f>IF(COUNTIF(G31:I31,MAX(G31:I31))&gt;1,"Tie",INDEX({"TVK","AIADMK+","DMK+"},MATCH(MAX(G31:I31),G31:I31,0)))</f>
        <v>Tie</v>
      </c>
      <c r="P31" t="str">
        <f t="shared" si="5"/>
        <v>Partly</v>
      </c>
      <c r="Q31" t="str">
        <f t="shared" si="6"/>
        <v>No</v>
      </c>
      <c r="R31" t="str">
        <f t="shared" si="7"/>
        <v>Yes</v>
      </c>
      <c r="S31" t="str">
        <f t="shared" si="8"/>
        <v>No</v>
      </c>
    </row>
    <row r="32" spans="1:19" x14ac:dyDescent="0.2">
      <c r="A32" s="3" t="s">
        <v>219</v>
      </c>
      <c r="B32">
        <f>COUNTIF('AC Results'!$Y$5:$Y$238,$A32)</f>
        <v>8</v>
      </c>
      <c r="C32">
        <f>COUNTIFS('AC Results'!$Y$5:$Y$238,$A32,'AC Results'!$S$5:$S$238,"TVK")</f>
        <v>4</v>
      </c>
      <c r="D32">
        <f>COUNTIFS('AC Results'!$Y$5:$Y$238,$A32,'AC Results'!$S$5:$S$238,"AIADMK+BJP+PMK+AMMK")</f>
        <v>2</v>
      </c>
      <c r="E32">
        <f>COUNTIFS('AC Results'!$Y$5:$Y$238,$A32,'AC Results'!$S$5:$S$238,"DMK+INC+VCK")</f>
        <v>1</v>
      </c>
      <c r="F32">
        <f t="shared" si="0"/>
        <v>1</v>
      </c>
      <c r="G32" s="12">
        <f>COUNTIFS('AC vs Actual 2026'!$C$5:$C$238,$A32,'AC vs Actual 2026'!$L$5:$L$238,"TVK")</f>
        <v>2</v>
      </c>
      <c r="H32" s="12">
        <f>COUNTIFS('AC vs Actual 2026'!$C$5:$C$238,$A32,'AC vs Actual 2026'!$L$5:$L$238,"AIADMK+BJP+PMK+AMMK")</f>
        <v>0</v>
      </c>
      <c r="I32" s="12">
        <f>COUNTIFS('AC vs Actual 2026'!$C$5:$C$238,$A32,'AC vs Actual 2026'!$L$5:$L$238,"DMK+INC+VCK")</f>
        <v>6</v>
      </c>
      <c r="J32" s="13">
        <f t="shared" si="1"/>
        <v>-2</v>
      </c>
      <c r="K32" s="13">
        <f t="shared" si="2"/>
        <v>-2</v>
      </c>
      <c r="L32" s="13">
        <f t="shared" si="3"/>
        <v>5</v>
      </c>
      <c r="M32">
        <f t="shared" si="4"/>
        <v>10</v>
      </c>
      <c r="N32" t="str">
        <f>IF(COUNTIF(C32:E32,MAX(C32:E32))&gt;1,"Tie",INDEX({"TVK","AIADMK+","DMK+"},MATCH(MAX(C32:E32),C32:E32,0)))</f>
        <v>TVK</v>
      </c>
      <c r="O32" t="str">
        <f>IF(COUNTIF(G32:I32,MAX(G32:I32))&gt;1,"Tie",INDEX({"TVK","AIADMK+","DMK+"},MATCH(MAX(G32:I32),G32:I32,0)))</f>
        <v>DMK+</v>
      </c>
      <c r="P32" t="str">
        <f t="shared" si="5"/>
        <v>No</v>
      </c>
      <c r="Q32" t="str">
        <f t="shared" si="6"/>
        <v>No</v>
      </c>
      <c r="R32" t="str">
        <f t="shared" si="7"/>
        <v>No</v>
      </c>
      <c r="S32" t="str">
        <f t="shared" si="8"/>
        <v>Yes</v>
      </c>
    </row>
    <row r="33" spans="1:19" x14ac:dyDescent="0.2">
      <c r="A33" s="3" t="s">
        <v>184</v>
      </c>
      <c r="B33">
        <f>COUNTIF('AC Results'!$Y$5:$Y$238,$A33)</f>
        <v>6</v>
      </c>
      <c r="C33">
        <f>COUNTIFS('AC Results'!$Y$5:$Y$238,$A33,'AC Results'!$S$5:$S$238,"TVK")</f>
        <v>3</v>
      </c>
      <c r="D33">
        <f>COUNTIFS('AC Results'!$Y$5:$Y$238,$A33,'AC Results'!$S$5:$S$238,"AIADMK+BJP+PMK+AMMK")</f>
        <v>2</v>
      </c>
      <c r="E33">
        <f>COUNTIFS('AC Results'!$Y$5:$Y$238,$A33,'AC Results'!$S$5:$S$238,"DMK+INC+VCK")</f>
        <v>1</v>
      </c>
      <c r="F33">
        <f t="shared" si="0"/>
        <v>0</v>
      </c>
      <c r="G33" s="12">
        <f>COUNTIFS('AC vs Actual 2026'!$C$5:$C$238,$A33,'AC vs Actual 2026'!$L$5:$L$238,"TVK")</f>
        <v>2</v>
      </c>
      <c r="H33" s="12">
        <f>COUNTIFS('AC vs Actual 2026'!$C$5:$C$238,$A33,'AC vs Actual 2026'!$L$5:$L$238,"AIADMK+BJP+PMK+AMMK")</f>
        <v>1</v>
      </c>
      <c r="I33" s="12">
        <f>COUNTIFS('AC vs Actual 2026'!$C$5:$C$238,$A33,'AC vs Actual 2026'!$L$5:$L$238,"DMK+INC+VCK")</f>
        <v>3</v>
      </c>
      <c r="J33" s="13">
        <f t="shared" si="1"/>
        <v>-1</v>
      </c>
      <c r="K33" s="13">
        <f t="shared" si="2"/>
        <v>-1</v>
      </c>
      <c r="L33" s="13">
        <f t="shared" si="3"/>
        <v>2</v>
      </c>
      <c r="M33">
        <f t="shared" si="4"/>
        <v>4</v>
      </c>
      <c r="N33" t="str">
        <f>IF(COUNTIF(C33:E33,MAX(C33:E33))&gt;1,"Tie",INDEX({"TVK","AIADMK+","DMK+"},MATCH(MAX(C33:E33),C33:E33,0)))</f>
        <v>TVK</v>
      </c>
      <c r="O33" t="str">
        <f>IF(COUNTIF(G33:I33,MAX(G33:I33))&gt;1,"Tie",INDEX({"TVK","AIADMK+","DMK+"},MATCH(MAX(G33:I33),G33:I33,0)))</f>
        <v>DMK+</v>
      </c>
      <c r="P33" t="str">
        <f t="shared" si="5"/>
        <v>No</v>
      </c>
      <c r="Q33" t="str">
        <f t="shared" si="6"/>
        <v>No</v>
      </c>
      <c r="R33" t="str">
        <f t="shared" si="7"/>
        <v>No</v>
      </c>
      <c r="S33" t="str">
        <f t="shared" si="8"/>
        <v>Yes</v>
      </c>
    </row>
    <row r="34" spans="1:19" x14ac:dyDescent="0.2">
      <c r="A34" s="3" t="s">
        <v>210</v>
      </c>
      <c r="B34">
        <f>COUNTIF('AC Results'!$Y$5:$Y$238,$A34)</f>
        <v>4</v>
      </c>
      <c r="C34">
        <f>COUNTIFS('AC Results'!$Y$5:$Y$238,$A34,'AC Results'!$S$5:$S$238,"TVK")</f>
        <v>4</v>
      </c>
      <c r="D34">
        <f>COUNTIFS('AC Results'!$Y$5:$Y$238,$A34,'AC Results'!$S$5:$S$238,"AIADMK+BJP+PMK+AMMK")</f>
        <v>0</v>
      </c>
      <c r="E34">
        <f>COUNTIFS('AC Results'!$Y$5:$Y$238,$A34,'AC Results'!$S$5:$S$238,"DMK+INC+VCK")</f>
        <v>0</v>
      </c>
      <c r="F34">
        <f t="shared" si="0"/>
        <v>0</v>
      </c>
      <c r="G34" s="12">
        <f>COUNTIFS('AC vs Actual 2026'!$C$5:$C$238,$A34,'AC vs Actual 2026'!$L$5:$L$238,"TVK")</f>
        <v>4</v>
      </c>
      <c r="H34" s="12">
        <f>COUNTIFS('AC vs Actual 2026'!$C$5:$C$238,$A34,'AC vs Actual 2026'!$L$5:$L$238,"AIADMK+BJP+PMK+AMMK")</f>
        <v>0</v>
      </c>
      <c r="I34" s="12">
        <f>COUNTIFS('AC vs Actual 2026'!$C$5:$C$238,$A34,'AC vs Actual 2026'!$L$5:$L$238,"DMK+INC+VCK")</f>
        <v>0</v>
      </c>
      <c r="J34" s="13">
        <f t="shared" si="1"/>
        <v>0</v>
      </c>
      <c r="K34" s="13">
        <f t="shared" si="2"/>
        <v>0</v>
      </c>
      <c r="L34" s="13">
        <f t="shared" si="3"/>
        <v>0</v>
      </c>
      <c r="M34">
        <f t="shared" si="4"/>
        <v>0</v>
      </c>
      <c r="N34" t="str">
        <f>IF(COUNTIF(C34:E34,MAX(C34:E34))&gt;1,"Tie",INDEX({"TVK","AIADMK+","DMK+"},MATCH(MAX(C34:E34),C34:E34,0)))</f>
        <v>TVK</v>
      </c>
      <c r="O34" t="str">
        <f>IF(COUNTIF(G34:I34,MAX(G34:I34))&gt;1,"Tie",INDEX({"TVK","AIADMK+","DMK+"},MATCH(MAX(G34:I34),G34:I34,0)))</f>
        <v>TVK</v>
      </c>
      <c r="P34" t="str">
        <f t="shared" si="5"/>
        <v>Yes</v>
      </c>
      <c r="Q34" t="str">
        <f t="shared" si="6"/>
        <v>Yes</v>
      </c>
      <c r="R34" t="str">
        <f t="shared" si="7"/>
        <v>Yes</v>
      </c>
      <c r="S34" t="str">
        <f t="shared" si="8"/>
        <v>Yes</v>
      </c>
    </row>
    <row r="35" spans="1:19" x14ac:dyDescent="0.2">
      <c r="A35" s="3" t="s">
        <v>158</v>
      </c>
      <c r="B35">
        <f>COUNTIF('AC Results'!$Y$5:$Y$238,$A35)</f>
        <v>10</v>
      </c>
      <c r="C35">
        <f>COUNTIFS('AC Results'!$Y$5:$Y$238,$A35,'AC Results'!$S$5:$S$238,"TVK")</f>
        <v>3</v>
      </c>
      <c r="D35">
        <f>COUNTIFS('AC Results'!$Y$5:$Y$238,$A35,'AC Results'!$S$5:$S$238,"AIADMK+BJP+PMK+AMMK")</f>
        <v>2</v>
      </c>
      <c r="E35">
        <f>COUNTIFS('AC Results'!$Y$5:$Y$238,$A35,'AC Results'!$S$5:$S$238,"DMK+INC+VCK")</f>
        <v>4</v>
      </c>
      <c r="F35">
        <f t="shared" si="0"/>
        <v>1</v>
      </c>
      <c r="G35" s="12">
        <f>COUNTIFS('AC vs Actual 2026'!$C$5:$C$238,$A35,'AC vs Actual 2026'!$L$5:$L$238,"TVK")</f>
        <v>8</v>
      </c>
      <c r="H35" s="12">
        <f>COUNTIFS('AC vs Actual 2026'!$C$5:$C$238,$A35,'AC vs Actual 2026'!$L$5:$L$238,"AIADMK+BJP+PMK+AMMK")</f>
        <v>0</v>
      </c>
      <c r="I35" s="12">
        <f>COUNTIFS('AC vs Actual 2026'!$C$5:$C$238,$A35,'AC vs Actual 2026'!$L$5:$L$238,"DMK+INC+VCK")</f>
        <v>2</v>
      </c>
      <c r="J35" s="13">
        <f t="shared" si="1"/>
        <v>5</v>
      </c>
      <c r="K35" s="13">
        <f t="shared" si="2"/>
        <v>-2</v>
      </c>
      <c r="L35" s="13">
        <f t="shared" si="3"/>
        <v>-2</v>
      </c>
      <c r="M35">
        <f t="shared" si="4"/>
        <v>10</v>
      </c>
      <c r="N35" t="str">
        <f>IF(COUNTIF(C35:E35,MAX(C35:E35))&gt;1,"Tie",INDEX({"TVK","AIADMK+","DMK+"},MATCH(MAX(C35:E35),C35:E35,0)))</f>
        <v>DMK+</v>
      </c>
      <c r="O35" t="str">
        <f>IF(COUNTIF(G35:I35,MAX(G35:I35))&gt;1,"Tie",INDEX({"TVK","AIADMK+","DMK+"},MATCH(MAX(G35:I35),G35:I35,0)))</f>
        <v>TVK</v>
      </c>
      <c r="P35" t="str">
        <f t="shared" si="5"/>
        <v>No</v>
      </c>
      <c r="Q35" t="str">
        <f t="shared" si="6"/>
        <v>Yes</v>
      </c>
      <c r="R35" t="str">
        <f t="shared" si="7"/>
        <v>No</v>
      </c>
      <c r="S35" t="str">
        <f t="shared" si="8"/>
        <v>No</v>
      </c>
    </row>
    <row r="36" spans="1:19" x14ac:dyDescent="0.2">
      <c r="A36" s="3" t="s">
        <v>231</v>
      </c>
      <c r="B36">
        <f>COUNTIF('AC Results'!$Y$5:$Y$238,$A36)</f>
        <v>4</v>
      </c>
      <c r="C36">
        <f>COUNTIFS('AC Results'!$Y$5:$Y$238,$A36,'AC Results'!$S$5:$S$238,"TVK")</f>
        <v>1</v>
      </c>
      <c r="D36">
        <f>COUNTIFS('AC Results'!$Y$5:$Y$238,$A36,'AC Results'!$S$5:$S$238,"AIADMK+BJP+PMK+AMMK")</f>
        <v>1</v>
      </c>
      <c r="E36">
        <f>COUNTIFS('AC Results'!$Y$5:$Y$238,$A36,'AC Results'!$S$5:$S$238,"DMK+INC+VCK")</f>
        <v>2</v>
      </c>
      <c r="F36">
        <f t="shared" si="0"/>
        <v>0</v>
      </c>
      <c r="G36" s="12">
        <f>COUNTIFS('AC vs Actual 2026'!$C$5:$C$238,$A36,'AC vs Actual 2026'!$L$5:$L$238,"TVK")</f>
        <v>2</v>
      </c>
      <c r="H36" s="12">
        <f>COUNTIFS('AC vs Actual 2026'!$C$5:$C$238,$A36,'AC vs Actual 2026'!$L$5:$L$238,"AIADMK+BJP+PMK+AMMK")</f>
        <v>0</v>
      </c>
      <c r="I36" s="12">
        <f>COUNTIFS('AC vs Actual 2026'!$C$5:$C$238,$A36,'AC vs Actual 2026'!$L$5:$L$238,"DMK+INC+VCK")</f>
        <v>2</v>
      </c>
      <c r="J36" s="13">
        <f t="shared" si="1"/>
        <v>1</v>
      </c>
      <c r="K36" s="13">
        <f t="shared" si="2"/>
        <v>-1</v>
      </c>
      <c r="L36" s="13">
        <f t="shared" si="3"/>
        <v>0</v>
      </c>
      <c r="M36">
        <f t="shared" si="4"/>
        <v>2</v>
      </c>
      <c r="N36" t="str">
        <f>IF(COUNTIF(C36:E36,MAX(C36:E36))&gt;1,"Tie",INDEX({"TVK","AIADMK+","DMK+"},MATCH(MAX(C36:E36),C36:E36,0)))</f>
        <v>DMK+</v>
      </c>
      <c r="O36" t="str">
        <f>IF(COUNTIF(G36:I36,MAX(G36:I36))&gt;1,"Tie",INDEX({"TVK","AIADMK+","DMK+"},MATCH(MAX(G36:I36),G36:I36,0)))</f>
        <v>Tie</v>
      </c>
      <c r="P36" t="str">
        <f t="shared" si="5"/>
        <v>Partly</v>
      </c>
      <c r="Q36" t="str">
        <f t="shared" si="6"/>
        <v>Yes</v>
      </c>
      <c r="R36" t="str">
        <f t="shared" si="7"/>
        <v>No</v>
      </c>
      <c r="S36" t="str">
        <f t="shared" si="8"/>
        <v>Yes</v>
      </c>
    </row>
    <row r="37" spans="1:19" x14ac:dyDescent="0.2">
      <c r="A37" s="3" t="s">
        <v>306</v>
      </c>
      <c r="B37">
        <f>COUNTIF('AC Results'!$Y$5:$Y$238,$A37)</f>
        <v>7</v>
      </c>
      <c r="C37">
        <f>COUNTIFS('AC Results'!$Y$5:$Y$238,$A37,'AC Results'!$S$5:$S$238,"TVK")</f>
        <v>6</v>
      </c>
      <c r="D37">
        <f>COUNTIFS('AC Results'!$Y$5:$Y$238,$A37,'AC Results'!$S$5:$S$238,"AIADMK+BJP+PMK+AMMK")</f>
        <v>1</v>
      </c>
      <c r="E37">
        <f>COUNTIFS('AC Results'!$Y$5:$Y$238,$A37,'AC Results'!$S$5:$S$238,"DMK+INC+VCK")</f>
        <v>0</v>
      </c>
      <c r="F37">
        <f t="shared" si="0"/>
        <v>0</v>
      </c>
      <c r="G37" s="12">
        <f>COUNTIFS('AC vs Actual 2026'!$C$5:$C$238,$A37,'AC vs Actual 2026'!$L$5:$L$238,"TVK")</f>
        <v>4</v>
      </c>
      <c r="H37" s="12">
        <f>COUNTIFS('AC vs Actual 2026'!$C$5:$C$238,$A37,'AC vs Actual 2026'!$L$5:$L$238,"AIADMK+BJP+PMK+AMMK")</f>
        <v>0</v>
      </c>
      <c r="I37" s="12">
        <f>COUNTIFS('AC vs Actual 2026'!$C$5:$C$238,$A37,'AC vs Actual 2026'!$L$5:$L$238,"DMK+INC+VCK")</f>
        <v>3</v>
      </c>
      <c r="J37" s="13">
        <f t="shared" si="1"/>
        <v>-2</v>
      </c>
      <c r="K37" s="13">
        <f t="shared" si="2"/>
        <v>-1</v>
      </c>
      <c r="L37" s="13">
        <f t="shared" si="3"/>
        <v>3</v>
      </c>
      <c r="M37">
        <f t="shared" si="4"/>
        <v>6</v>
      </c>
      <c r="N37" t="str">
        <f>IF(COUNTIF(C37:E37,MAX(C37:E37))&gt;1,"Tie",INDEX({"TVK","AIADMK+","DMK+"},MATCH(MAX(C37:E37),C37:E37,0)))</f>
        <v>TVK</v>
      </c>
      <c r="O37" t="str">
        <f>IF(COUNTIF(G37:I37,MAX(G37:I37))&gt;1,"Tie",INDEX({"TVK","AIADMK+","DMK+"},MATCH(MAX(G37:I37),G37:I37,0)))</f>
        <v>TVK</v>
      </c>
      <c r="P37" t="str">
        <f t="shared" si="5"/>
        <v>Yes</v>
      </c>
      <c r="Q37" t="str">
        <f t="shared" si="6"/>
        <v>No</v>
      </c>
      <c r="R37" t="str">
        <f t="shared" si="7"/>
        <v>No</v>
      </c>
      <c r="S37" t="str">
        <f t="shared" si="8"/>
        <v>Yes</v>
      </c>
    </row>
    <row r="38" spans="1:19" x14ac:dyDescent="0.2">
      <c r="A38" s="3" t="s">
        <v>190</v>
      </c>
      <c r="B38">
        <f>COUNTIF('AC Results'!$Y$5:$Y$238,$A38)</f>
        <v>4</v>
      </c>
      <c r="C38">
        <f>COUNTIFS('AC Results'!$Y$5:$Y$238,$A38,'AC Results'!$S$5:$S$238,"TVK")</f>
        <v>2</v>
      </c>
      <c r="D38">
        <f>COUNTIFS('AC Results'!$Y$5:$Y$238,$A38,'AC Results'!$S$5:$S$238,"AIADMK+BJP+PMK+AMMK")</f>
        <v>0</v>
      </c>
      <c r="E38">
        <f>COUNTIFS('AC Results'!$Y$5:$Y$238,$A38,'AC Results'!$S$5:$S$238,"DMK+INC+VCK")</f>
        <v>2</v>
      </c>
      <c r="F38">
        <f t="shared" si="0"/>
        <v>0</v>
      </c>
      <c r="G38" s="12">
        <f>COUNTIFS('AC vs Actual 2026'!$C$5:$C$238,$A38,'AC vs Actual 2026'!$L$5:$L$238,"TVK")</f>
        <v>1</v>
      </c>
      <c r="H38" s="12">
        <f>COUNTIFS('AC vs Actual 2026'!$C$5:$C$238,$A38,'AC vs Actual 2026'!$L$5:$L$238,"AIADMK+BJP+PMK+AMMK")</f>
        <v>0</v>
      </c>
      <c r="I38" s="12">
        <f>COUNTIFS('AC vs Actual 2026'!$C$5:$C$238,$A38,'AC vs Actual 2026'!$L$5:$L$238,"DMK+INC+VCK")</f>
        <v>3</v>
      </c>
      <c r="J38" s="13">
        <f t="shared" si="1"/>
        <v>-1</v>
      </c>
      <c r="K38" s="13">
        <f t="shared" si="2"/>
        <v>0</v>
      </c>
      <c r="L38" s="13">
        <f t="shared" si="3"/>
        <v>1</v>
      </c>
      <c r="M38">
        <f t="shared" si="4"/>
        <v>2</v>
      </c>
      <c r="N38" t="str">
        <f>IF(COUNTIF(C38:E38,MAX(C38:E38))&gt;1,"Tie",INDEX({"TVK","AIADMK+","DMK+"},MATCH(MAX(C38:E38),C38:E38,0)))</f>
        <v>Tie</v>
      </c>
      <c r="O38" t="str">
        <f>IF(COUNTIF(G38:I38,MAX(G38:I38))&gt;1,"Tie",INDEX({"TVK","AIADMK+","DMK+"},MATCH(MAX(G38:I38),G38:I38,0)))</f>
        <v>DMK+</v>
      </c>
      <c r="P38" t="str">
        <f t="shared" si="5"/>
        <v>Partly</v>
      </c>
      <c r="Q38" t="str">
        <f t="shared" si="6"/>
        <v>No</v>
      </c>
      <c r="R38" t="str">
        <f t="shared" si="7"/>
        <v>Yes</v>
      </c>
      <c r="S38" t="str">
        <f t="shared" si="8"/>
        <v>Yes</v>
      </c>
    </row>
    <row r="39" spans="1:19" x14ac:dyDescent="0.2">
      <c r="A39" s="3" t="s">
        <v>246</v>
      </c>
      <c r="B39">
        <f>COUNTIF('AC Results'!$Y$5:$Y$238,$A39)</f>
        <v>6</v>
      </c>
      <c r="C39">
        <f>COUNTIFS('AC Results'!$Y$5:$Y$238,$A39,'AC Results'!$S$5:$S$238,"TVK")</f>
        <v>2</v>
      </c>
      <c r="D39">
        <f>COUNTIFS('AC Results'!$Y$5:$Y$238,$A39,'AC Results'!$S$5:$S$238,"AIADMK+BJP+PMK+AMMK")</f>
        <v>1</v>
      </c>
      <c r="E39">
        <f>COUNTIFS('AC Results'!$Y$5:$Y$238,$A39,'AC Results'!$S$5:$S$238,"DMK+INC+VCK")</f>
        <v>3</v>
      </c>
      <c r="F39">
        <f t="shared" si="0"/>
        <v>0</v>
      </c>
      <c r="G39" s="12">
        <f>COUNTIFS('AC vs Actual 2026'!$C$5:$C$238,$A39,'AC vs Actual 2026'!$L$5:$L$238,"TVK")</f>
        <v>3</v>
      </c>
      <c r="H39" s="12">
        <f>COUNTIFS('AC vs Actual 2026'!$C$5:$C$238,$A39,'AC vs Actual 2026'!$L$5:$L$238,"AIADMK+BJP+PMK+AMMK")</f>
        <v>0</v>
      </c>
      <c r="I39" s="12">
        <f>COUNTIFS('AC vs Actual 2026'!$C$5:$C$238,$A39,'AC vs Actual 2026'!$L$5:$L$238,"DMK+INC+VCK")</f>
        <v>3</v>
      </c>
      <c r="J39" s="13">
        <f t="shared" si="1"/>
        <v>1</v>
      </c>
      <c r="K39" s="13">
        <f t="shared" si="2"/>
        <v>-1</v>
      </c>
      <c r="L39" s="13">
        <f t="shared" si="3"/>
        <v>0</v>
      </c>
      <c r="M39">
        <f t="shared" si="4"/>
        <v>2</v>
      </c>
      <c r="N39" t="str">
        <f>IF(COUNTIF(C39:E39,MAX(C39:E39))&gt;1,"Tie",INDEX({"TVK","AIADMK+","DMK+"},MATCH(MAX(C39:E39),C39:E39,0)))</f>
        <v>DMK+</v>
      </c>
      <c r="O39" t="str">
        <f>IF(COUNTIF(G39:I39,MAX(G39:I39))&gt;1,"Tie",INDEX({"TVK","AIADMK+","DMK+"},MATCH(MAX(G39:I39),G39:I39,0)))</f>
        <v>Tie</v>
      </c>
      <c r="P39" t="str">
        <f t="shared" si="5"/>
        <v>Partly</v>
      </c>
      <c r="Q39" t="str">
        <f t="shared" si="6"/>
        <v>Yes</v>
      </c>
      <c r="R39" t="str">
        <f t="shared" si="7"/>
        <v>No</v>
      </c>
      <c r="S39" t="str">
        <f t="shared" si="8"/>
        <v>Yes</v>
      </c>
    </row>
    <row r="40" spans="1:19" x14ac:dyDescent="0.2">
      <c r="A40" s="3" t="s">
        <v>214</v>
      </c>
      <c r="B40">
        <f>COUNTIF('AC Results'!$Y$5:$Y$238,$A40)</f>
        <v>5</v>
      </c>
      <c r="C40">
        <f>COUNTIFS('AC Results'!$Y$5:$Y$238,$A40,'AC Results'!$S$5:$S$238,"TVK")</f>
        <v>0</v>
      </c>
      <c r="D40">
        <f>COUNTIFS('AC Results'!$Y$5:$Y$238,$A40,'AC Results'!$S$5:$S$238,"AIADMK+BJP+PMK+AMMK")</f>
        <v>2</v>
      </c>
      <c r="E40">
        <f>COUNTIFS('AC Results'!$Y$5:$Y$238,$A40,'AC Results'!$S$5:$S$238,"DMK+INC+VCK")</f>
        <v>3</v>
      </c>
      <c r="F40">
        <f t="shared" si="0"/>
        <v>0</v>
      </c>
      <c r="G40" s="12">
        <f>COUNTIFS('AC vs Actual 2026'!$C$5:$C$238,$A40,'AC vs Actual 2026'!$L$5:$L$238,"TVK")</f>
        <v>0</v>
      </c>
      <c r="H40" s="12">
        <f>COUNTIFS('AC vs Actual 2026'!$C$5:$C$238,$A40,'AC vs Actual 2026'!$L$5:$L$238,"AIADMK+BJP+PMK+AMMK")</f>
        <v>1</v>
      </c>
      <c r="I40" s="12">
        <f>COUNTIFS('AC vs Actual 2026'!$C$5:$C$238,$A40,'AC vs Actual 2026'!$L$5:$L$238,"DMK+INC+VCK")</f>
        <v>4</v>
      </c>
      <c r="J40" s="13">
        <f t="shared" si="1"/>
        <v>0</v>
      </c>
      <c r="K40" s="13">
        <f t="shared" si="2"/>
        <v>-1</v>
      </c>
      <c r="L40" s="13">
        <f t="shared" si="3"/>
        <v>1</v>
      </c>
      <c r="M40">
        <f t="shared" si="4"/>
        <v>2</v>
      </c>
      <c r="N40" t="str">
        <f>IF(COUNTIF(C40:E40,MAX(C40:E40))&gt;1,"Tie",INDEX({"TVK","AIADMK+","DMK+"},MATCH(MAX(C40:E40),C40:E40,0)))</f>
        <v>DMK+</v>
      </c>
      <c r="O40" t="str">
        <f>IF(COUNTIF(G40:I40,MAX(G40:I40))&gt;1,"Tie",INDEX({"TVK","AIADMK+","DMK+"},MATCH(MAX(G40:I40),G40:I40,0)))</f>
        <v>DMK+</v>
      </c>
      <c r="P40" t="str">
        <f t="shared" si="5"/>
        <v>Yes</v>
      </c>
      <c r="Q40" t="str">
        <f t="shared" si="6"/>
        <v>Yes</v>
      </c>
      <c r="R40" t="str">
        <f t="shared" si="7"/>
        <v>No</v>
      </c>
      <c r="S40" t="str">
        <f t="shared" si="8"/>
        <v>Yes</v>
      </c>
    </row>
    <row r="41" spans="1:19" x14ac:dyDescent="0.2">
      <c r="A41" s="3" t="s">
        <v>263</v>
      </c>
      <c r="B41">
        <f>COUNTIF('AC Results'!$Y$5:$Y$238,$A41)</f>
        <v>5</v>
      </c>
      <c r="C41">
        <f>COUNTIFS('AC Results'!$Y$5:$Y$238,$A41,'AC Results'!$S$5:$S$238,"TVK")</f>
        <v>2</v>
      </c>
      <c r="D41">
        <f>COUNTIFS('AC Results'!$Y$5:$Y$238,$A41,'AC Results'!$S$5:$S$238,"AIADMK+BJP+PMK+AMMK")</f>
        <v>1</v>
      </c>
      <c r="E41">
        <f>COUNTIFS('AC Results'!$Y$5:$Y$238,$A41,'AC Results'!$S$5:$S$238,"DMK+INC+VCK")</f>
        <v>2</v>
      </c>
      <c r="F41">
        <f t="shared" si="0"/>
        <v>0</v>
      </c>
      <c r="G41" s="12">
        <f>COUNTIFS('AC vs Actual 2026'!$C$5:$C$238,$A41,'AC vs Actual 2026'!$L$5:$L$238,"TVK")</f>
        <v>3</v>
      </c>
      <c r="H41" s="12">
        <f>COUNTIFS('AC vs Actual 2026'!$C$5:$C$238,$A41,'AC vs Actual 2026'!$L$5:$L$238,"AIADMK+BJP+PMK+AMMK")</f>
        <v>1</v>
      </c>
      <c r="I41" s="12">
        <f>COUNTIFS('AC vs Actual 2026'!$C$5:$C$238,$A41,'AC vs Actual 2026'!$L$5:$L$238,"DMK+INC+VCK")</f>
        <v>1</v>
      </c>
      <c r="J41" s="13">
        <f t="shared" si="1"/>
        <v>1</v>
      </c>
      <c r="K41" s="13">
        <f t="shared" si="2"/>
        <v>0</v>
      </c>
      <c r="L41" s="13">
        <f t="shared" si="3"/>
        <v>-1</v>
      </c>
      <c r="M41">
        <f t="shared" si="4"/>
        <v>2</v>
      </c>
      <c r="N41" t="str">
        <f>IF(COUNTIF(C41:E41,MAX(C41:E41))&gt;1,"Tie",INDEX({"TVK","AIADMK+","DMK+"},MATCH(MAX(C41:E41),C41:E41,0)))</f>
        <v>Tie</v>
      </c>
      <c r="O41" t="str">
        <f>IF(COUNTIF(G41:I41,MAX(G41:I41))&gt;1,"Tie",INDEX({"TVK","AIADMK+","DMK+"},MATCH(MAX(G41:I41),G41:I41,0)))</f>
        <v>TVK</v>
      </c>
      <c r="P41" t="str">
        <f t="shared" si="5"/>
        <v>Partly</v>
      </c>
      <c r="Q41" t="str">
        <f t="shared" si="6"/>
        <v>Yes</v>
      </c>
      <c r="R41" t="str">
        <f t="shared" si="7"/>
        <v>Yes</v>
      </c>
      <c r="S41" t="str">
        <f t="shared" si="8"/>
        <v>No</v>
      </c>
    </row>
    <row r="42" spans="1:19" x14ac:dyDescent="0.2">
      <c r="A42" s="3" t="s">
        <v>142</v>
      </c>
      <c r="B42">
        <f>COUNTIF('AC Results'!$Y$5:$Y$238,$A42)</f>
        <v>6</v>
      </c>
      <c r="C42">
        <f>COUNTIFS('AC Results'!$Y$5:$Y$238,$A42,'AC Results'!$S$5:$S$238,"TVK")</f>
        <v>3</v>
      </c>
      <c r="D42">
        <f>COUNTIFS('AC Results'!$Y$5:$Y$238,$A42,'AC Results'!$S$5:$S$238,"AIADMK+BJP+PMK+AMMK")</f>
        <v>2</v>
      </c>
      <c r="E42">
        <f>COUNTIFS('AC Results'!$Y$5:$Y$238,$A42,'AC Results'!$S$5:$S$238,"DMK+INC+VCK")</f>
        <v>1</v>
      </c>
      <c r="F42">
        <f t="shared" si="0"/>
        <v>0</v>
      </c>
      <c r="G42" s="12">
        <f>COUNTIFS('AC vs Actual 2026'!$C$5:$C$238,$A42,'AC vs Actual 2026'!$L$5:$L$238,"TVK")</f>
        <v>0</v>
      </c>
      <c r="H42" s="12">
        <f>COUNTIFS('AC vs Actual 2026'!$C$5:$C$238,$A42,'AC vs Actual 2026'!$L$5:$L$238,"AIADMK+BJP+PMK+AMMK")</f>
        <v>1</v>
      </c>
      <c r="I42" s="12">
        <f>COUNTIFS('AC vs Actual 2026'!$C$5:$C$238,$A42,'AC vs Actual 2026'!$L$5:$L$238,"DMK+INC+VCK")</f>
        <v>5</v>
      </c>
      <c r="J42" s="13">
        <f t="shared" si="1"/>
        <v>-3</v>
      </c>
      <c r="K42" s="13">
        <f t="shared" si="2"/>
        <v>-1</v>
      </c>
      <c r="L42" s="13">
        <f t="shared" si="3"/>
        <v>4</v>
      </c>
      <c r="M42">
        <f t="shared" si="4"/>
        <v>8</v>
      </c>
      <c r="N42" t="str">
        <f>IF(COUNTIF(C42:E42,MAX(C42:E42))&gt;1,"Tie",INDEX({"TVK","AIADMK+","DMK+"},MATCH(MAX(C42:E42),C42:E42,0)))</f>
        <v>TVK</v>
      </c>
      <c r="O42" t="str">
        <f>IF(COUNTIF(G42:I42,MAX(G42:I42))&gt;1,"Tie",INDEX({"TVK","AIADMK+","DMK+"},MATCH(MAX(G42:I42),G42:I42,0)))</f>
        <v>DMK+</v>
      </c>
      <c r="P42" t="str">
        <f t="shared" si="5"/>
        <v>No</v>
      </c>
      <c r="Q42" t="str">
        <f t="shared" si="6"/>
        <v>No</v>
      </c>
      <c r="R42" t="str">
        <f t="shared" si="7"/>
        <v>No</v>
      </c>
      <c r="S42" t="str">
        <f t="shared" si="8"/>
        <v>Yes</v>
      </c>
    </row>
    <row r="43" spans="1:19" x14ac:dyDescent="0.2">
      <c r="A43" s="3" t="s">
        <v>331</v>
      </c>
      <c r="B43" s="3">
        <f t="shared" ref="B43:M43" si="9">SUM(B5:B42)</f>
        <v>234</v>
      </c>
      <c r="C43" s="3">
        <f t="shared" si="9"/>
        <v>115</v>
      </c>
      <c r="D43" s="3">
        <f t="shared" si="9"/>
        <v>60</v>
      </c>
      <c r="E43" s="3">
        <f t="shared" si="9"/>
        <v>56</v>
      </c>
      <c r="F43" s="3">
        <f t="shared" si="9"/>
        <v>3</v>
      </c>
      <c r="G43" s="3">
        <f t="shared" si="9"/>
        <v>108</v>
      </c>
      <c r="H43" s="3">
        <f t="shared" si="9"/>
        <v>53</v>
      </c>
      <c r="I43" s="3">
        <f t="shared" si="9"/>
        <v>73</v>
      </c>
      <c r="J43" s="14">
        <f t="shared" si="9"/>
        <v>-7</v>
      </c>
      <c r="K43" s="14">
        <f t="shared" si="9"/>
        <v>-7</v>
      </c>
      <c r="L43" s="14">
        <f t="shared" si="9"/>
        <v>17</v>
      </c>
      <c r="M43" s="3">
        <f t="shared" si="9"/>
        <v>170</v>
      </c>
      <c r="Q43" s="3" t="str">
        <f>COUNTIF(Q5:Q42,"Yes")&amp;" of 38 Yes"</f>
        <v>21 of 38 Yes</v>
      </c>
      <c r="R43" s="3" t="str">
        <f>COUNTIF(R5:R42,"Yes")&amp;" of 38 Yes"</f>
        <v>22 of 38 Yes</v>
      </c>
      <c r="S43" s="3" t="str">
        <f>COUNTIF(S5:S42,"Yes")&amp;" of 38 Yes"</f>
        <v>26 of 38 Yes</v>
      </c>
    </row>
    <row r="45" spans="1:19" x14ac:dyDescent="0.2">
      <c r="A45" s="3" t="s">
        <v>332</v>
      </c>
    </row>
    <row r="46" spans="1:19" x14ac:dyDescent="0.2">
      <c r="A46" t="s">
        <v>333</v>
      </c>
      <c r="B46" s="5">
        <f>COUNTIF(P5:P42,"Yes")</f>
        <v>13</v>
      </c>
    </row>
    <row r="47" spans="1:19" x14ac:dyDescent="0.2">
      <c r="A47" t="s">
        <v>334</v>
      </c>
      <c r="B47" s="5">
        <f>COUNTIF(P5:P42,"Partly")</f>
        <v>9</v>
      </c>
    </row>
    <row r="48" spans="1:19" x14ac:dyDescent="0.2">
      <c r="A48" t="s">
        <v>335</v>
      </c>
      <c r="B48" s="5">
        <f>COUNTIF(P5:P42,"No")</f>
        <v>16</v>
      </c>
    </row>
    <row r="49" spans="1:6" x14ac:dyDescent="0.2">
      <c r="A49" t="s">
        <v>336</v>
      </c>
      <c r="B49" s="15">
        <f>IFERROR(B46/(B46+B48),0)</f>
        <v>0.44827586206896552</v>
      </c>
    </row>
    <row r="50" spans="1:6" x14ac:dyDescent="0.2">
      <c r="A50" t="s">
        <v>337</v>
      </c>
      <c r="B50" s="5">
        <f>SUMPRODUCT((C5:C42&lt;G5:G42)*C5:C42+(C5:C42&gt;=G5:G42)*G5:G42)+SUMPRODUCT((D5:D42&lt;H5:H42)*D5:D42+(D5:D42&gt;=H5:H42)*H5:H42)+SUMPRODUCT((E5:E42&lt;I5:I42)*E5:E42+(E5:E42&gt;=I5:I42)*I5:I42)</f>
        <v>149</v>
      </c>
    </row>
    <row r="51" spans="1:6" x14ac:dyDescent="0.2">
      <c r="A51" t="s">
        <v>338</v>
      </c>
      <c r="B51" s="15">
        <f>B50/234</f>
        <v>0.63675213675213671</v>
      </c>
    </row>
    <row r="52" spans="1:6" x14ac:dyDescent="0.2">
      <c r="A52" t="s">
        <v>339</v>
      </c>
      <c r="B52" s="5">
        <f>M43</f>
        <v>170</v>
      </c>
    </row>
    <row r="53" spans="1:6" x14ac:dyDescent="0.2">
      <c r="A53" t="s">
        <v>340</v>
      </c>
      <c r="B53" s="5">
        <f>COUNTIF(Q5:Q42,"Yes")</f>
        <v>21</v>
      </c>
    </row>
    <row r="54" spans="1:6" x14ac:dyDescent="0.2">
      <c r="A54" t="s">
        <v>341</v>
      </c>
      <c r="B54" s="5">
        <f>COUNTIF(R5:R42,"Yes")</f>
        <v>22</v>
      </c>
    </row>
    <row r="55" spans="1:6" x14ac:dyDescent="0.2">
      <c r="A55" t="s">
        <v>342</v>
      </c>
      <c r="B55" s="5">
        <f>COUNTIF(S5:S42,"Yes")</f>
        <v>26</v>
      </c>
    </row>
    <row r="58" spans="1:6" x14ac:dyDescent="0.2">
      <c r="A58" s="3" t="s">
        <v>343</v>
      </c>
    </row>
    <row r="59" spans="1:6" ht="36" customHeight="1" x14ac:dyDescent="0.2">
      <c r="A59" s="6" t="s">
        <v>344</v>
      </c>
      <c r="B59" s="6" t="s">
        <v>10</v>
      </c>
      <c r="C59" s="6" t="s">
        <v>11</v>
      </c>
      <c r="D59" s="6" t="s">
        <v>12</v>
      </c>
      <c r="E59" s="6" t="s">
        <v>13</v>
      </c>
      <c r="F59" s="6" t="s">
        <v>345</v>
      </c>
    </row>
    <row r="60" spans="1:6" x14ac:dyDescent="0.2">
      <c r="A60" s="3" t="s">
        <v>346</v>
      </c>
      <c r="B60" s="7">
        <f>'Statewide Votes'!H5</f>
        <v>0.34780942649125046</v>
      </c>
      <c r="C60" s="7">
        <f>'Statewide Votes'!I5</f>
        <v>0.28279473751436968</v>
      </c>
      <c r="D60" s="7">
        <f>'Statewide Votes'!J5</f>
        <v>0.29205517946097842</v>
      </c>
      <c r="E60" s="7">
        <f>'Statewide Votes'!K5</f>
        <v>6.9389449482692558E-2</v>
      </c>
      <c r="F60" s="7">
        <f>'Statewide Votes'!L5</f>
        <v>7.9512070507089024E-3</v>
      </c>
    </row>
    <row r="61" spans="1:6" x14ac:dyDescent="0.2">
      <c r="A61" s="3" t="s">
        <v>347</v>
      </c>
      <c r="B61" s="16">
        <v>0.35020000000000001</v>
      </c>
      <c r="C61" s="16">
        <v>0.27210000000000001</v>
      </c>
      <c r="D61" s="16">
        <v>0.314</v>
      </c>
      <c r="E61" s="16">
        <v>0.04</v>
      </c>
      <c r="F61" s="16">
        <v>2.3699999999999999E-2</v>
      </c>
    </row>
    <row r="62" spans="1:6" x14ac:dyDescent="0.2">
      <c r="A62" s="3" t="s">
        <v>348</v>
      </c>
      <c r="B62" s="17">
        <f>(B61-B60)*100</f>
        <v>0.23905735087495494</v>
      </c>
      <c r="C62" s="17">
        <f>(C61-C60)*100</f>
        <v>-1.0694737514369668</v>
      </c>
      <c r="D62" s="17">
        <f>(D61-D60)*100</f>
        <v>2.1944820539021581</v>
      </c>
      <c r="E62" s="17">
        <f>(E61-E60)*100</f>
        <v>-2.9389449482692558</v>
      </c>
      <c r="F62" s="17">
        <f>(F61-F60)*100</f>
        <v>1.5748792949291095</v>
      </c>
    </row>
    <row r="63" spans="1:6" x14ac:dyDescent="0.2">
      <c r="A63" s="3" t="s">
        <v>349</v>
      </c>
      <c r="B63" s="18">
        <f>C43</f>
        <v>115</v>
      </c>
      <c r="C63" s="18">
        <f>D43</f>
        <v>60</v>
      </c>
      <c r="D63" s="18">
        <f>E43</f>
        <v>56</v>
      </c>
      <c r="E63" s="18">
        <f>COUNTIF('AC Results'!$S$5:$S$238,"NTK")</f>
        <v>3</v>
      </c>
      <c r="F63" s="18">
        <f>F43-COUNTIF('AC Results'!$S$5:$S$238,"NTK")</f>
        <v>0</v>
      </c>
    </row>
    <row r="64" spans="1:6" x14ac:dyDescent="0.2">
      <c r="A64" s="3" t="s">
        <v>350</v>
      </c>
      <c r="B64" s="19">
        <v>108</v>
      </c>
      <c r="C64" s="19">
        <v>53</v>
      </c>
      <c r="D64" s="19">
        <v>73</v>
      </c>
      <c r="E64" s="19">
        <v>0</v>
      </c>
      <c r="F64" s="19">
        <v>0</v>
      </c>
    </row>
    <row r="65" spans="1:6" x14ac:dyDescent="0.2">
      <c r="A65" s="3" t="s">
        <v>351</v>
      </c>
      <c r="B65" s="13">
        <f>B64-B63</f>
        <v>-7</v>
      </c>
      <c r="C65" s="13">
        <f>C64-C63</f>
        <v>-7</v>
      </c>
      <c r="D65" s="13">
        <f>D64-D63</f>
        <v>17</v>
      </c>
      <c r="E65" s="13">
        <f>E64-E63</f>
        <v>-3</v>
      </c>
      <c r="F65" s="13">
        <f>F64-F63</f>
        <v>0</v>
      </c>
    </row>
    <row r="66" spans="1:6" x14ac:dyDescent="0.2">
      <c r="A66" s="3" t="s">
        <v>352</v>
      </c>
      <c r="B66" s="20" t="str">
        <f>IF(B65&gt;=0,"Yes","No")</f>
        <v>No</v>
      </c>
      <c r="C66" s="20" t="str">
        <f>IF(C65&gt;=0,"Yes","No")</f>
        <v>No</v>
      </c>
      <c r="D66" s="20" t="str">
        <f>IF(D65&gt;=0,"Yes","No")</f>
        <v>Yes</v>
      </c>
      <c r="E66" s="20" t="str">
        <f>IF(E65&gt;=0,"Yes","No")</f>
        <v>No</v>
      </c>
      <c r="F66" s="20" t="str">
        <f>IF(F65&gt;=0,"Yes","No")</f>
        <v>Yes</v>
      </c>
    </row>
    <row r="67" spans="1:6" x14ac:dyDescent="0.2">
      <c r="A67" s="2" t="s">
        <v>353</v>
      </c>
    </row>
  </sheetData>
  <conditionalFormatting sqref="J5:L42">
    <cfRule type="colorScale" priority="5">
      <colorScale>
        <cfvo type="num" val="-6"/>
        <cfvo type="num" val="0"/>
        <cfvo type="num" val="6"/>
        <color rgb="FFF8696B"/>
        <color rgb="FFFFFFFF"/>
        <color rgb="FF63BE7B"/>
      </colorScale>
    </cfRule>
  </conditionalFormatting>
  <conditionalFormatting sqref="M5:M42">
    <cfRule type="colorScale" priority="6">
      <colorScale>
        <cfvo type="min"/>
        <cfvo type="max"/>
        <color rgb="FFFFFFFF"/>
        <color rgb="FFF8CBAD"/>
      </colorScale>
    </cfRule>
  </conditionalFormatting>
  <conditionalFormatting sqref="N5:O42">
    <cfRule type="cellIs" dxfId="22" priority="7" operator="equal">
      <formula>"TVK"</formula>
    </cfRule>
    <cfRule type="cellIs" dxfId="21" priority="8" operator="equal">
      <formula>"AIADMK+BJP+PMK+AMMK"</formula>
    </cfRule>
    <cfRule type="cellIs" dxfId="20" priority="9" operator="equal">
      <formula>"DMK+INC+VCK"</formula>
    </cfRule>
  </conditionalFormatting>
  <conditionalFormatting sqref="P5:P42">
    <cfRule type="cellIs" dxfId="19" priority="4" operator="equal">
      <formula>"Partly"</formula>
    </cfRule>
  </conditionalFormatting>
  <conditionalFormatting sqref="P5:S42">
    <cfRule type="cellIs" dxfId="18" priority="2" operator="equal">
      <formula>"Yes"</formula>
    </cfRule>
    <cfRule type="cellIs" dxfId="17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6" customWidth="1"/>
    <col min="2" max="2" width="22" customWidth="1"/>
    <col min="3" max="3" width="16" customWidth="1"/>
    <col min="4" max="4" width="10" customWidth="1"/>
    <col min="5" max="5" width="22" customWidth="1"/>
    <col min="6" max="6" width="8" customWidth="1"/>
    <col min="7" max="7" width="22" customWidth="1"/>
    <col min="8" max="8" width="10" customWidth="1"/>
    <col min="9" max="9" width="11" customWidth="1"/>
    <col min="10" max="10" width="22" customWidth="1"/>
    <col min="11" max="11" width="10" customWidth="1"/>
    <col min="12" max="12" width="22" customWidth="1"/>
    <col min="13" max="13" width="8" customWidth="1"/>
    <col min="14" max="14" width="10" customWidth="1"/>
    <col min="15" max="15" width="12" customWidth="1"/>
    <col min="18" max="18" width="30" customWidth="1"/>
    <col min="19" max="19" width="14" customWidth="1"/>
    <col min="20" max="21" width="12" customWidth="1"/>
    <col min="22" max="22" width="8" customWidth="1"/>
    <col min="23" max="23" width="10" customWidth="1"/>
  </cols>
  <sheetData>
    <row r="1" spans="1:21" ht="18" x14ac:dyDescent="0.2">
      <c r="A1" s="1" t="s">
        <v>354</v>
      </c>
    </row>
    <row r="2" spans="1:21" x14ac:dyDescent="0.2">
      <c r="A2" s="2" t="s">
        <v>355</v>
      </c>
    </row>
    <row r="4" spans="1:21" ht="36" customHeight="1" x14ac:dyDescent="0.2">
      <c r="A4" s="6" t="s">
        <v>356</v>
      </c>
      <c r="B4" s="6" t="s">
        <v>46</v>
      </c>
      <c r="C4" s="6" t="s">
        <v>65</v>
      </c>
      <c r="D4" s="6" t="s">
        <v>357</v>
      </c>
      <c r="E4" s="6" t="s">
        <v>358</v>
      </c>
      <c r="F4" s="6" t="s">
        <v>359</v>
      </c>
      <c r="G4" s="6" t="s">
        <v>360</v>
      </c>
      <c r="H4" s="6" t="s">
        <v>361</v>
      </c>
      <c r="I4" s="6" t="s">
        <v>62</v>
      </c>
      <c r="J4" s="6" t="s">
        <v>362</v>
      </c>
      <c r="K4" s="6" t="s">
        <v>363</v>
      </c>
      <c r="L4" s="6" t="s">
        <v>364</v>
      </c>
      <c r="M4" s="6" t="s">
        <v>365</v>
      </c>
      <c r="N4" s="6" t="s">
        <v>366</v>
      </c>
      <c r="O4" s="6" t="s">
        <v>367</v>
      </c>
      <c r="Q4" s="3" t="s">
        <v>368</v>
      </c>
    </row>
    <row r="5" spans="1:21" x14ac:dyDescent="0.2">
      <c r="A5">
        <v>1</v>
      </c>
      <c r="B5" s="3" t="str">
        <f>'AC Results'!A168</f>
        <v>Gummidipoondi</v>
      </c>
      <c r="C5" t="str">
        <f>'AC Results'!Y168</f>
        <v>Thiruvallur</v>
      </c>
      <c r="D5" s="11" t="s">
        <v>369</v>
      </c>
      <c r="E5" t="s">
        <v>24</v>
      </c>
      <c r="F5">
        <f>'AC Results'!H168</f>
        <v>45</v>
      </c>
      <c r="G5" t="str">
        <f>'AC Results'!S168</f>
        <v>TVK</v>
      </c>
      <c r="H5">
        <f>'AC Results'!U168</f>
        <v>13.3</v>
      </c>
      <c r="I5" t="str">
        <f>'AC Results'!V168</f>
        <v>Strong</v>
      </c>
      <c r="J5" t="str">
        <f>'AC Results'!W168</f>
        <v>TVK</v>
      </c>
      <c r="K5" s="11" t="s">
        <v>10</v>
      </c>
      <c r="L5" t="s">
        <v>10</v>
      </c>
      <c r="M5" t="str">
        <f t="shared" ref="M5:M68" si="0">IF(G5=L5,"Yes","No")</f>
        <v>Yes</v>
      </c>
      <c r="N5" t="str">
        <f t="shared" ref="N5:N68" si="1">IF(J5=L5,"Yes","No")</f>
        <v>Yes</v>
      </c>
      <c r="O5" t="str">
        <f t="shared" ref="O5:O68" si="2">IF(E5&lt;&gt;L5,"Changed","Held")</f>
        <v>Changed</v>
      </c>
      <c r="R5" s="12" t="s">
        <v>370</v>
      </c>
      <c r="S5" s="5">
        <f>COUNTIF($M$5:$M$238,"Yes")</f>
        <v>110</v>
      </c>
    </row>
    <row r="6" spans="1:21" x14ac:dyDescent="0.2">
      <c r="A6">
        <v>2</v>
      </c>
      <c r="B6" s="3" t="str">
        <f>'AC Results'!A171</f>
        <v>Ponneri</v>
      </c>
      <c r="C6" t="str">
        <f>'AC Results'!Y171</f>
        <v>Thiruvallur</v>
      </c>
      <c r="D6" s="11" t="s">
        <v>371</v>
      </c>
      <c r="E6" t="s">
        <v>24</v>
      </c>
      <c r="F6">
        <f>'AC Results'!H171</f>
        <v>78</v>
      </c>
      <c r="G6" t="str">
        <f>'AC Results'!S171</f>
        <v>TVK</v>
      </c>
      <c r="H6">
        <f>'AC Results'!U171</f>
        <v>20.6</v>
      </c>
      <c r="I6" t="str">
        <f>'AC Results'!V171</f>
        <v>Strong</v>
      </c>
      <c r="J6" t="str">
        <f>'AC Results'!W171</f>
        <v>TVK</v>
      </c>
      <c r="K6" s="11" t="s">
        <v>10</v>
      </c>
      <c r="L6" t="s">
        <v>10</v>
      </c>
      <c r="M6" t="str">
        <f t="shared" si="0"/>
        <v>Yes</v>
      </c>
      <c r="N6" t="str">
        <f t="shared" si="1"/>
        <v>Yes</v>
      </c>
      <c r="O6" t="str">
        <f t="shared" si="2"/>
        <v>Changed</v>
      </c>
      <c r="R6" s="12" t="s">
        <v>332</v>
      </c>
      <c r="S6" s="15">
        <f>S5/234</f>
        <v>0.47008547008547008</v>
      </c>
    </row>
    <row r="7" spans="1:21" x14ac:dyDescent="0.2">
      <c r="A7">
        <v>3</v>
      </c>
      <c r="B7" s="3" t="str">
        <f>'AC Results'!A175</f>
        <v>Tiruttani</v>
      </c>
      <c r="C7" t="str">
        <f>'AC Results'!Y175</f>
        <v>Thiruvallur</v>
      </c>
      <c r="D7" s="11" t="s">
        <v>369</v>
      </c>
      <c r="E7" t="s">
        <v>24</v>
      </c>
      <c r="F7">
        <f>'AC Results'!H175</f>
        <v>59</v>
      </c>
      <c r="G7" t="str">
        <f>'AC Results'!S175</f>
        <v>TVK</v>
      </c>
      <c r="H7">
        <f>'AC Results'!U175</f>
        <v>8.1</v>
      </c>
      <c r="I7" t="str">
        <f>'AC Results'!V175</f>
        <v>Lean</v>
      </c>
      <c r="J7" t="str">
        <f>'AC Results'!W175</f>
        <v>TVK</v>
      </c>
      <c r="K7" s="11" t="s">
        <v>372</v>
      </c>
      <c r="L7" t="s">
        <v>23</v>
      </c>
      <c r="M7" t="str">
        <f t="shared" si="0"/>
        <v>No</v>
      </c>
      <c r="N7" t="str">
        <f t="shared" si="1"/>
        <v>No</v>
      </c>
      <c r="O7" t="str">
        <f t="shared" si="2"/>
        <v>Changed</v>
      </c>
      <c r="R7" s="12" t="s">
        <v>373</v>
      </c>
      <c r="S7" s="5">
        <f>COUNTIF($N$5:$N$238,"Yes")</f>
        <v>105</v>
      </c>
    </row>
    <row r="8" spans="1:21" x14ac:dyDescent="0.2">
      <c r="A8">
        <v>4</v>
      </c>
      <c r="B8" s="3" t="str">
        <f>'AC Results'!A173</f>
        <v>Thiruvallur</v>
      </c>
      <c r="C8" t="str">
        <f>'AC Results'!Y173</f>
        <v>Thiruvallur</v>
      </c>
      <c r="D8" s="11" t="s">
        <v>369</v>
      </c>
      <c r="E8" t="s">
        <v>24</v>
      </c>
      <c r="F8">
        <f>'AC Results'!H173</f>
        <v>110</v>
      </c>
      <c r="G8" t="str">
        <f>'AC Results'!S173</f>
        <v>TVK</v>
      </c>
      <c r="H8">
        <f>'AC Results'!U173</f>
        <v>12.9</v>
      </c>
      <c r="I8" t="str">
        <f>'AC Results'!V173</f>
        <v>Strong</v>
      </c>
      <c r="J8" t="str">
        <f>'AC Results'!W173</f>
        <v>TVK</v>
      </c>
      <c r="K8" s="11" t="s">
        <v>10</v>
      </c>
      <c r="L8" t="s">
        <v>10</v>
      </c>
      <c r="M8" t="str">
        <f t="shared" si="0"/>
        <v>Yes</v>
      </c>
      <c r="N8" t="str">
        <f t="shared" si="1"/>
        <v>Yes</v>
      </c>
      <c r="O8" t="str">
        <f t="shared" si="2"/>
        <v>Changed</v>
      </c>
      <c r="R8" s="12" t="s">
        <v>374</v>
      </c>
      <c r="S8" s="15">
        <f>S7/234</f>
        <v>0.44871794871794873</v>
      </c>
    </row>
    <row r="9" spans="1:21" x14ac:dyDescent="0.2">
      <c r="A9">
        <v>5</v>
      </c>
      <c r="B9" s="3" t="str">
        <f>'AC Results'!A172</f>
        <v>Poonamallee</v>
      </c>
      <c r="C9" t="str">
        <f>'AC Results'!Y172</f>
        <v>Thiruvallur</v>
      </c>
      <c r="D9" s="11" t="s">
        <v>369</v>
      </c>
      <c r="E9" t="s">
        <v>24</v>
      </c>
      <c r="F9">
        <f>'AC Results'!H172</f>
        <v>82</v>
      </c>
      <c r="G9" t="str">
        <f>'AC Results'!S172</f>
        <v>TVK</v>
      </c>
      <c r="H9">
        <f>'AC Results'!U172</f>
        <v>9.4</v>
      </c>
      <c r="I9" t="str">
        <f>'AC Results'!V172</f>
        <v>Lean</v>
      </c>
      <c r="J9" t="str">
        <f>'AC Results'!W172</f>
        <v>TVK</v>
      </c>
      <c r="K9" s="11" t="s">
        <v>10</v>
      </c>
      <c r="L9" t="s">
        <v>10</v>
      </c>
      <c r="M9" t="str">
        <f t="shared" si="0"/>
        <v>Yes</v>
      </c>
      <c r="N9" t="str">
        <f t="shared" si="1"/>
        <v>Yes</v>
      </c>
      <c r="O9" t="str">
        <f t="shared" si="2"/>
        <v>Changed</v>
      </c>
      <c r="R9" s="12" t="s">
        <v>375</v>
      </c>
      <c r="S9" s="15">
        <f>COUNTIF($L$5:$L$238,"TVK")/234</f>
        <v>0.46153846153846156</v>
      </c>
    </row>
    <row r="10" spans="1:21" x14ac:dyDescent="0.2">
      <c r="A10">
        <v>6</v>
      </c>
      <c r="B10" s="3" t="str">
        <f>'AC Results'!A167</f>
        <v>Avadi</v>
      </c>
      <c r="C10" t="str">
        <f>'AC Results'!Y167</f>
        <v>Thiruvallur</v>
      </c>
      <c r="D10" s="11" t="s">
        <v>369</v>
      </c>
      <c r="E10" t="s">
        <v>24</v>
      </c>
      <c r="F10">
        <f>'AC Results'!H167</f>
        <v>117</v>
      </c>
      <c r="G10" t="str">
        <f>'AC Results'!S167</f>
        <v>DMK+INC+VCK</v>
      </c>
      <c r="H10">
        <f>'AC Results'!U167</f>
        <v>2.9</v>
      </c>
      <c r="I10" t="str">
        <f>'AC Results'!V167</f>
        <v>Toss-up</v>
      </c>
      <c r="J10" t="str">
        <f>'AC Results'!W167</f>
        <v>TVK</v>
      </c>
      <c r="K10" s="11" t="s">
        <v>10</v>
      </c>
      <c r="L10" t="s">
        <v>10</v>
      </c>
      <c r="M10" t="str">
        <f t="shared" si="0"/>
        <v>No</v>
      </c>
      <c r="N10" t="str">
        <f t="shared" si="1"/>
        <v>Yes</v>
      </c>
      <c r="O10" t="str">
        <f t="shared" si="2"/>
        <v>Changed</v>
      </c>
      <c r="R10" s="12" t="s">
        <v>376</v>
      </c>
      <c r="S10" s="15">
        <f>COUNTIF($O$5:$O$238,"Held")/234</f>
        <v>0.33333333333333331</v>
      </c>
    </row>
    <row r="11" spans="1:21" x14ac:dyDescent="0.2">
      <c r="A11">
        <v>7</v>
      </c>
      <c r="B11" s="3" t="str">
        <f>'AC Results'!A170</f>
        <v>Maduravoyal</v>
      </c>
      <c r="C11" t="str">
        <f>'AC Results'!Y170</f>
        <v>Chennai</v>
      </c>
      <c r="D11" s="11" t="s">
        <v>369</v>
      </c>
      <c r="E11" t="s">
        <v>24</v>
      </c>
      <c r="F11">
        <f>'AC Results'!H170</f>
        <v>105</v>
      </c>
      <c r="G11" t="str">
        <f>'AC Results'!S170</f>
        <v>TVK</v>
      </c>
      <c r="H11">
        <f>'AC Results'!U170</f>
        <v>14.8</v>
      </c>
      <c r="I11" t="str">
        <f>'AC Results'!V170</f>
        <v>Strong</v>
      </c>
      <c r="J11" t="str">
        <f>'AC Results'!W170</f>
        <v>TVK</v>
      </c>
      <c r="K11" s="11" t="s">
        <v>10</v>
      </c>
      <c r="L11" t="s">
        <v>10</v>
      </c>
      <c r="M11" t="str">
        <f t="shared" si="0"/>
        <v>Yes</v>
      </c>
      <c r="N11" t="str">
        <f t="shared" si="1"/>
        <v>Yes</v>
      </c>
      <c r="O11" t="str">
        <f t="shared" si="2"/>
        <v>Changed</v>
      </c>
    </row>
    <row r="12" spans="1:21" x14ac:dyDescent="0.2">
      <c r="A12">
        <v>8</v>
      </c>
      <c r="B12" s="3" t="str">
        <f>'AC Results'!A166</f>
        <v>Ambattur</v>
      </c>
      <c r="C12" t="str">
        <f>'AC Results'!Y166</f>
        <v>Chennai</v>
      </c>
      <c r="D12" s="11" t="s">
        <v>369</v>
      </c>
      <c r="E12" t="s">
        <v>24</v>
      </c>
      <c r="F12">
        <f>'AC Results'!H166</f>
        <v>87</v>
      </c>
      <c r="G12" t="str">
        <f>'AC Results'!S166</f>
        <v>TVK</v>
      </c>
      <c r="H12">
        <f>'AC Results'!U166</f>
        <v>2.6</v>
      </c>
      <c r="I12" t="str">
        <f>'AC Results'!V166</f>
        <v>Toss-up</v>
      </c>
      <c r="J12" t="str">
        <f>'AC Results'!W166</f>
        <v>TVK</v>
      </c>
      <c r="K12" s="11" t="s">
        <v>10</v>
      </c>
      <c r="L12" t="s">
        <v>10</v>
      </c>
      <c r="M12" t="str">
        <f t="shared" si="0"/>
        <v>Yes</v>
      </c>
      <c r="N12" t="str">
        <f t="shared" si="1"/>
        <v>Yes</v>
      </c>
      <c r="O12" t="str">
        <f t="shared" si="2"/>
        <v>Changed</v>
      </c>
      <c r="R12" s="3" t="s">
        <v>377</v>
      </c>
    </row>
    <row r="13" spans="1:21" ht="36" customHeight="1" x14ac:dyDescent="0.2">
      <c r="A13">
        <v>9</v>
      </c>
      <c r="B13" s="3" t="str">
        <f>'AC Results'!A169</f>
        <v>Madavaram</v>
      </c>
      <c r="C13" t="str">
        <f>'AC Results'!Y169</f>
        <v>Chennai</v>
      </c>
      <c r="D13" s="11" t="s">
        <v>369</v>
      </c>
      <c r="E13" t="s">
        <v>24</v>
      </c>
      <c r="F13">
        <f>'AC Results'!H169</f>
        <v>78</v>
      </c>
      <c r="G13" t="str">
        <f>'AC Results'!S169</f>
        <v>TVK</v>
      </c>
      <c r="H13">
        <f>'AC Results'!U169</f>
        <v>10.199999999999999</v>
      </c>
      <c r="I13" t="str">
        <f>'AC Results'!V169</f>
        <v>Strong</v>
      </c>
      <c r="J13" t="str">
        <f>'AC Results'!W169</f>
        <v>TVK</v>
      </c>
      <c r="K13" s="11" t="s">
        <v>10</v>
      </c>
      <c r="L13" t="s">
        <v>10</v>
      </c>
      <c r="M13" t="str">
        <f t="shared" si="0"/>
        <v>Yes</v>
      </c>
      <c r="N13" t="str">
        <f t="shared" si="1"/>
        <v>Yes</v>
      </c>
      <c r="O13" t="str">
        <f t="shared" si="2"/>
        <v>Changed</v>
      </c>
      <c r="R13" s="6" t="s">
        <v>62</v>
      </c>
      <c r="S13" s="6" t="s">
        <v>18</v>
      </c>
      <c r="T13" s="6" t="s">
        <v>378</v>
      </c>
      <c r="U13" s="6" t="s">
        <v>332</v>
      </c>
    </row>
    <row r="14" spans="1:21" x14ac:dyDescent="0.2">
      <c r="A14">
        <v>10</v>
      </c>
      <c r="B14" s="3" t="str">
        <f>'AC Results'!A174</f>
        <v>Thiruvottiyur</v>
      </c>
      <c r="C14" t="str">
        <f>'AC Results'!Y174</f>
        <v>Chennai</v>
      </c>
      <c r="D14" s="11" t="s">
        <v>369</v>
      </c>
      <c r="E14" t="s">
        <v>24</v>
      </c>
      <c r="F14">
        <f>'AC Results'!H174</f>
        <v>50</v>
      </c>
      <c r="G14" t="str">
        <f>'AC Results'!S174</f>
        <v>DMK+INC+VCK</v>
      </c>
      <c r="H14">
        <f>'AC Results'!U174</f>
        <v>4.9000000000000004</v>
      </c>
      <c r="I14" t="str">
        <f>'AC Results'!V174</f>
        <v>Toss-up</v>
      </c>
      <c r="J14" t="str">
        <f>'AC Results'!W174</f>
        <v>TVK</v>
      </c>
      <c r="K14" s="11" t="s">
        <v>10</v>
      </c>
      <c r="L14" t="s">
        <v>10</v>
      </c>
      <c r="M14" t="str">
        <f t="shared" si="0"/>
        <v>No</v>
      </c>
      <c r="N14" t="str">
        <f t="shared" si="1"/>
        <v>Yes</v>
      </c>
      <c r="O14" t="str">
        <f t="shared" si="2"/>
        <v>Changed</v>
      </c>
      <c r="R14" t="s">
        <v>19</v>
      </c>
      <c r="S14">
        <f>COUNTIF($I$5:$I$238,R14)</f>
        <v>69</v>
      </c>
      <c r="T14">
        <f>COUNTIFS($I$5:$I$238,R14,$M$5:$M$238,"Yes")</f>
        <v>35</v>
      </c>
      <c r="U14" s="7">
        <f>IF(S14=0,"–",T14/S14)</f>
        <v>0.50724637681159424</v>
      </c>
    </row>
    <row r="15" spans="1:21" x14ac:dyDescent="0.2">
      <c r="A15">
        <v>11</v>
      </c>
      <c r="B15" s="3" t="str">
        <f>'AC Results'!A16</f>
        <v>Dr. Radhakrishnan Nagar</v>
      </c>
      <c r="C15" t="str">
        <f>'AC Results'!Y16</f>
        <v>Chennai</v>
      </c>
      <c r="D15" s="11" t="s">
        <v>369</v>
      </c>
      <c r="E15" t="s">
        <v>24</v>
      </c>
      <c r="F15">
        <f>'AC Results'!H16</f>
        <v>54</v>
      </c>
      <c r="G15" t="str">
        <f>'AC Results'!S16</f>
        <v>TVK</v>
      </c>
      <c r="H15">
        <f>'AC Results'!U16</f>
        <v>7.8</v>
      </c>
      <c r="I15" t="str">
        <f>'AC Results'!V16</f>
        <v>Lean</v>
      </c>
      <c r="J15" t="str">
        <f>'AC Results'!W16</f>
        <v>TVK</v>
      </c>
      <c r="K15" s="11" t="s">
        <v>10</v>
      </c>
      <c r="L15" t="s">
        <v>10</v>
      </c>
      <c r="M15" t="str">
        <f t="shared" si="0"/>
        <v>Yes</v>
      </c>
      <c r="N15" t="str">
        <f t="shared" si="1"/>
        <v>Yes</v>
      </c>
      <c r="O15" t="str">
        <f t="shared" si="2"/>
        <v>Changed</v>
      </c>
      <c r="R15" t="s">
        <v>20</v>
      </c>
      <c r="S15">
        <f>COUNTIF($I$5:$I$238,R15)</f>
        <v>90</v>
      </c>
      <c r="T15">
        <f>COUNTIFS($I$5:$I$238,R15,$M$5:$M$238,"Yes")</f>
        <v>42</v>
      </c>
      <c r="U15" s="7">
        <f>IF(S15=0,"–",T15/S15)</f>
        <v>0.46666666666666667</v>
      </c>
    </row>
    <row r="16" spans="1:21" x14ac:dyDescent="0.2">
      <c r="A16">
        <v>12</v>
      </c>
      <c r="B16" s="3" t="str">
        <f>'AC Results'!A21</f>
        <v>Perambur</v>
      </c>
      <c r="C16" t="str">
        <f>'AC Results'!Y21</f>
        <v>Chennai</v>
      </c>
      <c r="D16" s="11" t="s">
        <v>369</v>
      </c>
      <c r="E16" t="s">
        <v>24</v>
      </c>
      <c r="F16">
        <f>'AC Results'!H21</f>
        <v>95</v>
      </c>
      <c r="G16" t="str">
        <f>'AC Results'!S21</f>
        <v>TVK</v>
      </c>
      <c r="H16">
        <f>'AC Results'!U21</f>
        <v>31.1</v>
      </c>
      <c r="I16" t="str">
        <f>'AC Results'!V21</f>
        <v>Strong</v>
      </c>
      <c r="J16" t="str">
        <f>'AC Results'!W21</f>
        <v>TVK</v>
      </c>
      <c r="K16" s="11" t="s">
        <v>10</v>
      </c>
      <c r="L16" t="s">
        <v>10</v>
      </c>
      <c r="M16" t="str">
        <f t="shared" si="0"/>
        <v>Yes</v>
      </c>
      <c r="N16" t="str">
        <f t="shared" si="1"/>
        <v>Yes</v>
      </c>
      <c r="O16" t="str">
        <f t="shared" si="2"/>
        <v>Changed</v>
      </c>
      <c r="R16" t="s">
        <v>21</v>
      </c>
      <c r="S16">
        <f>COUNTIF($I$5:$I$238,R16)</f>
        <v>74</v>
      </c>
      <c r="T16">
        <f>COUNTIFS($I$5:$I$238,R16,$M$5:$M$238,"Yes")</f>
        <v>33</v>
      </c>
      <c r="U16" s="7">
        <f>IF(S16=0,"–",T16/S16)</f>
        <v>0.44594594594594594</v>
      </c>
    </row>
    <row r="17" spans="1:23" x14ac:dyDescent="0.2">
      <c r="A17">
        <v>13</v>
      </c>
      <c r="B17" s="3" t="str">
        <f>'AC Results'!A19</f>
        <v>Kolathur</v>
      </c>
      <c r="C17" t="str">
        <f>'AC Results'!Y19</f>
        <v>Chennai</v>
      </c>
      <c r="D17" s="11" t="s">
        <v>369</v>
      </c>
      <c r="E17" t="s">
        <v>24</v>
      </c>
      <c r="F17">
        <f>'AC Results'!H19</f>
        <v>63</v>
      </c>
      <c r="G17" t="str">
        <f>'AC Results'!S19</f>
        <v>TVK</v>
      </c>
      <c r="H17">
        <f>'AC Results'!U19</f>
        <v>21.3</v>
      </c>
      <c r="I17" t="str">
        <f>'AC Results'!V19</f>
        <v>Strong</v>
      </c>
      <c r="J17" t="str">
        <f>'AC Results'!W19</f>
        <v>TVK</v>
      </c>
      <c r="K17" s="11" t="s">
        <v>10</v>
      </c>
      <c r="L17" t="s">
        <v>10</v>
      </c>
      <c r="M17" t="str">
        <f t="shared" si="0"/>
        <v>Yes</v>
      </c>
      <c r="N17" t="str">
        <f t="shared" si="1"/>
        <v>Yes</v>
      </c>
      <c r="O17" t="str">
        <f t="shared" si="2"/>
        <v>Changed</v>
      </c>
      <c r="R17" t="s">
        <v>22</v>
      </c>
      <c r="S17">
        <f>COUNTIF($I$5:$I$238,R17)</f>
        <v>1</v>
      </c>
      <c r="T17">
        <f>COUNTIFS($I$5:$I$238,R17,$M$5:$M$238,"Yes")</f>
        <v>0</v>
      </c>
      <c r="U17" s="7">
        <f>IF(S17=0,"–",T17/S17)</f>
        <v>0</v>
      </c>
    </row>
    <row r="18" spans="1:23" x14ac:dyDescent="0.2">
      <c r="A18">
        <v>14</v>
      </c>
      <c r="B18" s="3" t="str">
        <f>'AC Results'!A28</f>
        <v>Villivakkam</v>
      </c>
      <c r="C18" t="str">
        <f>'AC Results'!Y28</f>
        <v>Chennai</v>
      </c>
      <c r="D18" s="11" t="s">
        <v>369</v>
      </c>
      <c r="E18" t="s">
        <v>24</v>
      </c>
      <c r="F18">
        <f>'AC Results'!H28</f>
        <v>44</v>
      </c>
      <c r="G18" t="str">
        <f>'AC Results'!S28</f>
        <v>TVK</v>
      </c>
      <c r="H18">
        <f>'AC Results'!U28</f>
        <v>7</v>
      </c>
      <c r="I18" t="str">
        <f>'AC Results'!V28</f>
        <v>Lean</v>
      </c>
      <c r="J18" t="str">
        <f>'AC Results'!W28</f>
        <v>TVK</v>
      </c>
      <c r="K18" s="11" t="s">
        <v>10</v>
      </c>
      <c r="L18" t="s">
        <v>10</v>
      </c>
      <c r="M18" t="str">
        <f t="shared" si="0"/>
        <v>Yes</v>
      </c>
      <c r="N18" t="str">
        <f t="shared" si="1"/>
        <v>Yes</v>
      </c>
      <c r="O18" t="str">
        <f t="shared" si="2"/>
        <v>Changed</v>
      </c>
      <c r="R18" t="s">
        <v>25</v>
      </c>
      <c r="S18">
        <f>COUNTIF($I$5:$I$238,R18)</f>
        <v>0</v>
      </c>
      <c r="T18">
        <f>COUNTIFS($I$5:$I$238,R18,$M$5:$M$238,"Yes")</f>
        <v>0</v>
      </c>
      <c r="U18" s="7" t="str">
        <f>IF(S18=0,"–",T18/S18)</f>
        <v>–</v>
      </c>
    </row>
    <row r="19" spans="1:23" x14ac:dyDescent="0.2">
      <c r="A19">
        <v>15</v>
      </c>
      <c r="B19" s="3" t="str">
        <f>'AC Results'!A24</f>
        <v>Thiru-Vi-Ka-Nagar</v>
      </c>
      <c r="C19" t="str">
        <f>'AC Results'!Y24</f>
        <v>Chennai</v>
      </c>
      <c r="D19" s="11" t="s">
        <v>369</v>
      </c>
      <c r="E19" t="s">
        <v>24</v>
      </c>
      <c r="F19">
        <f>'AC Results'!H24</f>
        <v>24</v>
      </c>
      <c r="G19" t="str">
        <f>'AC Results'!S24</f>
        <v>TVK</v>
      </c>
      <c r="H19">
        <f>'AC Results'!U24</f>
        <v>44.8</v>
      </c>
      <c r="I19" t="str">
        <f>'AC Results'!V24</f>
        <v>Lean</v>
      </c>
      <c r="J19" t="str">
        <f>'AC Results'!W24</f>
        <v>TVK</v>
      </c>
      <c r="K19" s="11" t="s">
        <v>10</v>
      </c>
      <c r="L19" t="s">
        <v>10</v>
      </c>
      <c r="M19" t="str">
        <f t="shared" si="0"/>
        <v>Yes</v>
      </c>
      <c r="N19" t="str">
        <f t="shared" si="1"/>
        <v>Yes</v>
      </c>
      <c r="O19" t="str">
        <f t="shared" si="2"/>
        <v>Changed</v>
      </c>
    </row>
    <row r="20" spans="1:23" x14ac:dyDescent="0.2">
      <c r="A20">
        <v>16</v>
      </c>
      <c r="B20" s="3" t="str">
        <f>'AC Results'!A17</f>
        <v>Egmore</v>
      </c>
      <c r="C20" t="str">
        <f>'AC Results'!Y17</f>
        <v>Chennai</v>
      </c>
      <c r="D20" s="11" t="s">
        <v>369</v>
      </c>
      <c r="E20" t="s">
        <v>24</v>
      </c>
      <c r="F20">
        <f>'AC Results'!H17</f>
        <v>48</v>
      </c>
      <c r="G20" t="str">
        <f>'AC Results'!S17</f>
        <v>DMK+INC+VCK</v>
      </c>
      <c r="H20">
        <f>'AC Results'!U17</f>
        <v>11</v>
      </c>
      <c r="I20" t="str">
        <f>'AC Results'!V17</f>
        <v>Strong</v>
      </c>
      <c r="J20" t="str">
        <f>'AC Results'!W17</f>
        <v>DMK+INC+VCK</v>
      </c>
      <c r="K20" s="11" t="s">
        <v>10</v>
      </c>
      <c r="L20" t="s">
        <v>10</v>
      </c>
      <c r="M20" t="str">
        <f t="shared" si="0"/>
        <v>No</v>
      </c>
      <c r="N20" t="str">
        <f t="shared" si="1"/>
        <v>No</v>
      </c>
      <c r="O20" t="str">
        <f t="shared" si="2"/>
        <v>Changed</v>
      </c>
    </row>
    <row r="21" spans="1:23" x14ac:dyDescent="0.2">
      <c r="A21">
        <v>17</v>
      </c>
      <c r="B21" s="3" t="str">
        <f>'AC Results'!A22</f>
        <v>Royapuram</v>
      </c>
      <c r="C21" t="str">
        <f>'AC Results'!Y22</f>
        <v>Chennai</v>
      </c>
      <c r="D21" s="11" t="s">
        <v>369</v>
      </c>
      <c r="E21" t="s">
        <v>24</v>
      </c>
      <c r="F21">
        <f>'AC Results'!H22</f>
        <v>31</v>
      </c>
      <c r="G21" t="str">
        <f>'AC Results'!S22</f>
        <v>DMK+INC+VCK</v>
      </c>
      <c r="H21">
        <f>'AC Results'!U22</f>
        <v>2.4</v>
      </c>
      <c r="I21" t="str">
        <f>'AC Results'!V22</f>
        <v>Toss-up</v>
      </c>
      <c r="J21" t="str">
        <f>'AC Results'!W22</f>
        <v>TVK</v>
      </c>
      <c r="K21" s="11" t="s">
        <v>10</v>
      </c>
      <c r="L21" t="s">
        <v>10</v>
      </c>
      <c r="M21" t="str">
        <f t="shared" si="0"/>
        <v>No</v>
      </c>
      <c r="N21" t="str">
        <f t="shared" si="1"/>
        <v>Yes</v>
      </c>
      <c r="O21" t="str">
        <f t="shared" si="2"/>
        <v>Changed</v>
      </c>
      <c r="R21" s="3" t="s">
        <v>379</v>
      </c>
    </row>
    <row r="22" spans="1:23" ht="36" customHeight="1" x14ac:dyDescent="0.2">
      <c r="A22">
        <v>18</v>
      </c>
      <c r="B22" s="3" t="str">
        <f>'AC Results'!A18</f>
        <v>Harbour</v>
      </c>
      <c r="C22" t="str">
        <f>'AC Results'!Y18</f>
        <v>Chennai</v>
      </c>
      <c r="D22" s="11" t="s">
        <v>369</v>
      </c>
      <c r="E22" t="s">
        <v>24</v>
      </c>
      <c r="F22">
        <f>'AC Results'!H18</f>
        <v>30</v>
      </c>
      <c r="G22" t="str">
        <f>'AC Results'!S18</f>
        <v>DMK+INC+VCK</v>
      </c>
      <c r="H22">
        <f>'AC Results'!U18</f>
        <v>3.7</v>
      </c>
      <c r="I22" t="str">
        <f>'AC Results'!V18</f>
        <v>Toss-up</v>
      </c>
      <c r="J22" t="str">
        <f>'AC Results'!W18</f>
        <v>Tie</v>
      </c>
      <c r="K22" s="11" t="s">
        <v>369</v>
      </c>
      <c r="L22" t="s">
        <v>24</v>
      </c>
      <c r="M22" t="str">
        <f t="shared" si="0"/>
        <v>Yes</v>
      </c>
      <c r="N22" t="str">
        <f t="shared" si="1"/>
        <v>No</v>
      </c>
      <c r="O22" t="str">
        <f t="shared" si="2"/>
        <v>Held</v>
      </c>
      <c r="R22" s="6" t="s">
        <v>380</v>
      </c>
      <c r="S22" s="6" t="s">
        <v>10</v>
      </c>
      <c r="T22" s="6" t="s">
        <v>11</v>
      </c>
      <c r="U22" s="6" t="s">
        <v>12</v>
      </c>
      <c r="V22" s="6" t="s">
        <v>26</v>
      </c>
      <c r="W22" s="6" t="s">
        <v>381</v>
      </c>
    </row>
    <row r="23" spans="1:23" x14ac:dyDescent="0.2">
      <c r="A23">
        <v>19</v>
      </c>
      <c r="B23" s="3" t="str">
        <f>'AC Results'!A15</f>
        <v>Chepauk-Thiruvallikeni</v>
      </c>
      <c r="C23" t="str">
        <f>'AC Results'!Y15</f>
        <v>Chennai</v>
      </c>
      <c r="D23" s="11" t="s">
        <v>369</v>
      </c>
      <c r="E23" t="s">
        <v>24</v>
      </c>
      <c r="F23">
        <f>'AC Results'!H15</f>
        <v>35</v>
      </c>
      <c r="G23" t="str">
        <f>'AC Results'!S15</f>
        <v>DMK+INC+VCK</v>
      </c>
      <c r="H23">
        <f>'AC Results'!U15</f>
        <v>0.3</v>
      </c>
      <c r="I23" t="str">
        <f>'AC Results'!V15</f>
        <v>Toss-up</v>
      </c>
      <c r="J23" t="str">
        <f>'AC Results'!W15</f>
        <v>TVK</v>
      </c>
      <c r="K23" s="11" t="s">
        <v>369</v>
      </c>
      <c r="L23" t="s">
        <v>24</v>
      </c>
      <c r="M23" t="str">
        <f t="shared" si="0"/>
        <v>Yes</v>
      </c>
      <c r="N23" t="str">
        <f t="shared" si="1"/>
        <v>No</v>
      </c>
      <c r="O23" t="str">
        <f t="shared" si="2"/>
        <v>Held</v>
      </c>
      <c r="R23" t="s">
        <v>10</v>
      </c>
      <c r="S23">
        <f>COUNTIFS($G$5:$G$238,$R23,$L$5:$L$238,"TVK")</f>
        <v>63</v>
      </c>
      <c r="T23">
        <f>COUNTIFS($G$5:$G$238,$R23,$L$5:$L$238,"AIADMK+BJP+PMK+AMMK")</f>
        <v>21</v>
      </c>
      <c r="U23">
        <f>COUNTIFS($G$5:$G$238,$R23,$L$5:$L$238,"DMK+INC+VCK")</f>
        <v>31</v>
      </c>
      <c r="V23">
        <f>SUM(S23:U23)</f>
        <v>115</v>
      </c>
      <c r="W23" s="7">
        <f>IF(V23=0,"–",INDEX(S23:U23,MATCH($R23,{"TVK","AIADMK+BJP+PMK+AMMK","DMK+INC+VCK"},0))/V23)</f>
        <v>0.54782608695652169</v>
      </c>
    </row>
    <row r="24" spans="1:23" x14ac:dyDescent="0.2">
      <c r="A24">
        <v>20</v>
      </c>
      <c r="B24" s="3" t="str">
        <f>'AC Results'!A26</f>
        <v>Thousand Lights</v>
      </c>
      <c r="C24" t="str">
        <f>'AC Results'!Y26</f>
        <v>Chennai</v>
      </c>
      <c r="D24" s="11" t="s">
        <v>369</v>
      </c>
      <c r="E24" t="s">
        <v>24</v>
      </c>
      <c r="F24">
        <f>'AC Results'!H26</f>
        <v>40</v>
      </c>
      <c r="G24" t="str">
        <f>'AC Results'!S26</f>
        <v>DMK+INC+VCK</v>
      </c>
      <c r="H24">
        <f>'AC Results'!U26</f>
        <v>8.9</v>
      </c>
      <c r="I24" t="str">
        <f>'AC Results'!V26</f>
        <v>Lean</v>
      </c>
      <c r="J24" t="str">
        <f>'AC Results'!W26</f>
        <v>Tie</v>
      </c>
      <c r="K24" s="11" t="s">
        <v>10</v>
      </c>
      <c r="L24" t="s">
        <v>10</v>
      </c>
      <c r="M24" t="str">
        <f t="shared" si="0"/>
        <v>No</v>
      </c>
      <c r="N24" t="str">
        <f t="shared" si="1"/>
        <v>No</v>
      </c>
      <c r="O24" t="str">
        <f t="shared" si="2"/>
        <v>Changed</v>
      </c>
      <c r="R24" t="s">
        <v>23</v>
      </c>
      <c r="S24">
        <f>COUNTIFS($G$5:$G$238,$R24,$L$5:$L$238,"TVK")</f>
        <v>22</v>
      </c>
      <c r="T24">
        <f>COUNTIFS($G$5:$G$238,$R24,$L$5:$L$238,"AIADMK+BJP+PMK+AMMK")</f>
        <v>22</v>
      </c>
      <c r="U24">
        <f>COUNTIFS($G$5:$G$238,$R24,$L$5:$L$238,"DMK+INC+VCK")</f>
        <v>16</v>
      </c>
      <c r="V24">
        <f>SUM(S24:U24)</f>
        <v>60</v>
      </c>
      <c r="W24" s="7">
        <f>IF(V24=0,"–",INDEX(S24:U24,MATCH($R24,{"TVK","AIADMK+BJP+PMK+AMMK","DMK+INC+VCK"},0))/V24)</f>
        <v>0.36666666666666664</v>
      </c>
    </row>
    <row r="25" spans="1:23" x14ac:dyDescent="0.2">
      <c r="A25">
        <v>21</v>
      </c>
      <c r="B25" s="3" t="str">
        <f>'AC Results'!A14</f>
        <v>Anna Nagar</v>
      </c>
      <c r="C25" t="str">
        <f>'AC Results'!Y14</f>
        <v>Chennai</v>
      </c>
      <c r="D25" s="11" t="s">
        <v>369</v>
      </c>
      <c r="E25" t="s">
        <v>24</v>
      </c>
      <c r="F25">
        <f>'AC Results'!H14</f>
        <v>49</v>
      </c>
      <c r="G25" t="str">
        <f>'AC Results'!S14</f>
        <v>TVK</v>
      </c>
      <c r="H25">
        <f>'AC Results'!U14</f>
        <v>9.1</v>
      </c>
      <c r="I25" t="str">
        <f>'AC Results'!V14</f>
        <v>Lean</v>
      </c>
      <c r="J25" t="str">
        <f>'AC Results'!W14</f>
        <v>TVK</v>
      </c>
      <c r="K25" s="11" t="s">
        <v>10</v>
      </c>
      <c r="L25" t="s">
        <v>10</v>
      </c>
      <c r="M25" t="str">
        <f t="shared" si="0"/>
        <v>Yes</v>
      </c>
      <c r="N25" t="str">
        <f t="shared" si="1"/>
        <v>Yes</v>
      </c>
      <c r="O25" t="str">
        <f t="shared" si="2"/>
        <v>Changed</v>
      </c>
      <c r="R25" t="s">
        <v>24</v>
      </c>
      <c r="S25">
        <f>COUNTIFS($G$5:$G$238,$R25,$L$5:$L$238,"TVK")</f>
        <v>22</v>
      </c>
      <c r="T25">
        <f>COUNTIFS($G$5:$G$238,$R25,$L$5:$L$238,"AIADMK+BJP+PMK+AMMK")</f>
        <v>9</v>
      </c>
      <c r="U25">
        <f>COUNTIFS($G$5:$G$238,$R25,$L$5:$L$238,"DMK+INC+VCK")</f>
        <v>25</v>
      </c>
      <c r="V25">
        <f>SUM(S25:U25)</f>
        <v>56</v>
      </c>
      <c r="W25" s="7">
        <f>IF(V25=0,"–",INDEX(S25:U25,MATCH($R25,{"TVK","AIADMK+BJP+PMK+AMMK","DMK+INC+VCK"},0))/V25)</f>
        <v>0.44642857142857145</v>
      </c>
    </row>
    <row r="26" spans="1:23" x14ac:dyDescent="0.2">
      <c r="A26">
        <v>22</v>
      </c>
      <c r="B26" s="3" t="str">
        <f>'AC Results'!A29</f>
        <v>Virugampakkam</v>
      </c>
      <c r="C26" t="str">
        <f>'AC Results'!Y29</f>
        <v>Chennai</v>
      </c>
      <c r="D26" s="11" t="s">
        <v>369</v>
      </c>
      <c r="E26" t="s">
        <v>24</v>
      </c>
      <c r="F26">
        <f>'AC Results'!H29</f>
        <v>65</v>
      </c>
      <c r="G26" t="str">
        <f>'AC Results'!S29</f>
        <v>TVK</v>
      </c>
      <c r="H26">
        <f>'AC Results'!U29</f>
        <v>4</v>
      </c>
      <c r="I26" t="str">
        <f>'AC Results'!V29</f>
        <v>Toss-up</v>
      </c>
      <c r="J26" t="str">
        <f>'AC Results'!W29</f>
        <v>TVK</v>
      </c>
      <c r="K26" s="11" t="s">
        <v>10</v>
      </c>
      <c r="L26" t="s">
        <v>10</v>
      </c>
      <c r="M26" t="str">
        <f t="shared" si="0"/>
        <v>Yes</v>
      </c>
      <c r="N26" t="str">
        <f t="shared" si="1"/>
        <v>Yes</v>
      </c>
      <c r="O26" t="str">
        <f t="shared" si="2"/>
        <v>Changed</v>
      </c>
      <c r="R26" t="s">
        <v>13</v>
      </c>
      <c r="S26">
        <f>COUNTIFS($G$5:$G$238,$R26,$L$5:$L$238,"TVK")</f>
        <v>1</v>
      </c>
      <c r="T26">
        <f>COUNTIFS($G$5:$G$238,$R26,$L$5:$L$238,"AIADMK+BJP+PMK+AMMK")</f>
        <v>1</v>
      </c>
      <c r="U26">
        <f>COUNTIFS($G$5:$G$238,$R26,$L$5:$L$238,"DMK+INC+VCK")</f>
        <v>1</v>
      </c>
      <c r="V26">
        <f>SUM(S26:U26)</f>
        <v>3</v>
      </c>
      <c r="W26" s="7" t="s">
        <v>382</v>
      </c>
    </row>
    <row r="27" spans="1:23" x14ac:dyDescent="0.2">
      <c r="A27">
        <v>23</v>
      </c>
      <c r="B27" s="3" t="str">
        <f>'AC Results'!A23</f>
        <v>Saidapet</v>
      </c>
      <c r="C27" t="str">
        <f>'AC Results'!Y23</f>
        <v>Chennai</v>
      </c>
      <c r="D27" s="11" t="s">
        <v>369</v>
      </c>
      <c r="E27" t="s">
        <v>24</v>
      </c>
      <c r="F27">
        <f>'AC Results'!H23</f>
        <v>39</v>
      </c>
      <c r="G27" t="str">
        <f>'AC Results'!S23</f>
        <v>TVK</v>
      </c>
      <c r="H27">
        <f>'AC Results'!U23</f>
        <v>3.9</v>
      </c>
      <c r="I27" t="str">
        <f>'AC Results'!V23</f>
        <v>Toss-up</v>
      </c>
      <c r="J27" t="str">
        <f>'AC Results'!W23</f>
        <v>TVK</v>
      </c>
      <c r="K27" s="11" t="s">
        <v>10</v>
      </c>
      <c r="L27" t="s">
        <v>10</v>
      </c>
      <c r="M27" t="str">
        <f t="shared" si="0"/>
        <v>Yes</v>
      </c>
      <c r="N27" t="str">
        <f t="shared" si="1"/>
        <v>Yes</v>
      </c>
      <c r="O27" t="str">
        <f t="shared" si="2"/>
        <v>Changed</v>
      </c>
      <c r="R27" t="s">
        <v>25</v>
      </c>
      <c r="S27">
        <f>COUNTIFS($G$5:$G$238,$R27,$L$5:$L$238,"TVK")</f>
        <v>0</v>
      </c>
      <c r="T27">
        <f>COUNTIFS($G$5:$G$238,$R27,$L$5:$L$238,"AIADMK+BJP+PMK+AMMK")</f>
        <v>0</v>
      </c>
      <c r="U27">
        <f>COUNTIFS($G$5:$G$238,$R27,$L$5:$L$238,"DMK+INC+VCK")</f>
        <v>0</v>
      </c>
      <c r="V27">
        <f>SUM(S27:U27)</f>
        <v>0</v>
      </c>
      <c r="W27" s="7" t="s">
        <v>382</v>
      </c>
    </row>
    <row r="28" spans="1:23" x14ac:dyDescent="0.2">
      <c r="A28">
        <v>24</v>
      </c>
      <c r="B28" s="3" t="str">
        <f>'AC Results'!A25</f>
        <v>Thiyagarayanagar</v>
      </c>
      <c r="C28" t="str">
        <f>'AC Results'!Y25</f>
        <v>Chennai</v>
      </c>
      <c r="D28" s="11" t="s">
        <v>369</v>
      </c>
      <c r="E28" t="s">
        <v>24</v>
      </c>
      <c r="F28">
        <f>'AC Results'!H25</f>
        <v>41</v>
      </c>
      <c r="G28" t="str">
        <f>'AC Results'!S25</f>
        <v>AIADMK+BJP+PMK+AMMK</v>
      </c>
      <c r="H28">
        <f>'AC Results'!U25</f>
        <v>42.6</v>
      </c>
      <c r="I28" t="str">
        <f>'AC Results'!V25</f>
        <v>Strong</v>
      </c>
      <c r="J28" t="str">
        <f>'AC Results'!W25</f>
        <v>AIADMK+BJP+PMK+AMMK</v>
      </c>
      <c r="K28" s="11" t="s">
        <v>10</v>
      </c>
      <c r="L28" t="s">
        <v>10</v>
      </c>
      <c r="M28" t="str">
        <f t="shared" si="0"/>
        <v>No</v>
      </c>
      <c r="N28" t="str">
        <f t="shared" si="1"/>
        <v>No</v>
      </c>
      <c r="O28" t="str">
        <f t="shared" si="2"/>
        <v>Changed</v>
      </c>
      <c r="R28" s="3" t="s">
        <v>383</v>
      </c>
      <c r="S28" s="3">
        <f>SUM(S23:S27)</f>
        <v>108</v>
      </c>
      <c r="T28" s="3">
        <f>SUM(T23:T27)</f>
        <v>53</v>
      </c>
      <c r="U28" s="3">
        <f>SUM(U23:U27)</f>
        <v>73</v>
      </c>
      <c r="V28" s="3">
        <f>SUM(V23:V27)</f>
        <v>234</v>
      </c>
    </row>
    <row r="29" spans="1:23" x14ac:dyDescent="0.2">
      <c r="A29">
        <v>25</v>
      </c>
      <c r="B29" s="3" t="str">
        <f>'AC Results'!A20</f>
        <v>Mylapore</v>
      </c>
      <c r="C29" t="str">
        <f>'AC Results'!Y20</f>
        <v>Chennai</v>
      </c>
      <c r="D29" s="11" t="s">
        <v>369</v>
      </c>
      <c r="E29" t="s">
        <v>24</v>
      </c>
      <c r="F29">
        <f>'AC Results'!H20</f>
        <v>45</v>
      </c>
      <c r="G29" t="str">
        <f>'AC Results'!S20</f>
        <v>TVK</v>
      </c>
      <c r="H29">
        <f>'AC Results'!U20</f>
        <v>10.4</v>
      </c>
      <c r="I29" t="str">
        <f>'AC Results'!V20</f>
        <v>Strong</v>
      </c>
      <c r="J29" t="str">
        <f>'AC Results'!W20</f>
        <v>TVK</v>
      </c>
      <c r="K29" s="11" t="s">
        <v>10</v>
      </c>
      <c r="L29" t="s">
        <v>10</v>
      </c>
      <c r="M29" t="str">
        <f t="shared" si="0"/>
        <v>Yes</v>
      </c>
      <c r="N29" t="str">
        <f t="shared" si="1"/>
        <v>Yes</v>
      </c>
      <c r="O29" t="str">
        <f t="shared" si="2"/>
        <v>Changed</v>
      </c>
      <c r="R29" s="3" t="s">
        <v>384</v>
      </c>
      <c r="S29" s="7">
        <f>IF(S28=0,0,S23/S28)</f>
        <v>0.58333333333333337</v>
      </c>
      <c r="T29" s="7">
        <f>IF(T28=0,0,T24/T28)</f>
        <v>0.41509433962264153</v>
      </c>
      <c r="U29" s="7">
        <f>IF(U28=0,0,U25/U28)</f>
        <v>0.34246575342465752</v>
      </c>
    </row>
    <row r="30" spans="1:23" x14ac:dyDescent="0.2">
      <c r="A30">
        <v>26</v>
      </c>
      <c r="B30" s="3" t="str">
        <f>'AC Results'!A27</f>
        <v>Velachery</v>
      </c>
      <c r="C30" t="str">
        <f>'AC Results'!Y27</f>
        <v>Chennai</v>
      </c>
      <c r="D30" s="11" t="s">
        <v>371</v>
      </c>
      <c r="E30" t="s">
        <v>24</v>
      </c>
      <c r="F30">
        <f>'AC Results'!H27</f>
        <v>60</v>
      </c>
      <c r="G30" t="str">
        <f>'AC Results'!S27</f>
        <v>AIADMK+BJP+PMK+AMMK</v>
      </c>
      <c r="H30">
        <f>'AC Results'!U27</f>
        <v>6.9</v>
      </c>
      <c r="I30" t="str">
        <f>'AC Results'!V27</f>
        <v>Lean</v>
      </c>
      <c r="J30" t="str">
        <f>'AC Results'!W27</f>
        <v>AIADMK+BJP+PMK+AMMK</v>
      </c>
      <c r="K30" s="11" t="s">
        <v>10</v>
      </c>
      <c r="L30" t="s">
        <v>10</v>
      </c>
      <c r="M30" t="str">
        <f t="shared" si="0"/>
        <v>No</v>
      </c>
      <c r="N30" t="str">
        <f t="shared" si="1"/>
        <v>No</v>
      </c>
      <c r="O30" t="str">
        <f t="shared" si="2"/>
        <v>Changed</v>
      </c>
    </row>
    <row r="31" spans="1:23" x14ac:dyDescent="0.2">
      <c r="A31">
        <v>27</v>
      </c>
      <c r="B31" s="3" t="str">
        <f>'AC Results'!A11</f>
        <v>Sholinganallur</v>
      </c>
      <c r="C31" t="str">
        <f>'AC Results'!Y11</f>
        <v>Chennai</v>
      </c>
      <c r="D31" s="11" t="s">
        <v>369</v>
      </c>
      <c r="E31" t="s">
        <v>24</v>
      </c>
      <c r="F31">
        <f>'AC Results'!H11</f>
        <v>108</v>
      </c>
      <c r="G31" t="str">
        <f>'AC Results'!S11</f>
        <v>TVK</v>
      </c>
      <c r="H31">
        <f>'AC Results'!U11</f>
        <v>5</v>
      </c>
      <c r="I31" t="str">
        <f>'AC Results'!V11</f>
        <v>Lean</v>
      </c>
      <c r="J31" t="str">
        <f>'AC Results'!W11</f>
        <v>TVK</v>
      </c>
      <c r="K31" s="11" t="s">
        <v>10</v>
      </c>
      <c r="L31" t="s">
        <v>10</v>
      </c>
      <c r="M31" t="str">
        <f t="shared" si="0"/>
        <v>Yes</v>
      </c>
      <c r="N31" t="str">
        <f t="shared" si="1"/>
        <v>Yes</v>
      </c>
      <c r="O31" t="str">
        <f t="shared" si="2"/>
        <v>Changed</v>
      </c>
    </row>
    <row r="32" spans="1:23" x14ac:dyDescent="0.2">
      <c r="A32">
        <v>28</v>
      </c>
      <c r="B32" s="3" t="str">
        <f>'AC Results'!A73</f>
        <v>Alandur</v>
      </c>
      <c r="C32" t="str">
        <f>'AC Results'!Y73</f>
        <v>Chennai</v>
      </c>
      <c r="D32" s="11" t="s">
        <v>369</v>
      </c>
      <c r="E32" t="s">
        <v>24</v>
      </c>
      <c r="F32">
        <f>'AC Results'!H73</f>
        <v>56</v>
      </c>
      <c r="G32" t="str">
        <f>'AC Results'!S73</f>
        <v>AIADMK+BJP+PMK+AMMK</v>
      </c>
      <c r="H32">
        <f>'AC Results'!U73</f>
        <v>12.4</v>
      </c>
      <c r="I32" t="str">
        <f>'AC Results'!V73</f>
        <v>Strong</v>
      </c>
      <c r="J32" t="str">
        <f>'AC Results'!W73</f>
        <v>AIADMK+BJP+PMK+AMMK</v>
      </c>
      <c r="K32" s="11" t="s">
        <v>10</v>
      </c>
      <c r="L32" t="s">
        <v>10</v>
      </c>
      <c r="M32" t="str">
        <f t="shared" si="0"/>
        <v>No</v>
      </c>
      <c r="N32" t="str">
        <f t="shared" si="1"/>
        <v>No</v>
      </c>
      <c r="O32" t="str">
        <f t="shared" si="2"/>
        <v>Changed</v>
      </c>
      <c r="R32" s="3" t="s">
        <v>385</v>
      </c>
    </row>
    <row r="33" spans="1:21" ht="36" customHeight="1" x14ac:dyDescent="0.2">
      <c r="A33">
        <v>29</v>
      </c>
      <c r="B33" s="3" t="str">
        <f>'AC Results'!A75</f>
        <v>Sriperumbudur</v>
      </c>
      <c r="C33" t="str">
        <f>'AC Results'!Y75</f>
        <v>Kancheepuram</v>
      </c>
      <c r="D33" s="11" t="s">
        <v>371</v>
      </c>
      <c r="E33" t="s">
        <v>24</v>
      </c>
      <c r="F33">
        <f>'AC Results'!H75</f>
        <v>48</v>
      </c>
      <c r="G33" t="str">
        <f>'AC Results'!S75</f>
        <v>DMK+INC+VCK</v>
      </c>
      <c r="H33">
        <f>'AC Results'!U75</f>
        <v>6.8</v>
      </c>
      <c r="I33" t="str">
        <f>'AC Results'!V75</f>
        <v>Lean</v>
      </c>
      <c r="J33" t="str">
        <f>'AC Results'!W75</f>
        <v>TVK</v>
      </c>
      <c r="K33" s="11" t="s">
        <v>10</v>
      </c>
      <c r="L33" t="s">
        <v>10</v>
      </c>
      <c r="M33" t="str">
        <f t="shared" si="0"/>
        <v>No</v>
      </c>
      <c r="N33" t="str">
        <f t="shared" si="1"/>
        <v>Yes</v>
      </c>
      <c r="O33" t="str">
        <f t="shared" si="2"/>
        <v>Changed</v>
      </c>
      <c r="R33" s="6" t="s">
        <v>386</v>
      </c>
      <c r="S33" s="6" t="s">
        <v>18</v>
      </c>
      <c r="T33" s="6" t="s">
        <v>378</v>
      </c>
      <c r="U33" s="6" t="s">
        <v>332</v>
      </c>
    </row>
    <row r="34" spans="1:21" x14ac:dyDescent="0.2">
      <c r="A34">
        <v>30</v>
      </c>
      <c r="B34" s="3" t="str">
        <f>'AC Results'!A10</f>
        <v>Pallavaram</v>
      </c>
      <c r="C34" t="str">
        <f>'AC Results'!Y10</f>
        <v>Chengalpattu</v>
      </c>
      <c r="D34" s="11" t="s">
        <v>369</v>
      </c>
      <c r="E34" t="s">
        <v>24</v>
      </c>
      <c r="F34">
        <f>'AC Results'!H10</f>
        <v>96</v>
      </c>
      <c r="G34" t="str">
        <f>'AC Results'!S10</f>
        <v>TVK</v>
      </c>
      <c r="H34">
        <f>'AC Results'!U10</f>
        <v>1.5</v>
      </c>
      <c r="I34" t="str">
        <f>'AC Results'!V10</f>
        <v>Toss-up</v>
      </c>
      <c r="J34" t="str">
        <f>'AC Results'!W10</f>
        <v>TVK</v>
      </c>
      <c r="K34" s="11" t="s">
        <v>10</v>
      </c>
      <c r="L34" t="s">
        <v>10</v>
      </c>
      <c r="M34" t="str">
        <f t="shared" si="0"/>
        <v>Yes</v>
      </c>
      <c r="N34" t="str">
        <f t="shared" si="1"/>
        <v>Yes</v>
      </c>
      <c r="O34" t="str">
        <f t="shared" si="2"/>
        <v>Changed</v>
      </c>
      <c r="R34" t="s">
        <v>387</v>
      </c>
      <c r="S34">
        <f>COUNTIF($O$5:$O$238,R34)</f>
        <v>78</v>
      </c>
      <c r="T34">
        <f>COUNTIFS($O$5:$O$238,R34,$M$5:$M$238,"Yes")</f>
        <v>30</v>
      </c>
      <c r="U34" s="7">
        <f>IF(S34=0,"–",T34/S34)</f>
        <v>0.38461538461538464</v>
      </c>
    </row>
    <row r="35" spans="1:21" x14ac:dyDescent="0.2">
      <c r="A35">
        <v>31</v>
      </c>
      <c r="B35" s="3" t="str">
        <f>'AC Results'!A12</f>
        <v>Tambaram</v>
      </c>
      <c r="C35" t="str">
        <f>'AC Results'!Y12</f>
        <v>Chengalpattu</v>
      </c>
      <c r="D35" s="11" t="s">
        <v>369</v>
      </c>
      <c r="E35" t="s">
        <v>24</v>
      </c>
      <c r="F35">
        <f>'AC Results'!H12</f>
        <v>88</v>
      </c>
      <c r="G35" t="str">
        <f>'AC Results'!S12</f>
        <v>DMK+INC+VCK</v>
      </c>
      <c r="H35">
        <f>'AC Results'!U12</f>
        <v>0.9</v>
      </c>
      <c r="I35" t="str">
        <f>'AC Results'!V12</f>
        <v>Toss-up</v>
      </c>
      <c r="J35" t="str">
        <f>'AC Results'!W12</f>
        <v>TVK</v>
      </c>
      <c r="K35" s="11" t="s">
        <v>10</v>
      </c>
      <c r="L35" t="s">
        <v>10</v>
      </c>
      <c r="M35" t="str">
        <f t="shared" si="0"/>
        <v>No</v>
      </c>
      <c r="N35" t="str">
        <f t="shared" si="1"/>
        <v>Yes</v>
      </c>
      <c r="O35" t="str">
        <f t="shared" si="2"/>
        <v>Changed</v>
      </c>
      <c r="R35" t="s">
        <v>388</v>
      </c>
      <c r="S35">
        <f>COUNTIF($O$5:$O$238,R35)</f>
        <v>156</v>
      </c>
      <c r="T35">
        <f>COUNTIFS($O$5:$O$238,R35,$M$5:$M$238,"Yes")</f>
        <v>80</v>
      </c>
      <c r="U35" s="7">
        <f>IF(S35=0,"–",T35/S35)</f>
        <v>0.51282051282051277</v>
      </c>
    </row>
    <row r="36" spans="1:21" x14ac:dyDescent="0.2">
      <c r="A36">
        <v>32</v>
      </c>
      <c r="B36" s="3" t="str">
        <f>'AC Results'!A7</f>
        <v>Chengalpattu</v>
      </c>
      <c r="C36" t="str">
        <f>'AC Results'!Y7</f>
        <v>Chengalpattu</v>
      </c>
      <c r="D36" s="11" t="s">
        <v>369</v>
      </c>
      <c r="E36" t="s">
        <v>24</v>
      </c>
      <c r="F36">
        <f>'AC Results'!H7</f>
        <v>67</v>
      </c>
      <c r="G36" t="str">
        <f>'AC Results'!S7</f>
        <v>TVK</v>
      </c>
      <c r="H36">
        <f>'AC Results'!U7</f>
        <v>23.9</v>
      </c>
      <c r="I36" t="str">
        <f>'AC Results'!V7</f>
        <v>Strong</v>
      </c>
      <c r="J36" t="str">
        <f>'AC Results'!W7</f>
        <v>TVK</v>
      </c>
      <c r="K36" s="11" t="s">
        <v>10</v>
      </c>
      <c r="L36" t="s">
        <v>10</v>
      </c>
      <c r="M36" t="str">
        <f t="shared" si="0"/>
        <v>Yes</v>
      </c>
      <c r="N36" t="str">
        <f t="shared" si="1"/>
        <v>Yes</v>
      </c>
      <c r="O36" t="str">
        <f t="shared" si="2"/>
        <v>Changed</v>
      </c>
    </row>
    <row r="37" spans="1:21" x14ac:dyDescent="0.2">
      <c r="A37">
        <v>33</v>
      </c>
      <c r="B37" s="3" t="str">
        <f>'AC Results'!A13</f>
        <v>Thiruporur</v>
      </c>
      <c r="C37" t="str">
        <f>'AC Results'!Y13</f>
        <v>Chengalpattu</v>
      </c>
      <c r="D37" s="11" t="s">
        <v>389</v>
      </c>
      <c r="E37" t="s">
        <v>24</v>
      </c>
      <c r="F37">
        <f>'AC Results'!H13</f>
        <v>34</v>
      </c>
      <c r="G37" t="str">
        <f>'AC Results'!S13</f>
        <v>TVK</v>
      </c>
      <c r="H37">
        <f>'AC Results'!U13</f>
        <v>33</v>
      </c>
      <c r="I37" t="str">
        <f>'AC Results'!V13</f>
        <v>Strong</v>
      </c>
      <c r="J37" t="str">
        <f>'AC Results'!W13</f>
        <v>TVK</v>
      </c>
      <c r="K37" s="11" t="s">
        <v>10</v>
      </c>
      <c r="L37" t="s">
        <v>10</v>
      </c>
      <c r="M37" t="str">
        <f t="shared" si="0"/>
        <v>Yes</v>
      </c>
      <c r="N37" t="str">
        <f t="shared" si="1"/>
        <v>Yes</v>
      </c>
      <c r="O37" t="str">
        <f t="shared" si="2"/>
        <v>Changed</v>
      </c>
    </row>
    <row r="38" spans="1:21" x14ac:dyDescent="0.2">
      <c r="A38">
        <v>34</v>
      </c>
      <c r="B38" s="3" t="str">
        <f>'AC Results'!A8</f>
        <v>Cheyyur</v>
      </c>
      <c r="C38" t="str">
        <f>'AC Results'!Y8</f>
        <v>Chengalpattu</v>
      </c>
      <c r="D38" s="11" t="s">
        <v>389</v>
      </c>
      <c r="E38" t="s">
        <v>24</v>
      </c>
      <c r="F38">
        <f>'AC Results'!H8</f>
        <v>22</v>
      </c>
      <c r="G38" t="str">
        <f>'AC Results'!S8</f>
        <v>AIADMK+BJP+PMK+AMMK</v>
      </c>
      <c r="H38">
        <f>'AC Results'!U8</f>
        <v>32.5</v>
      </c>
      <c r="I38" t="str">
        <f>'AC Results'!V8</f>
        <v>Lean</v>
      </c>
      <c r="J38" t="str">
        <f>'AC Results'!W8</f>
        <v>AIADMK+BJP+PMK+AMMK</v>
      </c>
      <c r="K38" s="11" t="s">
        <v>372</v>
      </c>
      <c r="L38" t="s">
        <v>23</v>
      </c>
      <c r="M38" t="str">
        <f t="shared" si="0"/>
        <v>Yes</v>
      </c>
      <c r="N38" t="str">
        <f t="shared" si="1"/>
        <v>Yes</v>
      </c>
      <c r="O38" t="str">
        <f t="shared" si="2"/>
        <v>Changed</v>
      </c>
    </row>
    <row r="39" spans="1:21" x14ac:dyDescent="0.2">
      <c r="A39">
        <v>35</v>
      </c>
      <c r="B39" s="3" t="str">
        <f>'AC Results'!A9</f>
        <v>Madurantakam</v>
      </c>
      <c r="C39" t="str">
        <f>'AC Results'!Y9</f>
        <v>Chengalpattu</v>
      </c>
      <c r="D39" s="11" t="s">
        <v>390</v>
      </c>
      <c r="E39" t="s">
        <v>23</v>
      </c>
      <c r="F39">
        <f>'AC Results'!H9</f>
        <v>18</v>
      </c>
      <c r="G39" t="str">
        <f>'AC Results'!S9</f>
        <v>TVK</v>
      </c>
      <c r="H39">
        <f>'AC Results'!U9</f>
        <v>11.5</v>
      </c>
      <c r="I39" t="str">
        <f>'AC Results'!V9</f>
        <v>Lean</v>
      </c>
      <c r="J39" t="str">
        <f>'AC Results'!W9</f>
        <v>TVK</v>
      </c>
      <c r="K39" s="11" t="s">
        <v>372</v>
      </c>
      <c r="L39" t="s">
        <v>23</v>
      </c>
      <c r="M39" t="str">
        <f t="shared" si="0"/>
        <v>No</v>
      </c>
      <c r="N39" t="str">
        <f t="shared" si="1"/>
        <v>No</v>
      </c>
      <c r="O39" t="str">
        <f t="shared" si="2"/>
        <v>Held</v>
      </c>
    </row>
    <row r="40" spans="1:21" x14ac:dyDescent="0.2">
      <c r="A40">
        <v>36</v>
      </c>
      <c r="B40" s="3" t="str">
        <f>'AC Results'!A76</f>
        <v>Uthiramerur</v>
      </c>
      <c r="C40" t="str">
        <f>'AC Results'!Y76</f>
        <v>Kancheepuram</v>
      </c>
      <c r="D40" s="11" t="s">
        <v>369</v>
      </c>
      <c r="E40" t="s">
        <v>24</v>
      </c>
      <c r="F40">
        <f>'AC Results'!H76</f>
        <v>25</v>
      </c>
      <c r="G40" t="str">
        <f>'AC Results'!S76</f>
        <v>DMK+INC+VCK</v>
      </c>
      <c r="H40">
        <f>'AC Results'!U76</f>
        <v>3.7</v>
      </c>
      <c r="I40" t="str">
        <f>'AC Results'!V76</f>
        <v>Toss-up</v>
      </c>
      <c r="J40" t="str">
        <f>'AC Results'!W76</f>
        <v>Tie</v>
      </c>
      <c r="K40" s="11" t="s">
        <v>10</v>
      </c>
      <c r="L40" t="s">
        <v>10</v>
      </c>
      <c r="M40" t="str">
        <f t="shared" si="0"/>
        <v>No</v>
      </c>
      <c r="N40" t="str">
        <f t="shared" si="1"/>
        <v>No</v>
      </c>
      <c r="O40" t="str">
        <f t="shared" si="2"/>
        <v>Changed</v>
      </c>
    </row>
    <row r="41" spans="1:21" x14ac:dyDescent="0.2">
      <c r="A41">
        <v>37</v>
      </c>
      <c r="B41" s="3" t="str">
        <f>'AC Results'!A74</f>
        <v>Kancheepuram</v>
      </c>
      <c r="C41" t="str">
        <f>'AC Results'!Y74</f>
        <v>Kancheepuram</v>
      </c>
      <c r="D41" s="11" t="s">
        <v>369</v>
      </c>
      <c r="E41" t="s">
        <v>24</v>
      </c>
      <c r="F41">
        <f>'AC Results'!H74</f>
        <v>62</v>
      </c>
      <c r="G41" t="str">
        <f>'AC Results'!S74</f>
        <v>TVK</v>
      </c>
      <c r="H41">
        <f>'AC Results'!U74</f>
        <v>26.6</v>
      </c>
      <c r="I41" t="str">
        <f>'AC Results'!V74</f>
        <v>Strong</v>
      </c>
      <c r="J41" t="str">
        <f>'AC Results'!W74</f>
        <v>TVK</v>
      </c>
      <c r="K41" s="11" t="s">
        <v>10</v>
      </c>
      <c r="L41" t="s">
        <v>10</v>
      </c>
      <c r="M41" t="str">
        <f t="shared" si="0"/>
        <v>Yes</v>
      </c>
      <c r="N41" t="str">
        <f t="shared" si="1"/>
        <v>Yes</v>
      </c>
      <c r="O41" t="str">
        <f t="shared" si="2"/>
        <v>Changed</v>
      </c>
    </row>
    <row r="42" spans="1:21" x14ac:dyDescent="0.2">
      <c r="A42">
        <v>38</v>
      </c>
      <c r="B42" s="3" t="str">
        <f>'AC Results'!A127</f>
        <v>Arakkonam</v>
      </c>
      <c r="C42" t="str">
        <f>'AC Results'!Y127</f>
        <v>Ranipet</v>
      </c>
      <c r="D42" s="11" t="s">
        <v>390</v>
      </c>
      <c r="E42" t="s">
        <v>23</v>
      </c>
      <c r="F42">
        <f>'AC Results'!H127</f>
        <v>31</v>
      </c>
      <c r="G42" t="str">
        <f>'AC Results'!S127</f>
        <v>AIADMK+BJP+PMK+AMMK</v>
      </c>
      <c r="H42">
        <f>'AC Results'!U127</f>
        <v>21.3</v>
      </c>
      <c r="I42" t="str">
        <f>'AC Results'!V127</f>
        <v>Strong</v>
      </c>
      <c r="J42" t="str">
        <f>'AC Results'!W127</f>
        <v>AIADMK+BJP+PMK+AMMK</v>
      </c>
      <c r="K42" s="11" t="s">
        <v>10</v>
      </c>
      <c r="L42" t="s">
        <v>10</v>
      </c>
      <c r="M42" t="str">
        <f t="shared" si="0"/>
        <v>No</v>
      </c>
      <c r="N42" t="str">
        <f t="shared" si="1"/>
        <v>No</v>
      </c>
      <c r="O42" t="str">
        <f t="shared" si="2"/>
        <v>Changed</v>
      </c>
    </row>
    <row r="43" spans="1:21" x14ac:dyDescent="0.2">
      <c r="A43">
        <v>39</v>
      </c>
      <c r="B43" s="3" t="str">
        <f>'AC Results'!A130</f>
        <v>Sholingur</v>
      </c>
      <c r="C43" t="str">
        <f>'AC Results'!Y130</f>
        <v>Ranipet</v>
      </c>
      <c r="D43" s="11" t="s">
        <v>371</v>
      </c>
      <c r="E43" t="s">
        <v>24</v>
      </c>
      <c r="F43">
        <f>'AC Results'!H130</f>
        <v>17</v>
      </c>
      <c r="G43" t="str">
        <f>'AC Results'!S130</f>
        <v>AIADMK+BJP+PMK+AMMK</v>
      </c>
      <c r="H43">
        <f>'AC Results'!U130</f>
        <v>13.4</v>
      </c>
      <c r="I43" t="str">
        <f>'AC Results'!V130</f>
        <v>Lean</v>
      </c>
      <c r="J43" t="str">
        <f>'AC Results'!W130</f>
        <v>AIADMK+BJP+PMK+AMMK</v>
      </c>
      <c r="K43" s="11" t="s">
        <v>10</v>
      </c>
      <c r="L43" t="s">
        <v>10</v>
      </c>
      <c r="M43" t="str">
        <f t="shared" si="0"/>
        <v>No</v>
      </c>
      <c r="N43" t="str">
        <f t="shared" si="1"/>
        <v>No</v>
      </c>
      <c r="O43" t="str">
        <f t="shared" si="2"/>
        <v>Changed</v>
      </c>
    </row>
    <row r="44" spans="1:21" x14ac:dyDescent="0.2">
      <c r="A44">
        <v>40</v>
      </c>
      <c r="B44" s="3" t="str">
        <f>'AC Results'!A222</f>
        <v>Katpadi</v>
      </c>
      <c r="C44" t="str">
        <f>'AC Results'!Y222</f>
        <v>Vellore</v>
      </c>
      <c r="D44" s="11" t="s">
        <v>369</v>
      </c>
      <c r="E44" t="s">
        <v>24</v>
      </c>
      <c r="F44">
        <f>'AC Results'!H222</f>
        <v>44</v>
      </c>
      <c r="G44" t="str">
        <f>'AC Results'!S222</f>
        <v>AIADMK+BJP+PMK+AMMK</v>
      </c>
      <c r="H44">
        <f>'AC Results'!U222</f>
        <v>28.1</v>
      </c>
      <c r="I44" t="str">
        <f>'AC Results'!V222</f>
        <v>Strong</v>
      </c>
      <c r="J44" t="str">
        <f>'AC Results'!W222</f>
        <v>AIADMK+BJP+PMK+AMMK</v>
      </c>
      <c r="K44" s="11" t="s">
        <v>10</v>
      </c>
      <c r="L44" t="s">
        <v>10</v>
      </c>
      <c r="M44" t="str">
        <f t="shared" si="0"/>
        <v>No</v>
      </c>
      <c r="N44" t="str">
        <f t="shared" si="1"/>
        <v>No</v>
      </c>
      <c r="O44" t="str">
        <f t="shared" si="2"/>
        <v>Changed</v>
      </c>
    </row>
    <row r="45" spans="1:21" x14ac:dyDescent="0.2">
      <c r="A45">
        <v>41</v>
      </c>
      <c r="B45" s="3" t="str">
        <f>'AC Results'!A129</f>
        <v>Ranipet</v>
      </c>
      <c r="C45" t="str">
        <f>'AC Results'!Y129</f>
        <v>Ranipet</v>
      </c>
      <c r="D45" s="11" t="s">
        <v>369</v>
      </c>
      <c r="E45" t="s">
        <v>24</v>
      </c>
      <c r="F45">
        <f>'AC Results'!H129</f>
        <v>24</v>
      </c>
      <c r="G45" t="str">
        <f>'AC Results'!S129</f>
        <v>TVK</v>
      </c>
      <c r="H45">
        <f>'AC Results'!U129</f>
        <v>15.6</v>
      </c>
      <c r="I45" t="str">
        <f>'AC Results'!V129</f>
        <v>Lean</v>
      </c>
      <c r="J45" t="str">
        <f>'AC Results'!W129</f>
        <v>TVK</v>
      </c>
      <c r="K45" s="11" t="s">
        <v>10</v>
      </c>
      <c r="L45" t="s">
        <v>10</v>
      </c>
      <c r="M45" t="str">
        <f t="shared" si="0"/>
        <v>Yes</v>
      </c>
      <c r="N45" t="str">
        <f t="shared" si="1"/>
        <v>Yes</v>
      </c>
      <c r="O45" t="str">
        <f t="shared" si="2"/>
        <v>Changed</v>
      </c>
    </row>
    <row r="46" spans="1:21" x14ac:dyDescent="0.2">
      <c r="A46">
        <v>42</v>
      </c>
      <c r="B46" s="3" t="str">
        <f>'AC Results'!A128</f>
        <v>Arcot</v>
      </c>
      <c r="C46" t="str">
        <f>'AC Results'!Y128</f>
        <v>Ranipet</v>
      </c>
      <c r="D46" s="11" t="s">
        <v>369</v>
      </c>
      <c r="E46" t="s">
        <v>24</v>
      </c>
      <c r="F46">
        <f>'AC Results'!H128</f>
        <v>35</v>
      </c>
      <c r="G46" t="str">
        <f>'AC Results'!S128</f>
        <v>DMK+INC+VCK</v>
      </c>
      <c r="H46">
        <f>'AC Results'!U128</f>
        <v>3.2</v>
      </c>
      <c r="I46" t="str">
        <f>'AC Results'!V128</f>
        <v>Toss-up</v>
      </c>
      <c r="J46" t="str">
        <f>'AC Results'!W128</f>
        <v>TVK</v>
      </c>
      <c r="K46" s="11" t="s">
        <v>372</v>
      </c>
      <c r="L46" t="s">
        <v>23</v>
      </c>
      <c r="M46" t="str">
        <f t="shared" si="0"/>
        <v>No</v>
      </c>
      <c r="N46" t="str">
        <f t="shared" si="1"/>
        <v>No</v>
      </c>
      <c r="O46" t="str">
        <f t="shared" si="2"/>
        <v>Changed</v>
      </c>
    </row>
    <row r="47" spans="1:21" x14ac:dyDescent="0.2">
      <c r="A47">
        <v>43</v>
      </c>
      <c r="B47" s="3" t="str">
        <f>'AC Results'!A224</f>
        <v>Vellore</v>
      </c>
      <c r="C47" t="str">
        <f>'AC Results'!Y224</f>
        <v>Vellore</v>
      </c>
      <c r="D47" s="11" t="s">
        <v>369</v>
      </c>
      <c r="E47" t="s">
        <v>24</v>
      </c>
      <c r="F47">
        <f>'AC Results'!H224</f>
        <v>54</v>
      </c>
      <c r="G47" t="str">
        <f>'AC Results'!S224</f>
        <v>DMK+INC+VCK</v>
      </c>
      <c r="H47">
        <f>'AC Results'!U224</f>
        <v>5.2</v>
      </c>
      <c r="I47" t="str">
        <f>'AC Results'!V224</f>
        <v>Lean</v>
      </c>
      <c r="J47" t="str">
        <f>'AC Results'!W224</f>
        <v>TVK</v>
      </c>
      <c r="K47" s="11" t="s">
        <v>10</v>
      </c>
      <c r="L47" t="s">
        <v>10</v>
      </c>
      <c r="M47" t="str">
        <f t="shared" si="0"/>
        <v>No</v>
      </c>
      <c r="N47" t="str">
        <f t="shared" si="1"/>
        <v>Yes</v>
      </c>
      <c r="O47" t="str">
        <f t="shared" si="2"/>
        <v>Changed</v>
      </c>
    </row>
    <row r="48" spans="1:21" x14ac:dyDescent="0.2">
      <c r="A48">
        <v>44</v>
      </c>
      <c r="B48" s="3" t="str">
        <f>'AC Results'!A220</f>
        <v>Anaikattu</v>
      </c>
      <c r="C48" t="str">
        <f>'AC Results'!Y220</f>
        <v>Vellore</v>
      </c>
      <c r="D48" s="11" t="s">
        <v>369</v>
      </c>
      <c r="E48" t="s">
        <v>24</v>
      </c>
      <c r="F48">
        <f>'AC Results'!H220</f>
        <v>31</v>
      </c>
      <c r="G48" t="str">
        <f>'AC Results'!S220</f>
        <v>TVK</v>
      </c>
      <c r="H48">
        <f>'AC Results'!U220</f>
        <v>17.399999999999999</v>
      </c>
      <c r="I48" t="str">
        <f>'AC Results'!V220</f>
        <v>Strong</v>
      </c>
      <c r="J48" t="str">
        <f>'AC Results'!W220</f>
        <v>TVK</v>
      </c>
      <c r="K48" s="11" t="s">
        <v>372</v>
      </c>
      <c r="L48" t="s">
        <v>23</v>
      </c>
      <c r="M48" t="str">
        <f t="shared" si="0"/>
        <v>No</v>
      </c>
      <c r="N48" t="str">
        <f t="shared" si="1"/>
        <v>No</v>
      </c>
      <c r="O48" t="str">
        <f t="shared" si="2"/>
        <v>Changed</v>
      </c>
    </row>
    <row r="49" spans="1:15" x14ac:dyDescent="0.2">
      <c r="A49">
        <v>45</v>
      </c>
      <c r="B49" s="3" t="str">
        <f>'AC Results'!A223</f>
        <v>Kilvaithinankuppam</v>
      </c>
      <c r="C49" t="str">
        <f>'AC Results'!Y223</f>
        <v>Vellore</v>
      </c>
      <c r="D49" s="11" t="s">
        <v>390</v>
      </c>
      <c r="E49" t="s">
        <v>23</v>
      </c>
      <c r="F49">
        <f>'AC Results'!H223</f>
        <v>22</v>
      </c>
      <c r="G49" t="str">
        <f>'AC Results'!S223</f>
        <v>TVK</v>
      </c>
      <c r="H49">
        <f>'AC Results'!U223</f>
        <v>18.399999999999999</v>
      </c>
      <c r="I49" t="str">
        <f>'AC Results'!V223</f>
        <v>Lean</v>
      </c>
      <c r="J49" t="str">
        <f>'AC Results'!W223</f>
        <v>TVK</v>
      </c>
      <c r="K49" s="11" t="s">
        <v>10</v>
      </c>
      <c r="L49" t="s">
        <v>10</v>
      </c>
      <c r="M49" t="str">
        <f t="shared" si="0"/>
        <v>Yes</v>
      </c>
      <c r="N49" t="str">
        <f t="shared" si="1"/>
        <v>Yes</v>
      </c>
      <c r="O49" t="str">
        <f t="shared" si="2"/>
        <v>Changed</v>
      </c>
    </row>
    <row r="50" spans="1:15" x14ac:dyDescent="0.2">
      <c r="A50">
        <v>46</v>
      </c>
      <c r="B50" s="3" t="str">
        <f>'AC Results'!A221</f>
        <v>Gudiyatham</v>
      </c>
      <c r="C50" t="str">
        <f>'AC Results'!Y221</f>
        <v>Vellore</v>
      </c>
      <c r="D50" s="11" t="s">
        <v>369</v>
      </c>
      <c r="E50" t="s">
        <v>24</v>
      </c>
      <c r="F50">
        <f>'AC Results'!H221</f>
        <v>33</v>
      </c>
      <c r="G50" t="str">
        <f>'AC Results'!S221</f>
        <v>TVK</v>
      </c>
      <c r="H50">
        <f>'AC Results'!U221</f>
        <v>12.3</v>
      </c>
      <c r="I50" t="str">
        <f>'AC Results'!V221</f>
        <v>Strong</v>
      </c>
      <c r="J50" t="str">
        <f>'AC Results'!W221</f>
        <v>TVK</v>
      </c>
      <c r="K50" s="11" t="s">
        <v>10</v>
      </c>
      <c r="L50" t="s">
        <v>10</v>
      </c>
      <c r="M50" t="str">
        <f t="shared" si="0"/>
        <v>Yes</v>
      </c>
      <c r="N50" t="str">
        <f t="shared" si="1"/>
        <v>Yes</v>
      </c>
      <c r="O50" t="str">
        <f t="shared" si="2"/>
        <v>Changed</v>
      </c>
    </row>
    <row r="51" spans="1:15" x14ac:dyDescent="0.2">
      <c r="A51">
        <v>47</v>
      </c>
      <c r="B51" s="3" t="str">
        <f>'AC Results'!A199</f>
        <v>Vaniyambadi</v>
      </c>
      <c r="C51" t="str">
        <f>'AC Results'!Y199</f>
        <v>Tirupathur</v>
      </c>
      <c r="D51" s="11" t="s">
        <v>390</v>
      </c>
      <c r="E51" t="s">
        <v>23</v>
      </c>
      <c r="F51">
        <f>'AC Results'!H199</f>
        <v>19</v>
      </c>
      <c r="G51" t="str">
        <f>'AC Results'!S199</f>
        <v>TVK</v>
      </c>
      <c r="H51">
        <f>'AC Results'!U199</f>
        <v>36.9</v>
      </c>
      <c r="I51" t="str">
        <f>'AC Results'!V199</f>
        <v>Lean</v>
      </c>
      <c r="J51" t="str">
        <f>'AC Results'!W199</f>
        <v>TVK</v>
      </c>
      <c r="K51" s="11" t="s">
        <v>391</v>
      </c>
      <c r="L51" t="s">
        <v>24</v>
      </c>
      <c r="M51" t="str">
        <f t="shared" si="0"/>
        <v>No</v>
      </c>
      <c r="N51" t="str">
        <f t="shared" si="1"/>
        <v>No</v>
      </c>
      <c r="O51" t="str">
        <f t="shared" si="2"/>
        <v>Changed</v>
      </c>
    </row>
    <row r="52" spans="1:15" x14ac:dyDescent="0.2">
      <c r="A52">
        <v>48</v>
      </c>
      <c r="B52" s="3" t="str">
        <f>'AC Results'!A196</f>
        <v>Ambur</v>
      </c>
      <c r="C52" t="str">
        <f>'AC Results'!Y196</f>
        <v>Tirupathur</v>
      </c>
      <c r="D52" s="11" t="s">
        <v>369</v>
      </c>
      <c r="E52" t="s">
        <v>24</v>
      </c>
      <c r="F52">
        <f>'AC Results'!H196</f>
        <v>37</v>
      </c>
      <c r="G52" t="str">
        <f>'AC Results'!S196</f>
        <v>DMK+INC+VCK</v>
      </c>
      <c r="H52">
        <f>'AC Results'!U196</f>
        <v>14.3</v>
      </c>
      <c r="I52" t="str">
        <f>'AC Results'!V196</f>
        <v>Strong</v>
      </c>
      <c r="J52" t="str">
        <f>'AC Results'!W196</f>
        <v>DMK+INC+VCK</v>
      </c>
      <c r="K52" s="11" t="s">
        <v>369</v>
      </c>
      <c r="L52" t="s">
        <v>24</v>
      </c>
      <c r="M52" t="str">
        <f t="shared" si="0"/>
        <v>Yes</v>
      </c>
      <c r="N52" t="str">
        <f t="shared" si="1"/>
        <v>Yes</v>
      </c>
      <c r="O52" t="str">
        <f t="shared" si="2"/>
        <v>Held</v>
      </c>
    </row>
    <row r="53" spans="1:15" x14ac:dyDescent="0.2">
      <c r="A53">
        <v>49</v>
      </c>
      <c r="B53" s="3" t="str">
        <f>'AC Results'!A197</f>
        <v>Jolarpet</v>
      </c>
      <c r="C53" t="str">
        <f>'AC Results'!Y197</f>
        <v>Tirupathur</v>
      </c>
      <c r="D53" s="11" t="s">
        <v>369</v>
      </c>
      <c r="E53" t="s">
        <v>24</v>
      </c>
      <c r="F53">
        <f>'AC Results'!H197</f>
        <v>24</v>
      </c>
      <c r="G53" t="str">
        <f>'AC Results'!S197</f>
        <v>TVK</v>
      </c>
      <c r="H53">
        <f>'AC Results'!U197</f>
        <v>3.6</v>
      </c>
      <c r="I53" t="str">
        <f>'AC Results'!V197</f>
        <v>Toss-up</v>
      </c>
      <c r="J53" t="str">
        <f>'AC Results'!W197</f>
        <v>TVK</v>
      </c>
      <c r="K53" s="11" t="s">
        <v>372</v>
      </c>
      <c r="L53" t="s">
        <v>23</v>
      </c>
      <c r="M53" t="str">
        <f t="shared" si="0"/>
        <v>No</v>
      </c>
      <c r="N53" t="str">
        <f t="shared" si="1"/>
        <v>No</v>
      </c>
      <c r="O53" t="str">
        <f t="shared" si="2"/>
        <v>Changed</v>
      </c>
    </row>
    <row r="54" spans="1:15" x14ac:dyDescent="0.2">
      <c r="A54">
        <v>50</v>
      </c>
      <c r="B54" s="3" t="str">
        <f>'AC Results'!A198</f>
        <v>Tiruppattur</v>
      </c>
      <c r="C54" t="str">
        <f>'AC Results'!Y198</f>
        <v>Tirupathur</v>
      </c>
      <c r="D54" s="11" t="s">
        <v>369</v>
      </c>
      <c r="E54" t="s">
        <v>24</v>
      </c>
      <c r="F54">
        <f>'AC Results'!H198</f>
        <v>44</v>
      </c>
      <c r="G54" t="str">
        <f>'AC Results'!S198</f>
        <v>DMK+INC+VCK</v>
      </c>
      <c r="H54">
        <f>'AC Results'!U198</f>
        <v>8.9</v>
      </c>
      <c r="I54" t="str">
        <f>'AC Results'!V198</f>
        <v>Lean</v>
      </c>
      <c r="J54" t="str">
        <f>'AC Results'!W198</f>
        <v>Tie</v>
      </c>
      <c r="K54" s="11" t="s">
        <v>10</v>
      </c>
      <c r="L54" t="s">
        <v>10</v>
      </c>
      <c r="M54" t="str">
        <f t="shared" si="0"/>
        <v>No</v>
      </c>
      <c r="N54" t="str">
        <f t="shared" si="1"/>
        <v>No</v>
      </c>
      <c r="O54" t="str">
        <f t="shared" si="2"/>
        <v>Changed</v>
      </c>
    </row>
    <row r="55" spans="1:15" x14ac:dyDescent="0.2">
      <c r="A55">
        <v>51</v>
      </c>
      <c r="B55" s="3" t="str">
        <f>'AC Results'!A91</f>
        <v>Uthangarai</v>
      </c>
      <c r="C55" t="str">
        <f>'AC Results'!Y91</f>
        <v>Krishnagiri</v>
      </c>
      <c r="D55" s="11" t="s">
        <v>390</v>
      </c>
      <c r="E55" t="s">
        <v>23</v>
      </c>
      <c r="F55">
        <f>'AC Results'!H91</f>
        <v>33</v>
      </c>
      <c r="G55" t="str">
        <f>'AC Results'!S91</f>
        <v>TVK</v>
      </c>
      <c r="H55">
        <f>'AC Results'!U91</f>
        <v>3.9</v>
      </c>
      <c r="I55" t="str">
        <f>'AC Results'!V91</f>
        <v>Toss-up</v>
      </c>
      <c r="J55" t="str">
        <f>'AC Results'!W91</f>
        <v>TVK</v>
      </c>
      <c r="K55" s="11" t="s">
        <v>10</v>
      </c>
      <c r="L55" t="s">
        <v>10</v>
      </c>
      <c r="M55" t="str">
        <f t="shared" si="0"/>
        <v>Yes</v>
      </c>
      <c r="N55" t="str">
        <f t="shared" si="1"/>
        <v>Yes</v>
      </c>
      <c r="O55" t="str">
        <f t="shared" si="2"/>
        <v>Changed</v>
      </c>
    </row>
    <row r="56" spans="1:15" x14ac:dyDescent="0.2">
      <c r="A56">
        <v>52</v>
      </c>
      <c r="B56" s="3" t="str">
        <f>'AC Results'!A87</f>
        <v>Bargur</v>
      </c>
      <c r="C56" t="str">
        <f>'AC Results'!Y87</f>
        <v>Krishnagiri</v>
      </c>
      <c r="D56" s="11" t="s">
        <v>369</v>
      </c>
      <c r="E56" t="s">
        <v>24</v>
      </c>
      <c r="F56">
        <f>'AC Results'!H87</f>
        <v>41</v>
      </c>
      <c r="G56" t="str">
        <f>'AC Results'!S87</f>
        <v>TVK</v>
      </c>
      <c r="H56">
        <f>'AC Results'!U87</f>
        <v>4.5999999999999996</v>
      </c>
      <c r="I56" t="str">
        <f>'AC Results'!V87</f>
        <v>Toss-up</v>
      </c>
      <c r="J56" t="str">
        <f>'AC Results'!W87</f>
        <v>TVK</v>
      </c>
      <c r="K56" s="11" t="s">
        <v>372</v>
      </c>
      <c r="L56" t="s">
        <v>23</v>
      </c>
      <c r="M56" t="str">
        <f t="shared" si="0"/>
        <v>No</v>
      </c>
      <c r="N56" t="str">
        <f t="shared" si="1"/>
        <v>No</v>
      </c>
      <c r="O56" t="str">
        <f t="shared" si="2"/>
        <v>Changed</v>
      </c>
    </row>
    <row r="57" spans="1:15" x14ac:dyDescent="0.2">
      <c r="A57">
        <v>53</v>
      </c>
      <c r="B57" s="3" t="str">
        <f>'AC Results'!A89</f>
        <v>Krishnagiri</v>
      </c>
      <c r="C57" t="str">
        <f>'AC Results'!Y89</f>
        <v>Krishnagiri</v>
      </c>
      <c r="D57" s="11" t="s">
        <v>390</v>
      </c>
      <c r="E57" t="s">
        <v>23</v>
      </c>
      <c r="F57">
        <f>'AC Results'!H89</f>
        <v>80</v>
      </c>
      <c r="G57" t="str">
        <f>'AC Results'!S89</f>
        <v>TVK</v>
      </c>
      <c r="H57">
        <f>'AC Results'!U89</f>
        <v>22.4</v>
      </c>
      <c r="I57" t="str">
        <f>'AC Results'!V89</f>
        <v>Strong</v>
      </c>
      <c r="J57" t="str">
        <f>'AC Results'!W89</f>
        <v>TVK</v>
      </c>
      <c r="K57" s="11" t="s">
        <v>10</v>
      </c>
      <c r="L57" t="s">
        <v>10</v>
      </c>
      <c r="M57" t="str">
        <f t="shared" si="0"/>
        <v>Yes</v>
      </c>
      <c r="N57" t="str">
        <f t="shared" si="1"/>
        <v>Yes</v>
      </c>
      <c r="O57" t="str">
        <f t="shared" si="2"/>
        <v>Changed</v>
      </c>
    </row>
    <row r="58" spans="1:15" x14ac:dyDescent="0.2">
      <c r="A58">
        <v>54</v>
      </c>
      <c r="B58" s="3" t="str">
        <f>'AC Results'!A92</f>
        <v>Veppanahalli</v>
      </c>
      <c r="C58" t="str">
        <f>'AC Results'!Y92</f>
        <v>Krishnagiri</v>
      </c>
      <c r="D58" s="11" t="s">
        <v>390</v>
      </c>
      <c r="E58" t="s">
        <v>23</v>
      </c>
      <c r="F58">
        <f>'AC Results'!H92</f>
        <v>35</v>
      </c>
      <c r="G58" t="str">
        <f>'AC Results'!S92</f>
        <v>TVK</v>
      </c>
      <c r="H58">
        <f>'AC Results'!U92</f>
        <v>11.1</v>
      </c>
      <c r="I58" t="str">
        <f>'AC Results'!V92</f>
        <v>Strong</v>
      </c>
      <c r="J58" t="str">
        <f>'AC Results'!W92</f>
        <v>TVK</v>
      </c>
      <c r="K58" s="11" t="s">
        <v>369</v>
      </c>
      <c r="L58" t="s">
        <v>24</v>
      </c>
      <c r="M58" t="str">
        <f t="shared" si="0"/>
        <v>No</v>
      </c>
      <c r="N58" t="str">
        <f t="shared" si="1"/>
        <v>No</v>
      </c>
      <c r="O58" t="str">
        <f t="shared" si="2"/>
        <v>Changed</v>
      </c>
    </row>
    <row r="59" spans="1:15" x14ac:dyDescent="0.2">
      <c r="A59">
        <v>55</v>
      </c>
      <c r="B59" s="3" t="str">
        <f>'AC Results'!A88</f>
        <v>Hosur</v>
      </c>
      <c r="C59" t="str">
        <f>'AC Results'!Y88</f>
        <v>Krishnagiri</v>
      </c>
      <c r="D59" s="11" t="s">
        <v>369</v>
      </c>
      <c r="E59" t="s">
        <v>24</v>
      </c>
      <c r="F59">
        <f>'AC Results'!H88</f>
        <v>105</v>
      </c>
      <c r="G59" t="str">
        <f>'AC Results'!S88</f>
        <v>AIADMK+BJP+PMK+AMMK</v>
      </c>
      <c r="H59">
        <f>'AC Results'!U88</f>
        <v>4.3</v>
      </c>
      <c r="I59" t="str">
        <f>'AC Results'!V88</f>
        <v>Toss-up</v>
      </c>
      <c r="J59" t="str">
        <f>'AC Results'!W88</f>
        <v>TVK</v>
      </c>
      <c r="K59" s="11" t="s">
        <v>372</v>
      </c>
      <c r="L59" t="s">
        <v>23</v>
      </c>
      <c r="M59" t="str">
        <f t="shared" si="0"/>
        <v>Yes</v>
      </c>
      <c r="N59" t="str">
        <f t="shared" si="1"/>
        <v>No</v>
      </c>
      <c r="O59" t="str">
        <f t="shared" si="2"/>
        <v>Changed</v>
      </c>
    </row>
    <row r="60" spans="1:15" x14ac:dyDescent="0.2">
      <c r="A60">
        <v>56</v>
      </c>
      <c r="B60" s="3" t="str">
        <f>'AC Results'!A90</f>
        <v>Thalli</v>
      </c>
      <c r="C60" t="str">
        <f>'AC Results'!Y90</f>
        <v>Krishnagiri</v>
      </c>
      <c r="D60" s="11" t="s">
        <v>392</v>
      </c>
      <c r="E60" t="s">
        <v>24</v>
      </c>
      <c r="F60">
        <f>'AC Results'!H90</f>
        <v>33</v>
      </c>
      <c r="G60" t="str">
        <f>'AC Results'!S90</f>
        <v>AIADMK+BJP+PMK+AMMK</v>
      </c>
      <c r="H60">
        <f>'AC Results'!U90</f>
        <v>11.3</v>
      </c>
      <c r="I60" t="str">
        <f>'AC Results'!V90</f>
        <v>Strong</v>
      </c>
      <c r="J60" t="str">
        <f>'AC Results'!W90</f>
        <v>AIADMK+BJP+PMK+AMMK</v>
      </c>
      <c r="K60" s="11" t="s">
        <v>392</v>
      </c>
      <c r="L60" t="s">
        <v>24</v>
      </c>
      <c r="M60" t="str">
        <f t="shared" si="0"/>
        <v>No</v>
      </c>
      <c r="N60" t="str">
        <f t="shared" si="1"/>
        <v>No</v>
      </c>
      <c r="O60" t="str">
        <f t="shared" si="2"/>
        <v>Held</v>
      </c>
    </row>
    <row r="61" spans="1:15" x14ac:dyDescent="0.2">
      <c r="A61">
        <v>57</v>
      </c>
      <c r="B61" s="3" t="str">
        <f>'AC Results'!A51</f>
        <v>Palacode</v>
      </c>
      <c r="C61" t="str">
        <f>'AC Results'!Y51</f>
        <v>Dharmapuri</v>
      </c>
      <c r="D61" s="11" t="s">
        <v>390</v>
      </c>
      <c r="E61" t="s">
        <v>23</v>
      </c>
      <c r="F61">
        <f>'AC Results'!H51</f>
        <v>36</v>
      </c>
      <c r="G61" t="str">
        <f>'AC Results'!S51</f>
        <v>AIADMK+BJP+PMK+AMMK</v>
      </c>
      <c r="H61">
        <f>'AC Results'!U51</f>
        <v>5.2</v>
      </c>
      <c r="I61" t="str">
        <f>'AC Results'!V51</f>
        <v>Lean</v>
      </c>
      <c r="J61" t="str">
        <f>'AC Results'!W51</f>
        <v>Tie</v>
      </c>
      <c r="K61" s="11" t="s">
        <v>372</v>
      </c>
      <c r="L61" t="s">
        <v>23</v>
      </c>
      <c r="M61" t="str">
        <f t="shared" si="0"/>
        <v>Yes</v>
      </c>
      <c r="N61" t="str">
        <f t="shared" si="1"/>
        <v>No</v>
      </c>
      <c r="O61" t="str">
        <f t="shared" si="2"/>
        <v>Held</v>
      </c>
    </row>
    <row r="62" spans="1:15" x14ac:dyDescent="0.2">
      <c r="A62">
        <v>58</v>
      </c>
      <c r="B62" s="3" t="str">
        <f>'AC Results'!A53</f>
        <v>Pennagaram</v>
      </c>
      <c r="C62" t="str">
        <f>'AC Results'!Y53</f>
        <v>Dharmapuri</v>
      </c>
      <c r="D62" s="11" t="s">
        <v>393</v>
      </c>
      <c r="E62" t="s">
        <v>23</v>
      </c>
      <c r="F62">
        <f>'AC Results'!H53</f>
        <v>42</v>
      </c>
      <c r="G62" t="str">
        <f>'AC Results'!S53</f>
        <v>TVK</v>
      </c>
      <c r="H62">
        <f>'AC Results'!U53</f>
        <v>4.3</v>
      </c>
      <c r="I62" t="str">
        <f>'AC Results'!V53</f>
        <v>Toss-up</v>
      </c>
      <c r="J62" t="str">
        <f>'AC Results'!W53</f>
        <v>TVK</v>
      </c>
      <c r="K62" s="11" t="s">
        <v>10</v>
      </c>
      <c r="L62" t="s">
        <v>10</v>
      </c>
      <c r="M62" t="str">
        <f t="shared" si="0"/>
        <v>Yes</v>
      </c>
      <c r="N62" t="str">
        <f t="shared" si="1"/>
        <v>Yes</v>
      </c>
      <c r="O62" t="str">
        <f t="shared" si="2"/>
        <v>Changed</v>
      </c>
    </row>
    <row r="63" spans="1:15" x14ac:dyDescent="0.2">
      <c r="A63">
        <v>59</v>
      </c>
      <c r="B63" s="3" t="str">
        <f>'AC Results'!A49</f>
        <v>Dharmapuri</v>
      </c>
      <c r="C63" t="str">
        <f>'AC Results'!Y49</f>
        <v>Dharmapuri</v>
      </c>
      <c r="D63" s="11" t="s">
        <v>393</v>
      </c>
      <c r="E63" t="s">
        <v>23</v>
      </c>
      <c r="F63">
        <f>'AC Results'!H49</f>
        <v>73</v>
      </c>
      <c r="G63" t="str">
        <f>'AC Results'!S49</f>
        <v>AIADMK+BJP+PMK+AMMK</v>
      </c>
      <c r="H63">
        <f>'AC Results'!U49</f>
        <v>13.4</v>
      </c>
      <c r="I63" t="str">
        <f>'AC Results'!V49</f>
        <v>Strong</v>
      </c>
      <c r="J63" t="str">
        <f>'AC Results'!W49</f>
        <v>AIADMK+BJP+PMK+AMMK</v>
      </c>
      <c r="K63" s="11" t="s">
        <v>393</v>
      </c>
      <c r="L63" t="s">
        <v>23</v>
      </c>
      <c r="M63" t="str">
        <f t="shared" si="0"/>
        <v>Yes</v>
      </c>
      <c r="N63" t="str">
        <f t="shared" si="1"/>
        <v>Yes</v>
      </c>
      <c r="O63" t="str">
        <f t="shared" si="2"/>
        <v>Held</v>
      </c>
    </row>
    <row r="64" spans="1:15" x14ac:dyDescent="0.2">
      <c r="A64">
        <v>60</v>
      </c>
      <c r="B64" s="3" t="str">
        <f>'AC Results'!A52</f>
        <v>Pappireddippatti</v>
      </c>
      <c r="C64" t="str">
        <f>'AC Results'!Y52</f>
        <v>Dharmapuri</v>
      </c>
      <c r="D64" s="11" t="s">
        <v>390</v>
      </c>
      <c r="E64" t="s">
        <v>23</v>
      </c>
      <c r="F64">
        <f>'AC Results'!H52</f>
        <v>44</v>
      </c>
      <c r="G64" t="str">
        <f>'AC Results'!S52</f>
        <v>AIADMK+BJP+PMK+AMMK</v>
      </c>
      <c r="H64">
        <f>'AC Results'!U52</f>
        <v>34.9</v>
      </c>
      <c r="I64" t="str">
        <f>'AC Results'!V52</f>
        <v>Strong</v>
      </c>
      <c r="J64" t="str">
        <f>'AC Results'!W52</f>
        <v>AIADMK+BJP+PMK+AMMK</v>
      </c>
      <c r="K64" s="11" t="s">
        <v>372</v>
      </c>
      <c r="L64" t="s">
        <v>23</v>
      </c>
      <c r="M64" t="str">
        <f t="shared" si="0"/>
        <v>Yes</v>
      </c>
      <c r="N64" t="str">
        <f t="shared" si="1"/>
        <v>Yes</v>
      </c>
      <c r="O64" t="str">
        <f t="shared" si="2"/>
        <v>Held</v>
      </c>
    </row>
    <row r="65" spans="1:15" x14ac:dyDescent="0.2">
      <c r="A65">
        <v>61</v>
      </c>
      <c r="B65" s="3" t="str">
        <f>'AC Results'!A50</f>
        <v>Harur</v>
      </c>
      <c r="C65" t="str">
        <f>'AC Results'!Y50</f>
        <v>Dharmapuri</v>
      </c>
      <c r="D65" s="11" t="s">
        <v>390</v>
      </c>
      <c r="E65" t="s">
        <v>23</v>
      </c>
      <c r="F65">
        <f>'AC Results'!H50</f>
        <v>42</v>
      </c>
      <c r="G65" t="str">
        <f>'AC Results'!S50</f>
        <v>AIADMK+BJP+PMK+AMMK</v>
      </c>
      <c r="H65">
        <f>'AC Results'!U50</f>
        <v>5.2</v>
      </c>
      <c r="I65" t="str">
        <f>'AC Results'!V50</f>
        <v>Lean</v>
      </c>
      <c r="J65" t="str">
        <f>'AC Results'!W50</f>
        <v>Tie</v>
      </c>
      <c r="K65" s="11" t="s">
        <v>372</v>
      </c>
      <c r="L65" t="s">
        <v>23</v>
      </c>
      <c r="M65" t="str">
        <f t="shared" si="0"/>
        <v>Yes</v>
      </c>
      <c r="N65" t="str">
        <f t="shared" si="1"/>
        <v>No</v>
      </c>
      <c r="O65" t="str">
        <f t="shared" si="2"/>
        <v>Held</v>
      </c>
    </row>
    <row r="66" spans="1:15" x14ac:dyDescent="0.2">
      <c r="A66">
        <v>62</v>
      </c>
      <c r="B66" s="3" t="str">
        <f>'AC Results'!A209</f>
        <v>Chengam</v>
      </c>
      <c r="C66" t="str">
        <f>'AC Results'!Y209</f>
        <v>Tiruvannamalai</v>
      </c>
      <c r="D66" s="11" t="s">
        <v>369</v>
      </c>
      <c r="E66" t="s">
        <v>24</v>
      </c>
      <c r="F66">
        <f>'AC Results'!H209</f>
        <v>22</v>
      </c>
      <c r="G66" t="str">
        <f>'AC Results'!S209</f>
        <v>TVK</v>
      </c>
      <c r="H66">
        <f>'AC Results'!U209</f>
        <v>17.5</v>
      </c>
      <c r="I66" t="str">
        <f>'AC Results'!V209</f>
        <v>Lean</v>
      </c>
      <c r="J66" t="str">
        <f>'AC Results'!W209</f>
        <v>TVK</v>
      </c>
      <c r="K66" s="11" t="s">
        <v>372</v>
      </c>
      <c r="L66" t="s">
        <v>23</v>
      </c>
      <c r="M66" t="str">
        <f t="shared" si="0"/>
        <v>No</v>
      </c>
      <c r="N66" t="str">
        <f t="shared" si="1"/>
        <v>No</v>
      </c>
      <c r="O66" t="str">
        <f t="shared" si="2"/>
        <v>Changed</v>
      </c>
    </row>
    <row r="67" spans="1:15" x14ac:dyDescent="0.2">
      <c r="A67">
        <v>63</v>
      </c>
      <c r="B67" s="3" t="str">
        <f>'AC Results'!A214</f>
        <v>Tiruvannamalai</v>
      </c>
      <c r="C67" t="str">
        <f>'AC Results'!Y214</f>
        <v>Tiruvannamalai</v>
      </c>
      <c r="D67" s="11" t="s">
        <v>369</v>
      </c>
      <c r="E67" t="s">
        <v>24</v>
      </c>
      <c r="F67">
        <f>'AC Results'!H214</f>
        <v>33</v>
      </c>
      <c r="G67" t="str">
        <f>'AC Results'!S214</f>
        <v>DMK+INC+VCK</v>
      </c>
      <c r="H67">
        <f>'AC Results'!U214</f>
        <v>11.9</v>
      </c>
      <c r="I67" t="str">
        <f>'AC Results'!V214</f>
        <v>Strong</v>
      </c>
      <c r="J67" t="str">
        <f>'AC Results'!W214</f>
        <v>DMK+INC+VCK</v>
      </c>
      <c r="K67" s="11" t="s">
        <v>369</v>
      </c>
      <c r="L67" t="s">
        <v>24</v>
      </c>
      <c r="M67" t="str">
        <f t="shared" si="0"/>
        <v>Yes</v>
      </c>
      <c r="N67" t="str">
        <f t="shared" si="1"/>
        <v>Yes</v>
      </c>
      <c r="O67" t="str">
        <f t="shared" si="2"/>
        <v>Held</v>
      </c>
    </row>
    <row r="68" spans="1:15" x14ac:dyDescent="0.2">
      <c r="A68">
        <v>64</v>
      </c>
      <c r="B68" s="3" t="str">
        <f>'AC Results'!A212</f>
        <v>Kilpennathur</v>
      </c>
      <c r="C68" t="str">
        <f>'AC Results'!Y212</f>
        <v>Tiruvannamalai</v>
      </c>
      <c r="D68" s="11" t="s">
        <v>369</v>
      </c>
      <c r="E68" t="s">
        <v>24</v>
      </c>
      <c r="F68">
        <f>'AC Results'!H212</f>
        <v>19</v>
      </c>
      <c r="G68" t="str">
        <f>'AC Results'!S212</f>
        <v>TVK</v>
      </c>
      <c r="H68">
        <f>'AC Results'!U212</f>
        <v>47.4</v>
      </c>
      <c r="I68" t="str">
        <f>'AC Results'!V212</f>
        <v>Lean</v>
      </c>
      <c r="J68" t="str">
        <f>'AC Results'!W212</f>
        <v>TVK</v>
      </c>
      <c r="K68" s="11" t="s">
        <v>372</v>
      </c>
      <c r="L68" t="s">
        <v>23</v>
      </c>
      <c r="M68" t="str">
        <f t="shared" si="0"/>
        <v>No</v>
      </c>
      <c r="N68" t="str">
        <f t="shared" si="1"/>
        <v>No</v>
      </c>
      <c r="O68" t="str">
        <f t="shared" si="2"/>
        <v>Changed</v>
      </c>
    </row>
    <row r="69" spans="1:15" x14ac:dyDescent="0.2">
      <c r="A69">
        <v>65</v>
      </c>
      <c r="B69" s="3" t="str">
        <f>'AC Results'!A211</f>
        <v>Kalasapakkam</v>
      </c>
      <c r="C69" t="str">
        <f>'AC Results'!Y211</f>
        <v>Tiruvannamalai</v>
      </c>
      <c r="D69" s="11" t="s">
        <v>369</v>
      </c>
      <c r="E69" t="s">
        <v>24</v>
      </c>
      <c r="F69">
        <f>'AC Results'!H211</f>
        <v>14</v>
      </c>
      <c r="G69" t="str">
        <f>'AC Results'!S211</f>
        <v>TVK</v>
      </c>
      <c r="H69">
        <f>'AC Results'!U211</f>
        <v>23.4</v>
      </c>
      <c r="I69" t="str">
        <f>'AC Results'!V211</f>
        <v>Lean</v>
      </c>
      <c r="J69" t="str">
        <f>'AC Results'!W211</f>
        <v>TVK</v>
      </c>
      <c r="K69" s="11" t="s">
        <v>372</v>
      </c>
      <c r="L69" t="s">
        <v>23</v>
      </c>
      <c r="M69" t="str">
        <f t="shared" ref="M69:M132" si="3">IF(G69=L69,"Yes","No")</f>
        <v>No</v>
      </c>
      <c r="N69" t="str">
        <f t="shared" ref="N69:N132" si="4">IF(J69=L69,"Yes","No")</f>
        <v>No</v>
      </c>
      <c r="O69" t="str">
        <f t="shared" ref="O69:O132" si="5">IF(E69&lt;&gt;L69,"Changed","Held")</f>
        <v>Changed</v>
      </c>
    </row>
    <row r="70" spans="1:15" x14ac:dyDescent="0.2">
      <c r="A70">
        <v>66</v>
      </c>
      <c r="B70" s="3" t="str">
        <f>'AC Results'!A213</f>
        <v>Polur</v>
      </c>
      <c r="C70" t="str">
        <f>'AC Results'!Y213</f>
        <v>Tiruvannamalai</v>
      </c>
      <c r="D70" s="11" t="s">
        <v>390</v>
      </c>
      <c r="E70" t="s">
        <v>23</v>
      </c>
      <c r="F70">
        <f>'AC Results'!H213</f>
        <v>25</v>
      </c>
      <c r="G70" t="str">
        <f>'AC Results'!S213</f>
        <v>TVK</v>
      </c>
      <c r="H70">
        <f>'AC Results'!U213</f>
        <v>6.8</v>
      </c>
      <c r="I70" t="str">
        <f>'AC Results'!V213</f>
        <v>Lean</v>
      </c>
      <c r="J70" t="str">
        <f>'AC Results'!W213</f>
        <v>TVK</v>
      </c>
      <c r="K70" s="11" t="s">
        <v>10</v>
      </c>
      <c r="L70" t="s">
        <v>10</v>
      </c>
      <c r="M70" t="str">
        <f t="shared" si="3"/>
        <v>Yes</v>
      </c>
      <c r="N70" t="str">
        <f t="shared" si="4"/>
        <v>Yes</v>
      </c>
      <c r="O70" t="str">
        <f t="shared" si="5"/>
        <v>Changed</v>
      </c>
    </row>
    <row r="71" spans="1:15" x14ac:dyDescent="0.2">
      <c r="A71">
        <v>67</v>
      </c>
      <c r="B71" s="3" t="str">
        <f>'AC Results'!A208</f>
        <v>Arani</v>
      </c>
      <c r="C71" t="str">
        <f>'AC Results'!Y208</f>
        <v>Tiruvannamalai</v>
      </c>
      <c r="D71" s="11" t="s">
        <v>390</v>
      </c>
      <c r="E71" t="s">
        <v>23</v>
      </c>
      <c r="F71">
        <f>'AC Results'!H208</f>
        <v>30</v>
      </c>
      <c r="G71" t="str">
        <f>'AC Results'!S208</f>
        <v>TVK</v>
      </c>
      <c r="H71">
        <f>'AC Results'!U208</f>
        <v>4.8</v>
      </c>
      <c r="I71" t="str">
        <f>'AC Results'!V208</f>
        <v>Toss-up</v>
      </c>
      <c r="J71" t="str">
        <f>'AC Results'!W208</f>
        <v>TVK</v>
      </c>
      <c r="K71" s="11" t="s">
        <v>372</v>
      </c>
      <c r="L71" t="s">
        <v>23</v>
      </c>
      <c r="M71" t="str">
        <f t="shared" si="3"/>
        <v>No</v>
      </c>
      <c r="N71" t="str">
        <f t="shared" si="4"/>
        <v>No</v>
      </c>
      <c r="O71" t="str">
        <f t="shared" si="5"/>
        <v>Held</v>
      </c>
    </row>
    <row r="72" spans="1:15" x14ac:dyDescent="0.2">
      <c r="A72">
        <v>68</v>
      </c>
      <c r="B72" s="3" t="str">
        <f>'AC Results'!A210</f>
        <v>Cheyyar</v>
      </c>
      <c r="C72" t="str">
        <f>'AC Results'!Y210</f>
        <v>Tiruvannamalai</v>
      </c>
      <c r="D72" s="11" t="s">
        <v>369</v>
      </c>
      <c r="E72" t="s">
        <v>24</v>
      </c>
      <c r="F72">
        <f>'AC Results'!H210</f>
        <v>16</v>
      </c>
      <c r="G72" t="str">
        <f>'AC Results'!S210</f>
        <v>AIADMK+BJP+PMK+AMMK</v>
      </c>
      <c r="H72">
        <f>'AC Results'!U210</f>
        <v>5.2</v>
      </c>
      <c r="I72" t="str">
        <f>'AC Results'!V210</f>
        <v>Lean</v>
      </c>
      <c r="J72" t="str">
        <f>'AC Results'!W210</f>
        <v>Tie</v>
      </c>
      <c r="K72" s="11" t="s">
        <v>372</v>
      </c>
      <c r="L72" t="s">
        <v>23</v>
      </c>
      <c r="M72" t="str">
        <f t="shared" si="3"/>
        <v>Yes</v>
      </c>
      <c r="N72" t="str">
        <f t="shared" si="4"/>
        <v>No</v>
      </c>
      <c r="O72" t="str">
        <f t="shared" si="5"/>
        <v>Changed</v>
      </c>
    </row>
    <row r="73" spans="1:15" x14ac:dyDescent="0.2">
      <c r="A73">
        <v>69</v>
      </c>
      <c r="B73" s="3" t="str">
        <f>'AC Results'!A215</f>
        <v>Vandavasi</v>
      </c>
      <c r="C73" t="str">
        <f>'AC Results'!Y215</f>
        <v>Tiruvannamalai</v>
      </c>
      <c r="D73" s="11" t="s">
        <v>369</v>
      </c>
      <c r="E73" t="s">
        <v>24</v>
      </c>
      <c r="F73">
        <f>'AC Results'!H215</f>
        <v>12</v>
      </c>
      <c r="G73" t="str">
        <f>'AC Results'!S215</f>
        <v>TVK</v>
      </c>
      <c r="H73">
        <f>'AC Results'!U215</f>
        <v>16.100000000000001</v>
      </c>
      <c r="I73" t="str">
        <f>'AC Results'!V215</f>
        <v>Lean</v>
      </c>
      <c r="J73" t="str">
        <f>'AC Results'!W215</f>
        <v>TVK</v>
      </c>
      <c r="K73" s="11" t="s">
        <v>369</v>
      </c>
      <c r="L73" t="s">
        <v>24</v>
      </c>
      <c r="M73" t="str">
        <f t="shared" si="3"/>
        <v>No</v>
      </c>
      <c r="N73" t="str">
        <f t="shared" si="4"/>
        <v>No</v>
      </c>
      <c r="O73" t="str">
        <f t="shared" si="5"/>
        <v>Held</v>
      </c>
    </row>
    <row r="74" spans="1:15" x14ac:dyDescent="0.2">
      <c r="A74">
        <v>70</v>
      </c>
      <c r="B74" s="3" t="str">
        <f>'AC Results'!A225</f>
        <v>Gingee</v>
      </c>
      <c r="C74" t="str">
        <f>'AC Results'!Y225</f>
        <v>Villupuram</v>
      </c>
      <c r="D74" s="11" t="s">
        <v>369</v>
      </c>
      <c r="E74" t="s">
        <v>24</v>
      </c>
      <c r="F74">
        <f>'AC Results'!H225</f>
        <v>27</v>
      </c>
      <c r="G74" t="str">
        <f>'AC Results'!S225</f>
        <v>AIADMK+BJP+PMK+AMMK</v>
      </c>
      <c r="H74">
        <f>'AC Results'!U225</f>
        <v>14.8</v>
      </c>
      <c r="I74" t="str">
        <f>'AC Results'!V225</f>
        <v>Lean</v>
      </c>
      <c r="J74" t="str">
        <f>'AC Results'!W225</f>
        <v>AIADMK+BJP+PMK+AMMK</v>
      </c>
      <c r="K74" s="11" t="s">
        <v>393</v>
      </c>
      <c r="L74" t="s">
        <v>23</v>
      </c>
      <c r="M74" t="str">
        <f t="shared" si="3"/>
        <v>Yes</v>
      </c>
      <c r="N74" t="str">
        <f t="shared" si="4"/>
        <v>Yes</v>
      </c>
      <c r="O74" t="str">
        <f t="shared" si="5"/>
        <v>Changed</v>
      </c>
    </row>
    <row r="75" spans="1:15" x14ac:dyDescent="0.2">
      <c r="A75">
        <v>71</v>
      </c>
      <c r="B75" s="3" t="str">
        <f>'AC Results'!A226</f>
        <v>Mailam</v>
      </c>
      <c r="C75" t="str">
        <f>'AC Results'!Y226</f>
        <v>Villupuram</v>
      </c>
      <c r="D75" s="11" t="s">
        <v>393</v>
      </c>
      <c r="E75" t="s">
        <v>23</v>
      </c>
      <c r="F75">
        <f>'AC Results'!H226</f>
        <v>13</v>
      </c>
      <c r="G75" t="str">
        <f>'AC Results'!S226</f>
        <v>AIADMK+BJP+PMK+AMMK</v>
      </c>
      <c r="H75">
        <f>'AC Results'!U226</f>
        <v>20.6</v>
      </c>
      <c r="I75" t="str">
        <f>'AC Results'!V226</f>
        <v>Lean</v>
      </c>
      <c r="J75" t="str">
        <f>'AC Results'!W226</f>
        <v>AIADMK+BJP+PMK+AMMK</v>
      </c>
      <c r="K75" s="11" t="s">
        <v>372</v>
      </c>
      <c r="L75" t="s">
        <v>23</v>
      </c>
      <c r="M75" t="str">
        <f t="shared" si="3"/>
        <v>Yes</v>
      </c>
      <c r="N75" t="str">
        <f t="shared" si="4"/>
        <v>Yes</v>
      </c>
      <c r="O75" t="str">
        <f t="shared" si="5"/>
        <v>Held</v>
      </c>
    </row>
    <row r="76" spans="1:15" x14ac:dyDescent="0.2">
      <c r="A76">
        <v>72</v>
      </c>
      <c r="B76" s="3" t="str">
        <f>'AC Results'!A227</f>
        <v>Tindivanam</v>
      </c>
      <c r="C76" t="str">
        <f>'AC Results'!Y227</f>
        <v>Villupuram</v>
      </c>
      <c r="D76" s="11" t="s">
        <v>390</v>
      </c>
      <c r="E76" t="s">
        <v>23</v>
      </c>
      <c r="F76">
        <f>'AC Results'!H227</f>
        <v>13</v>
      </c>
      <c r="G76" t="str">
        <f>'AC Results'!S227</f>
        <v>DMK+INC+VCK</v>
      </c>
      <c r="H76">
        <f>'AC Results'!U227</f>
        <v>24.3</v>
      </c>
      <c r="I76" t="str">
        <f>'AC Results'!V227</f>
        <v>Lean</v>
      </c>
      <c r="J76" t="str">
        <f>'AC Results'!W227</f>
        <v>DMK+INC+VCK</v>
      </c>
      <c r="K76" s="11" t="s">
        <v>389</v>
      </c>
      <c r="L76" t="s">
        <v>24</v>
      </c>
      <c r="M76" t="str">
        <f t="shared" si="3"/>
        <v>Yes</v>
      </c>
      <c r="N76" t="str">
        <f t="shared" si="4"/>
        <v>Yes</v>
      </c>
      <c r="O76" t="str">
        <f t="shared" si="5"/>
        <v>Changed</v>
      </c>
    </row>
    <row r="77" spans="1:15" x14ac:dyDescent="0.2">
      <c r="A77">
        <v>73</v>
      </c>
      <c r="B77" s="3" t="str">
        <f>'AC Results'!A229</f>
        <v>Vanur</v>
      </c>
      <c r="C77" t="str">
        <f>'AC Results'!Y229</f>
        <v>Villupuram</v>
      </c>
      <c r="D77" s="11" t="s">
        <v>390</v>
      </c>
      <c r="E77" t="s">
        <v>23</v>
      </c>
      <c r="F77">
        <f>'AC Results'!H229</f>
        <v>28</v>
      </c>
      <c r="G77" t="str">
        <f>'AC Results'!S229</f>
        <v>AIADMK+BJP+PMK+AMMK</v>
      </c>
      <c r="H77">
        <f>'AC Results'!U229</f>
        <v>3.4</v>
      </c>
      <c r="I77" t="str">
        <f>'AC Results'!V229</f>
        <v>Toss-up</v>
      </c>
      <c r="J77" t="str">
        <f>'AC Results'!W229</f>
        <v>AIADMK+BJP+PMK+AMMK</v>
      </c>
      <c r="K77" s="11" t="s">
        <v>369</v>
      </c>
      <c r="L77" t="s">
        <v>24</v>
      </c>
      <c r="M77" t="str">
        <f t="shared" si="3"/>
        <v>No</v>
      </c>
      <c r="N77" t="str">
        <f t="shared" si="4"/>
        <v>No</v>
      </c>
      <c r="O77" t="str">
        <f t="shared" si="5"/>
        <v>Changed</v>
      </c>
    </row>
    <row r="78" spans="1:15" x14ac:dyDescent="0.2">
      <c r="A78">
        <v>74</v>
      </c>
      <c r="B78" s="3" t="str">
        <f>'AC Results'!A231</f>
        <v>Villupuram</v>
      </c>
      <c r="C78" t="str">
        <f>'AC Results'!Y231</f>
        <v>Villupuram</v>
      </c>
      <c r="D78" s="11" t="s">
        <v>369</v>
      </c>
      <c r="E78" t="s">
        <v>24</v>
      </c>
      <c r="F78">
        <f>'AC Results'!H231</f>
        <v>48</v>
      </c>
      <c r="G78" t="str">
        <f>'AC Results'!S231</f>
        <v>AIADMK+BJP+PMK+AMMK</v>
      </c>
      <c r="H78">
        <f>'AC Results'!U231</f>
        <v>6.7</v>
      </c>
      <c r="I78" t="str">
        <f>'AC Results'!V231</f>
        <v>Lean</v>
      </c>
      <c r="J78" t="str">
        <f>'AC Results'!W231</f>
        <v>AIADMK+BJP+PMK+AMMK</v>
      </c>
      <c r="K78" s="11" t="s">
        <v>369</v>
      </c>
      <c r="L78" t="s">
        <v>24</v>
      </c>
      <c r="M78" t="str">
        <f t="shared" si="3"/>
        <v>No</v>
      </c>
      <c r="N78" t="str">
        <f t="shared" si="4"/>
        <v>No</v>
      </c>
      <c r="O78" t="str">
        <f t="shared" si="5"/>
        <v>Held</v>
      </c>
    </row>
    <row r="79" spans="1:15" x14ac:dyDescent="0.2">
      <c r="A79">
        <v>75</v>
      </c>
      <c r="B79" s="3" t="str">
        <f>'AC Results'!A230</f>
        <v>Vikravandi</v>
      </c>
      <c r="C79" t="str">
        <f>'AC Results'!Y230</f>
        <v>Villupuram</v>
      </c>
      <c r="D79" s="11" t="s">
        <v>369</v>
      </c>
      <c r="E79" t="s">
        <v>24</v>
      </c>
      <c r="F79">
        <f>'AC Results'!H230</f>
        <v>26</v>
      </c>
      <c r="G79" t="str">
        <f>'AC Results'!S230</f>
        <v>AIADMK+BJP+PMK+AMMK</v>
      </c>
      <c r="H79">
        <f>'AC Results'!U230</f>
        <v>1.4</v>
      </c>
      <c r="I79" t="str">
        <f>'AC Results'!V230</f>
        <v>Toss-up</v>
      </c>
      <c r="J79" t="str">
        <f>'AC Results'!W230</f>
        <v>TVK</v>
      </c>
      <c r="K79" s="11" t="s">
        <v>393</v>
      </c>
      <c r="L79" t="s">
        <v>23</v>
      </c>
      <c r="M79" t="str">
        <f t="shared" si="3"/>
        <v>Yes</v>
      </c>
      <c r="N79" t="str">
        <f t="shared" si="4"/>
        <v>No</v>
      </c>
      <c r="O79" t="str">
        <f t="shared" si="5"/>
        <v>Changed</v>
      </c>
    </row>
    <row r="80" spans="1:15" x14ac:dyDescent="0.2">
      <c r="A80">
        <v>76</v>
      </c>
      <c r="B80" s="3" t="str">
        <f>'AC Results'!A228</f>
        <v>Tirukkoyilur</v>
      </c>
      <c r="C80" t="str">
        <f>'AC Results'!Y228</f>
        <v>Villupuram</v>
      </c>
      <c r="D80" s="11" t="s">
        <v>369</v>
      </c>
      <c r="E80" t="s">
        <v>24</v>
      </c>
      <c r="F80">
        <f>'AC Results'!H228</f>
        <v>20</v>
      </c>
      <c r="G80" t="str">
        <f>'AC Results'!S228</f>
        <v>AIADMK+BJP+PMK+AMMK</v>
      </c>
      <c r="H80">
        <f>'AC Results'!U228</f>
        <v>5.2</v>
      </c>
      <c r="I80" t="str">
        <f>'AC Results'!V228</f>
        <v>Lean</v>
      </c>
      <c r="J80" t="str">
        <f>'AC Results'!W228</f>
        <v>Tie</v>
      </c>
      <c r="K80" s="11" t="s">
        <v>372</v>
      </c>
      <c r="L80" t="s">
        <v>23</v>
      </c>
      <c r="M80" t="str">
        <f t="shared" si="3"/>
        <v>Yes</v>
      </c>
      <c r="N80" t="str">
        <f t="shared" si="4"/>
        <v>No</v>
      </c>
      <c r="O80" t="str">
        <f t="shared" si="5"/>
        <v>Changed</v>
      </c>
    </row>
    <row r="81" spans="1:15" x14ac:dyDescent="0.2">
      <c r="A81">
        <v>77</v>
      </c>
      <c r="B81" s="3" t="str">
        <f>'AC Results'!A72</f>
        <v>Ulundurpettai</v>
      </c>
      <c r="C81" t="str">
        <f>'AC Results'!Y72</f>
        <v>Kallakurichi</v>
      </c>
      <c r="D81" s="11" t="s">
        <v>369</v>
      </c>
      <c r="E81" t="s">
        <v>24</v>
      </c>
      <c r="F81">
        <f>'AC Results'!H72</f>
        <v>25</v>
      </c>
      <c r="G81" t="str">
        <f>'AC Results'!S72</f>
        <v>TVK</v>
      </c>
      <c r="H81">
        <f>'AC Results'!U72</f>
        <v>15.1</v>
      </c>
      <c r="I81" t="str">
        <f>'AC Results'!V72</f>
        <v>Lean</v>
      </c>
      <c r="J81" t="str">
        <f>'AC Results'!W72</f>
        <v>TVK</v>
      </c>
      <c r="K81" s="11" t="s">
        <v>369</v>
      </c>
      <c r="L81" t="s">
        <v>24</v>
      </c>
      <c r="M81" t="str">
        <f t="shared" si="3"/>
        <v>No</v>
      </c>
      <c r="N81" t="str">
        <f t="shared" si="4"/>
        <v>No</v>
      </c>
      <c r="O81" t="str">
        <f t="shared" si="5"/>
        <v>Held</v>
      </c>
    </row>
    <row r="82" spans="1:15" x14ac:dyDescent="0.2">
      <c r="A82">
        <v>78</v>
      </c>
      <c r="B82" s="3" t="str">
        <f>'AC Results'!A70</f>
        <v>Rishivandiyam</v>
      </c>
      <c r="C82" t="str">
        <f>'AC Results'!Y70</f>
        <v>Kallakurichi</v>
      </c>
      <c r="D82" s="11" t="s">
        <v>369</v>
      </c>
      <c r="E82" t="s">
        <v>24</v>
      </c>
      <c r="F82">
        <f>'AC Results'!H70</f>
        <v>23</v>
      </c>
      <c r="G82" t="str">
        <f>'AC Results'!S70</f>
        <v>TVK</v>
      </c>
      <c r="H82">
        <f>'AC Results'!U70</f>
        <v>8.5</v>
      </c>
      <c r="I82" t="str">
        <f>'AC Results'!V70</f>
        <v>Lean</v>
      </c>
      <c r="J82" t="str">
        <f>'AC Results'!W70</f>
        <v>TVK</v>
      </c>
      <c r="K82" s="11" t="s">
        <v>369</v>
      </c>
      <c r="L82" t="s">
        <v>24</v>
      </c>
      <c r="M82" t="str">
        <f t="shared" si="3"/>
        <v>No</v>
      </c>
      <c r="N82" t="str">
        <f t="shared" si="4"/>
        <v>No</v>
      </c>
      <c r="O82" t="str">
        <f t="shared" si="5"/>
        <v>Held</v>
      </c>
    </row>
    <row r="83" spans="1:15" x14ac:dyDescent="0.2">
      <c r="A83">
        <v>79</v>
      </c>
      <c r="B83" s="3" t="str">
        <f>'AC Results'!A71</f>
        <v>Sankarapuram</v>
      </c>
      <c r="C83" t="str">
        <f>'AC Results'!Y71</f>
        <v>Kallakurichi</v>
      </c>
      <c r="D83" s="11" t="s">
        <v>369</v>
      </c>
      <c r="E83" t="s">
        <v>24</v>
      </c>
      <c r="F83">
        <f>'AC Results'!H71</f>
        <v>25</v>
      </c>
      <c r="G83" t="str">
        <f>'AC Results'!S71</f>
        <v>TVK</v>
      </c>
      <c r="H83">
        <f>'AC Results'!U71</f>
        <v>39.1</v>
      </c>
      <c r="I83" t="str">
        <f>'AC Results'!V71</f>
        <v>Lean</v>
      </c>
      <c r="J83" t="str">
        <f>'AC Results'!W71</f>
        <v>TVK</v>
      </c>
      <c r="K83" s="11" t="s">
        <v>372</v>
      </c>
      <c r="L83" t="s">
        <v>23</v>
      </c>
      <c r="M83" t="str">
        <f t="shared" si="3"/>
        <v>No</v>
      </c>
      <c r="N83" t="str">
        <f t="shared" si="4"/>
        <v>No</v>
      </c>
      <c r="O83" t="str">
        <f t="shared" si="5"/>
        <v>Changed</v>
      </c>
    </row>
    <row r="84" spans="1:15" x14ac:dyDescent="0.2">
      <c r="A84">
        <v>80</v>
      </c>
      <c r="B84" s="3" t="str">
        <f>'AC Results'!A69</f>
        <v>Kallakurichi</v>
      </c>
      <c r="C84" t="str">
        <f>'AC Results'!Y69</f>
        <v>Kallakurichi</v>
      </c>
      <c r="D84" s="11" t="s">
        <v>390</v>
      </c>
      <c r="E84" t="s">
        <v>23</v>
      </c>
      <c r="F84">
        <f>'AC Results'!H69</f>
        <v>32</v>
      </c>
      <c r="G84" t="str">
        <f>'AC Results'!S69</f>
        <v>TVK</v>
      </c>
      <c r="H84">
        <f>'AC Results'!U69</f>
        <v>22.4</v>
      </c>
      <c r="I84" t="str">
        <f>'AC Results'!V69</f>
        <v>Strong</v>
      </c>
      <c r="J84" t="str">
        <f>'AC Results'!W69</f>
        <v>TVK</v>
      </c>
      <c r="K84" s="11" t="s">
        <v>10</v>
      </c>
      <c r="L84" t="s">
        <v>10</v>
      </c>
      <c r="M84" t="str">
        <f t="shared" si="3"/>
        <v>Yes</v>
      </c>
      <c r="N84" t="str">
        <f t="shared" si="4"/>
        <v>Yes</v>
      </c>
      <c r="O84" t="str">
        <f t="shared" si="5"/>
        <v>Changed</v>
      </c>
    </row>
    <row r="85" spans="1:15" x14ac:dyDescent="0.2">
      <c r="A85">
        <v>81</v>
      </c>
      <c r="B85" s="3" t="str">
        <f>'AC Results'!A133</f>
        <v>Gangavalli</v>
      </c>
      <c r="C85" t="str">
        <f>'AC Results'!Y133</f>
        <v>Salem</v>
      </c>
      <c r="D85" s="11" t="s">
        <v>390</v>
      </c>
      <c r="E85" t="s">
        <v>23</v>
      </c>
      <c r="F85">
        <f>'AC Results'!H133</f>
        <v>40</v>
      </c>
      <c r="G85" t="str">
        <f>'AC Results'!S133</f>
        <v>DMK+INC+VCK</v>
      </c>
      <c r="H85">
        <f>'AC Results'!U133</f>
        <v>6.2</v>
      </c>
      <c r="I85" t="str">
        <f>'AC Results'!V133</f>
        <v>Lean</v>
      </c>
      <c r="J85" t="str">
        <f>'AC Results'!W133</f>
        <v>DMK+INC+VCK</v>
      </c>
      <c r="K85" s="11" t="s">
        <v>372</v>
      </c>
      <c r="L85" t="s">
        <v>23</v>
      </c>
      <c r="M85" t="str">
        <f t="shared" si="3"/>
        <v>No</v>
      </c>
      <c r="N85" t="str">
        <f t="shared" si="4"/>
        <v>No</v>
      </c>
      <c r="O85" t="str">
        <f t="shared" si="5"/>
        <v>Held</v>
      </c>
    </row>
    <row r="86" spans="1:15" x14ac:dyDescent="0.2">
      <c r="A86">
        <v>82</v>
      </c>
      <c r="B86" s="3" t="str">
        <f>'AC Results'!A131</f>
        <v>Attur</v>
      </c>
      <c r="C86" t="str">
        <f>'AC Results'!Y131</f>
        <v>Salem</v>
      </c>
      <c r="D86" s="11" t="s">
        <v>390</v>
      </c>
      <c r="E86" t="s">
        <v>23</v>
      </c>
      <c r="F86">
        <f>'AC Results'!H131</f>
        <v>30</v>
      </c>
      <c r="G86" t="str">
        <f>'AC Results'!S131</f>
        <v>AIADMK+BJP+PMK+AMMK</v>
      </c>
      <c r="H86">
        <f>'AC Results'!U131</f>
        <v>5.2</v>
      </c>
      <c r="I86" t="str">
        <f>'AC Results'!V131</f>
        <v>Lean</v>
      </c>
      <c r="J86" t="str">
        <f>'AC Results'!W131</f>
        <v>Tie</v>
      </c>
      <c r="K86" s="11" t="s">
        <v>372</v>
      </c>
      <c r="L86" t="s">
        <v>23</v>
      </c>
      <c r="M86" t="str">
        <f t="shared" si="3"/>
        <v>Yes</v>
      </c>
      <c r="N86" t="str">
        <f t="shared" si="4"/>
        <v>No</v>
      </c>
      <c r="O86" t="str">
        <f t="shared" si="5"/>
        <v>Held</v>
      </c>
    </row>
    <row r="87" spans="1:15" x14ac:dyDescent="0.2">
      <c r="A87">
        <v>83</v>
      </c>
      <c r="B87" s="3" t="str">
        <f>'AC Results'!A141</f>
        <v>Yercaud</v>
      </c>
      <c r="C87" t="str">
        <f>'AC Results'!Y141</f>
        <v>Salem</v>
      </c>
      <c r="D87" s="11" t="s">
        <v>390</v>
      </c>
      <c r="E87" t="s">
        <v>23</v>
      </c>
      <c r="F87">
        <f>'AC Results'!H141</f>
        <v>35</v>
      </c>
      <c r="G87" t="str">
        <f>'AC Results'!S141</f>
        <v>DMK+INC+VCK</v>
      </c>
      <c r="H87">
        <f>'AC Results'!U141</f>
        <v>12.3</v>
      </c>
      <c r="I87" t="str">
        <f>'AC Results'!V141</f>
        <v>Strong</v>
      </c>
      <c r="J87" t="str">
        <f>'AC Results'!W141</f>
        <v>DMK+INC+VCK</v>
      </c>
      <c r="K87" s="11" t="s">
        <v>372</v>
      </c>
      <c r="L87" t="s">
        <v>23</v>
      </c>
      <c r="M87" t="str">
        <f t="shared" si="3"/>
        <v>No</v>
      </c>
      <c r="N87" t="str">
        <f t="shared" si="4"/>
        <v>No</v>
      </c>
      <c r="O87" t="str">
        <f t="shared" si="5"/>
        <v>Held</v>
      </c>
    </row>
    <row r="88" spans="1:15" x14ac:dyDescent="0.2">
      <c r="A88">
        <v>84</v>
      </c>
      <c r="B88" s="3" t="str">
        <f>'AC Results'!A135</f>
        <v>Omalur</v>
      </c>
      <c r="C88" t="str">
        <f>'AC Results'!Y135</f>
        <v>Salem</v>
      </c>
      <c r="D88" s="11" t="s">
        <v>390</v>
      </c>
      <c r="E88" t="s">
        <v>23</v>
      </c>
      <c r="F88">
        <f>'AC Results'!H135</f>
        <v>46</v>
      </c>
      <c r="G88" t="str">
        <f>'AC Results'!S135</f>
        <v>AIADMK+BJP+PMK+AMMK</v>
      </c>
      <c r="H88">
        <f>'AC Results'!U135</f>
        <v>0.9</v>
      </c>
      <c r="I88" t="str">
        <f>'AC Results'!V135</f>
        <v>Toss-up</v>
      </c>
      <c r="J88" t="str">
        <f>'AC Results'!W135</f>
        <v>TVK</v>
      </c>
      <c r="K88" s="11" t="s">
        <v>372</v>
      </c>
      <c r="L88" t="s">
        <v>23</v>
      </c>
      <c r="M88" t="str">
        <f t="shared" si="3"/>
        <v>Yes</v>
      </c>
      <c r="N88" t="str">
        <f t="shared" si="4"/>
        <v>No</v>
      </c>
      <c r="O88" t="str">
        <f t="shared" si="5"/>
        <v>Held</v>
      </c>
    </row>
    <row r="89" spans="1:15" x14ac:dyDescent="0.2">
      <c r="A89">
        <v>85</v>
      </c>
      <c r="B89" s="3" t="str">
        <f>'AC Results'!A134</f>
        <v>Mettur</v>
      </c>
      <c r="C89" t="str">
        <f>'AC Results'!Y134</f>
        <v>Salem</v>
      </c>
      <c r="D89" s="11" t="s">
        <v>393</v>
      </c>
      <c r="E89" t="s">
        <v>23</v>
      </c>
      <c r="F89">
        <f>'AC Results'!H134</f>
        <v>28</v>
      </c>
      <c r="G89" t="str">
        <f>'AC Results'!S134</f>
        <v>AIADMK+BJP+PMK+AMMK</v>
      </c>
      <c r="H89">
        <f>'AC Results'!U134</f>
        <v>8.8000000000000007</v>
      </c>
      <c r="I89" t="str">
        <f>'AC Results'!V134</f>
        <v>Lean</v>
      </c>
      <c r="J89" t="str">
        <f>'AC Results'!W134</f>
        <v>AIADMK+BJP+PMK+AMMK</v>
      </c>
      <c r="K89" s="11" t="s">
        <v>372</v>
      </c>
      <c r="L89" t="s">
        <v>23</v>
      </c>
      <c r="M89" t="str">
        <f t="shared" si="3"/>
        <v>Yes</v>
      </c>
      <c r="N89" t="str">
        <f t="shared" si="4"/>
        <v>Yes</v>
      </c>
      <c r="O89" t="str">
        <f t="shared" si="5"/>
        <v>Held</v>
      </c>
    </row>
    <row r="90" spans="1:15" x14ac:dyDescent="0.2">
      <c r="A90">
        <v>86</v>
      </c>
      <c r="B90" s="3" t="str">
        <f>'AC Results'!A132</f>
        <v>Edappadi</v>
      </c>
      <c r="C90" t="str">
        <f>'AC Results'!Y132</f>
        <v>Salem</v>
      </c>
      <c r="D90" s="11" t="s">
        <v>390</v>
      </c>
      <c r="E90" t="s">
        <v>23</v>
      </c>
      <c r="F90">
        <f>'AC Results'!H132</f>
        <v>53</v>
      </c>
      <c r="G90" t="str">
        <f>'AC Results'!S132</f>
        <v>TVK</v>
      </c>
      <c r="H90">
        <f>'AC Results'!U132</f>
        <v>0.5</v>
      </c>
      <c r="I90" t="str">
        <f>'AC Results'!V132</f>
        <v>Toss-up</v>
      </c>
      <c r="J90" t="str">
        <f>'AC Results'!W132</f>
        <v>TVK</v>
      </c>
      <c r="K90" s="11" t="s">
        <v>372</v>
      </c>
      <c r="L90" t="s">
        <v>23</v>
      </c>
      <c r="M90" t="str">
        <f t="shared" si="3"/>
        <v>No</v>
      </c>
      <c r="N90" t="str">
        <f t="shared" si="4"/>
        <v>No</v>
      </c>
      <c r="O90" t="str">
        <f t="shared" si="5"/>
        <v>Held</v>
      </c>
    </row>
    <row r="91" spans="1:15" x14ac:dyDescent="0.2">
      <c r="A91">
        <v>87</v>
      </c>
      <c r="B91" s="3" t="str">
        <f>'AC Results'!A139</f>
        <v>Sankari</v>
      </c>
      <c r="C91" t="str">
        <f>'AC Results'!Y139</f>
        <v>Salem</v>
      </c>
      <c r="D91" s="11" t="s">
        <v>390</v>
      </c>
      <c r="E91" t="s">
        <v>23</v>
      </c>
      <c r="F91">
        <f>'AC Results'!H139</f>
        <v>37</v>
      </c>
      <c r="G91" t="str">
        <f>'AC Results'!S139</f>
        <v>TVK</v>
      </c>
      <c r="H91">
        <f>'AC Results'!U139</f>
        <v>4.5</v>
      </c>
      <c r="I91" t="str">
        <f>'AC Results'!V139</f>
        <v>Toss-up</v>
      </c>
      <c r="J91" t="str">
        <f>'AC Results'!W139</f>
        <v>TVK</v>
      </c>
      <c r="K91" s="11" t="s">
        <v>372</v>
      </c>
      <c r="L91" t="s">
        <v>23</v>
      </c>
      <c r="M91" t="str">
        <f t="shared" si="3"/>
        <v>No</v>
      </c>
      <c r="N91" t="str">
        <f t="shared" si="4"/>
        <v>No</v>
      </c>
      <c r="O91" t="str">
        <f t="shared" si="5"/>
        <v>Held</v>
      </c>
    </row>
    <row r="92" spans="1:15" x14ac:dyDescent="0.2">
      <c r="A92">
        <v>88</v>
      </c>
      <c r="B92" s="3" t="str">
        <f>'AC Results'!A138</f>
        <v>Salem (West)</v>
      </c>
      <c r="C92" t="str">
        <f>'AC Results'!Y138</f>
        <v>Salem</v>
      </c>
      <c r="D92" s="11" t="s">
        <v>393</v>
      </c>
      <c r="E92" t="s">
        <v>23</v>
      </c>
      <c r="F92">
        <f>'AC Results'!H138</f>
        <v>57</v>
      </c>
      <c r="G92" t="str">
        <f>'AC Results'!S138</f>
        <v>TVK</v>
      </c>
      <c r="H92">
        <f>'AC Results'!U138</f>
        <v>7.1</v>
      </c>
      <c r="I92" t="str">
        <f>'AC Results'!V138</f>
        <v>Lean</v>
      </c>
      <c r="J92" t="str">
        <f>'AC Results'!W138</f>
        <v>TVK</v>
      </c>
      <c r="K92" s="11" t="s">
        <v>10</v>
      </c>
      <c r="L92" t="s">
        <v>10</v>
      </c>
      <c r="M92" t="str">
        <f t="shared" si="3"/>
        <v>Yes</v>
      </c>
      <c r="N92" t="str">
        <f t="shared" si="4"/>
        <v>Yes</v>
      </c>
      <c r="O92" t="str">
        <f t="shared" si="5"/>
        <v>Changed</v>
      </c>
    </row>
    <row r="93" spans="1:15" x14ac:dyDescent="0.2">
      <c r="A93">
        <v>89</v>
      </c>
      <c r="B93" s="3" t="str">
        <f>'AC Results'!A136</f>
        <v>Salem (North)</v>
      </c>
      <c r="C93" t="str">
        <f>'AC Results'!Y136</f>
        <v>Salem</v>
      </c>
      <c r="D93" s="11" t="s">
        <v>369</v>
      </c>
      <c r="E93" t="s">
        <v>24</v>
      </c>
      <c r="F93">
        <f>'AC Results'!H136</f>
        <v>59</v>
      </c>
      <c r="G93" t="str">
        <f>'AC Results'!S136</f>
        <v>TVK</v>
      </c>
      <c r="H93">
        <f>'AC Results'!U136</f>
        <v>1.3</v>
      </c>
      <c r="I93" t="str">
        <f>'AC Results'!V136</f>
        <v>Toss-up</v>
      </c>
      <c r="J93" t="str">
        <f>'AC Results'!W136</f>
        <v>TVK</v>
      </c>
      <c r="K93" s="11" t="s">
        <v>10</v>
      </c>
      <c r="L93" t="s">
        <v>10</v>
      </c>
      <c r="M93" t="str">
        <f t="shared" si="3"/>
        <v>Yes</v>
      </c>
      <c r="N93" t="str">
        <f t="shared" si="4"/>
        <v>Yes</v>
      </c>
      <c r="O93" t="str">
        <f t="shared" si="5"/>
        <v>Changed</v>
      </c>
    </row>
    <row r="94" spans="1:15" x14ac:dyDescent="0.2">
      <c r="A94">
        <v>90</v>
      </c>
      <c r="B94" s="3" t="str">
        <f>'AC Results'!A137</f>
        <v>Salem (South)</v>
      </c>
      <c r="C94" t="str">
        <f>'AC Results'!Y137</f>
        <v>Salem</v>
      </c>
      <c r="D94" s="11" t="s">
        <v>390</v>
      </c>
      <c r="E94" t="s">
        <v>23</v>
      </c>
      <c r="F94">
        <f>'AC Results'!H137</f>
        <v>48</v>
      </c>
      <c r="G94" t="str">
        <f>'AC Results'!S137</f>
        <v>TVK</v>
      </c>
      <c r="H94">
        <f>'AC Results'!U137</f>
        <v>26.5</v>
      </c>
      <c r="I94" t="str">
        <f>'AC Results'!V137</f>
        <v>Strong</v>
      </c>
      <c r="J94" t="str">
        <f>'AC Results'!W137</f>
        <v>TVK</v>
      </c>
      <c r="K94" s="11" t="s">
        <v>10</v>
      </c>
      <c r="L94" t="s">
        <v>10</v>
      </c>
      <c r="M94" t="str">
        <f t="shared" si="3"/>
        <v>Yes</v>
      </c>
      <c r="N94" t="str">
        <f t="shared" si="4"/>
        <v>Yes</v>
      </c>
      <c r="O94" t="str">
        <f t="shared" si="5"/>
        <v>Changed</v>
      </c>
    </row>
    <row r="95" spans="1:15" x14ac:dyDescent="0.2">
      <c r="A95">
        <v>91</v>
      </c>
      <c r="B95" s="3" t="str">
        <f>'AC Results'!A140</f>
        <v>Veerapandi</v>
      </c>
      <c r="C95" t="str">
        <f>'AC Results'!Y140</f>
        <v>Salem</v>
      </c>
      <c r="D95" s="11" t="s">
        <v>390</v>
      </c>
      <c r="E95" t="s">
        <v>23</v>
      </c>
      <c r="F95">
        <f>'AC Results'!H140</f>
        <v>44</v>
      </c>
      <c r="G95" t="str">
        <f>'AC Results'!S140</f>
        <v>TVK</v>
      </c>
      <c r="H95">
        <f>'AC Results'!U140</f>
        <v>19.8</v>
      </c>
      <c r="I95" t="str">
        <f>'AC Results'!V140</f>
        <v>Strong</v>
      </c>
      <c r="J95" t="str">
        <f>'AC Results'!W140</f>
        <v>TVK</v>
      </c>
      <c r="K95" s="11" t="s">
        <v>10</v>
      </c>
      <c r="L95" t="s">
        <v>10</v>
      </c>
      <c r="M95" t="str">
        <f t="shared" si="3"/>
        <v>Yes</v>
      </c>
      <c r="N95" t="str">
        <f t="shared" si="4"/>
        <v>Yes</v>
      </c>
      <c r="O95" t="str">
        <f t="shared" si="5"/>
        <v>Changed</v>
      </c>
    </row>
    <row r="96" spans="1:15" x14ac:dyDescent="0.2">
      <c r="A96">
        <v>92</v>
      </c>
      <c r="B96" s="3" t="str">
        <f>'AC Results'!A112</f>
        <v>Rasipuram</v>
      </c>
      <c r="C96" t="str">
        <f>'AC Results'!Y112</f>
        <v>Namakkal</v>
      </c>
      <c r="D96" s="11" t="s">
        <v>369</v>
      </c>
      <c r="E96" t="s">
        <v>24</v>
      </c>
      <c r="F96">
        <f>'AC Results'!H112</f>
        <v>51</v>
      </c>
      <c r="G96" t="str">
        <f>'AC Results'!S112</f>
        <v>AIADMK+BJP+PMK+AMMK</v>
      </c>
      <c r="H96">
        <f>'AC Results'!U112</f>
        <v>3.2</v>
      </c>
      <c r="I96" t="str">
        <f>'AC Results'!V112</f>
        <v>Toss-up</v>
      </c>
      <c r="J96" t="str">
        <f>'AC Results'!W112</f>
        <v>TVK</v>
      </c>
      <c r="K96" s="11" t="s">
        <v>10</v>
      </c>
      <c r="L96" t="s">
        <v>10</v>
      </c>
      <c r="M96" t="str">
        <f t="shared" si="3"/>
        <v>No</v>
      </c>
      <c r="N96" t="str">
        <f t="shared" si="4"/>
        <v>Yes</v>
      </c>
      <c r="O96" t="str">
        <f t="shared" si="5"/>
        <v>Changed</v>
      </c>
    </row>
    <row r="97" spans="1:15" x14ac:dyDescent="0.2">
      <c r="A97">
        <v>93</v>
      </c>
      <c r="B97" s="3" t="str">
        <f>'AC Results'!A113</f>
        <v>Senthamangalam</v>
      </c>
      <c r="C97" t="str">
        <f>'AC Results'!Y113</f>
        <v>Namakkal</v>
      </c>
      <c r="D97" s="11" t="s">
        <v>369</v>
      </c>
      <c r="E97" t="s">
        <v>24</v>
      </c>
      <c r="F97">
        <f>'AC Results'!H113</f>
        <v>20</v>
      </c>
      <c r="G97" t="str">
        <f>'AC Results'!S113</f>
        <v>AIADMK+BJP+PMK+AMMK</v>
      </c>
      <c r="H97">
        <f>'AC Results'!U113</f>
        <v>21.3</v>
      </c>
      <c r="I97" t="str">
        <f>'AC Results'!V113</f>
        <v>Lean</v>
      </c>
      <c r="J97" t="str">
        <f>'AC Results'!W113</f>
        <v>AIADMK+BJP+PMK+AMMK</v>
      </c>
      <c r="K97" s="11" t="s">
        <v>10</v>
      </c>
      <c r="L97" t="s">
        <v>10</v>
      </c>
      <c r="M97" t="str">
        <f t="shared" si="3"/>
        <v>No</v>
      </c>
      <c r="N97" t="str">
        <f t="shared" si="4"/>
        <v>No</v>
      </c>
      <c r="O97" t="str">
        <f t="shared" si="5"/>
        <v>Changed</v>
      </c>
    </row>
    <row r="98" spans="1:15" x14ac:dyDescent="0.2">
      <c r="A98">
        <v>94</v>
      </c>
      <c r="B98" s="3" t="str">
        <f>'AC Results'!A110</f>
        <v>Namakkal</v>
      </c>
      <c r="C98" t="str">
        <f>'AC Results'!Y110</f>
        <v>Namakkal</v>
      </c>
      <c r="D98" s="11" t="s">
        <v>369</v>
      </c>
      <c r="E98" t="s">
        <v>24</v>
      </c>
      <c r="F98">
        <f>'AC Results'!H110</f>
        <v>47</v>
      </c>
      <c r="G98" t="str">
        <f>'AC Results'!S110</f>
        <v>AIADMK+BJP+PMK+AMMK</v>
      </c>
      <c r="H98">
        <f>'AC Results'!U110</f>
        <v>0.9</v>
      </c>
      <c r="I98" t="str">
        <f>'AC Results'!V110</f>
        <v>Toss-up</v>
      </c>
      <c r="J98" t="str">
        <f>'AC Results'!W110</f>
        <v>TVK</v>
      </c>
      <c r="K98" s="11" t="s">
        <v>10</v>
      </c>
      <c r="L98" t="s">
        <v>10</v>
      </c>
      <c r="M98" t="str">
        <f t="shared" si="3"/>
        <v>No</v>
      </c>
      <c r="N98" t="str">
        <f t="shared" si="4"/>
        <v>Yes</v>
      </c>
      <c r="O98" t="str">
        <f t="shared" si="5"/>
        <v>Changed</v>
      </c>
    </row>
    <row r="99" spans="1:15" x14ac:dyDescent="0.2">
      <c r="A99">
        <v>95</v>
      </c>
      <c r="B99" s="3" t="str">
        <f>'AC Results'!A111</f>
        <v>Paramathi Velur</v>
      </c>
      <c r="C99" t="str">
        <f>'AC Results'!Y111</f>
        <v>Namakkal</v>
      </c>
      <c r="D99" s="11" t="s">
        <v>390</v>
      </c>
      <c r="E99" t="s">
        <v>23</v>
      </c>
      <c r="F99">
        <f>'AC Results'!H111</f>
        <v>19</v>
      </c>
      <c r="G99" t="str">
        <f>'AC Results'!S111</f>
        <v>TVK</v>
      </c>
      <c r="H99">
        <f>'AC Results'!U111</f>
        <v>5.3</v>
      </c>
      <c r="I99" t="str">
        <f>'AC Results'!V111</f>
        <v>Lean</v>
      </c>
      <c r="J99" t="str">
        <f>'AC Results'!W111</f>
        <v>TVK</v>
      </c>
      <c r="K99" s="11" t="s">
        <v>372</v>
      </c>
      <c r="L99" t="s">
        <v>23</v>
      </c>
      <c r="M99" t="str">
        <f t="shared" si="3"/>
        <v>No</v>
      </c>
      <c r="N99" t="str">
        <f t="shared" si="4"/>
        <v>No</v>
      </c>
      <c r="O99" t="str">
        <f t="shared" si="5"/>
        <v>Held</v>
      </c>
    </row>
    <row r="100" spans="1:15" x14ac:dyDescent="0.2">
      <c r="A100">
        <v>96</v>
      </c>
      <c r="B100" s="3" t="str">
        <f>'AC Results'!A114</f>
        <v>Tiruchengodu</v>
      </c>
      <c r="C100" t="str">
        <f>'AC Results'!Y114</f>
        <v>Namakkal</v>
      </c>
      <c r="D100" s="11" t="s">
        <v>369</v>
      </c>
      <c r="E100" t="s">
        <v>24</v>
      </c>
      <c r="F100">
        <f>'AC Results'!H114</f>
        <v>39</v>
      </c>
      <c r="G100" t="str">
        <f>'AC Results'!S114</f>
        <v>AIADMK+BJP+PMK+AMMK</v>
      </c>
      <c r="H100">
        <f>'AC Results'!U114</f>
        <v>7.8</v>
      </c>
      <c r="I100" t="str">
        <f>'AC Results'!V114</f>
        <v>Lean</v>
      </c>
      <c r="J100" t="str">
        <f>'AC Results'!W114</f>
        <v>AIADMK+BJP+PMK+AMMK</v>
      </c>
      <c r="K100" s="11" t="s">
        <v>10</v>
      </c>
      <c r="L100" t="s">
        <v>10</v>
      </c>
      <c r="M100" t="str">
        <f t="shared" si="3"/>
        <v>No</v>
      </c>
      <c r="N100" t="str">
        <f t="shared" si="4"/>
        <v>No</v>
      </c>
      <c r="O100" t="str">
        <f t="shared" si="5"/>
        <v>Changed</v>
      </c>
    </row>
    <row r="101" spans="1:15" x14ac:dyDescent="0.2">
      <c r="A101">
        <v>97</v>
      </c>
      <c r="B101" s="3" t="str">
        <f>'AC Results'!A109</f>
        <v>Kumarapalayam</v>
      </c>
      <c r="C101" t="str">
        <f>'AC Results'!Y109</f>
        <v>Namakkal</v>
      </c>
      <c r="D101" s="11" t="s">
        <v>390</v>
      </c>
      <c r="E101" t="s">
        <v>23</v>
      </c>
      <c r="F101">
        <f>'AC Results'!H109</f>
        <v>38</v>
      </c>
      <c r="G101" t="str">
        <f>'AC Results'!S109</f>
        <v>TVK</v>
      </c>
      <c r="H101">
        <f>'AC Results'!U109</f>
        <v>5.3</v>
      </c>
      <c r="I101" t="str">
        <f>'AC Results'!V109</f>
        <v>Lean</v>
      </c>
      <c r="J101" t="str">
        <f>'AC Results'!W109</f>
        <v>TVK</v>
      </c>
      <c r="K101" s="11" t="s">
        <v>10</v>
      </c>
      <c r="L101" t="s">
        <v>10</v>
      </c>
      <c r="M101" t="str">
        <f t="shared" si="3"/>
        <v>Yes</v>
      </c>
      <c r="N101" t="str">
        <f t="shared" si="4"/>
        <v>Yes</v>
      </c>
      <c r="O101" t="str">
        <f t="shared" si="5"/>
        <v>Changed</v>
      </c>
    </row>
    <row r="102" spans="1:15" x14ac:dyDescent="0.2">
      <c r="A102">
        <v>98</v>
      </c>
      <c r="B102" s="3" t="str">
        <f>'AC Results'!A64</f>
        <v>Erode (East)</v>
      </c>
      <c r="C102" t="str">
        <f>'AC Results'!Y64</f>
        <v>Erode</v>
      </c>
      <c r="D102" s="11" t="s">
        <v>371</v>
      </c>
      <c r="E102" t="s">
        <v>24</v>
      </c>
      <c r="F102">
        <f>'AC Results'!H64</f>
        <v>52</v>
      </c>
      <c r="G102" t="str">
        <f>'AC Results'!S64</f>
        <v>TVK</v>
      </c>
      <c r="H102">
        <f>'AC Results'!U64</f>
        <v>12.1</v>
      </c>
      <c r="I102" t="str">
        <f>'AC Results'!V64</f>
        <v>Strong</v>
      </c>
      <c r="J102" t="str">
        <f>'AC Results'!W64</f>
        <v>TVK</v>
      </c>
      <c r="K102" s="11" t="s">
        <v>10</v>
      </c>
      <c r="L102" t="s">
        <v>10</v>
      </c>
      <c r="M102" t="str">
        <f t="shared" si="3"/>
        <v>Yes</v>
      </c>
      <c r="N102" t="str">
        <f t="shared" si="4"/>
        <v>Yes</v>
      </c>
      <c r="O102" t="str">
        <f t="shared" si="5"/>
        <v>Changed</v>
      </c>
    </row>
    <row r="103" spans="1:15" x14ac:dyDescent="0.2">
      <c r="A103">
        <v>99</v>
      </c>
      <c r="B103" s="3" t="str">
        <f>'AC Results'!A65</f>
        <v>Erode (West)</v>
      </c>
      <c r="C103" t="str">
        <f>'AC Results'!Y65</f>
        <v>Erode</v>
      </c>
      <c r="D103" s="11" t="s">
        <v>369</v>
      </c>
      <c r="E103" t="s">
        <v>24</v>
      </c>
      <c r="F103">
        <f>'AC Results'!H65</f>
        <v>70</v>
      </c>
      <c r="G103" t="str">
        <f>'AC Results'!S65</f>
        <v>AIADMK+BJP+PMK+AMMK</v>
      </c>
      <c r="H103">
        <f>'AC Results'!U65</f>
        <v>10.6</v>
      </c>
      <c r="I103" t="str">
        <f>'AC Results'!V65</f>
        <v>Strong</v>
      </c>
      <c r="J103" t="str">
        <f>'AC Results'!W65</f>
        <v>AIADMK+BJP+PMK+AMMK</v>
      </c>
      <c r="K103" s="11" t="s">
        <v>10</v>
      </c>
      <c r="L103" t="s">
        <v>10</v>
      </c>
      <c r="M103" t="str">
        <f t="shared" si="3"/>
        <v>No</v>
      </c>
      <c r="N103" t="str">
        <f t="shared" si="4"/>
        <v>No</v>
      </c>
      <c r="O103" t="str">
        <f t="shared" si="5"/>
        <v>Changed</v>
      </c>
    </row>
    <row r="104" spans="1:15" x14ac:dyDescent="0.2">
      <c r="A104">
        <v>100</v>
      </c>
      <c r="B104" s="3" t="str">
        <f>'AC Results'!A67</f>
        <v>Modakkurichi</v>
      </c>
      <c r="C104" t="str">
        <f>'AC Results'!Y67</f>
        <v>Erode</v>
      </c>
      <c r="D104" s="11" t="s">
        <v>394</v>
      </c>
      <c r="E104" t="s">
        <v>23</v>
      </c>
      <c r="F104">
        <f>'AC Results'!H67</f>
        <v>31</v>
      </c>
      <c r="G104" t="str">
        <f>'AC Results'!S67</f>
        <v>AIADMK+BJP+PMK+AMMK</v>
      </c>
      <c r="H104">
        <f>'AC Results'!U67</f>
        <v>22.1</v>
      </c>
      <c r="I104" t="str">
        <f>'AC Results'!V67</f>
        <v>Strong</v>
      </c>
      <c r="J104" t="str">
        <f>'AC Results'!W67</f>
        <v>AIADMK+BJP+PMK+AMMK</v>
      </c>
      <c r="K104" s="11" t="s">
        <v>10</v>
      </c>
      <c r="L104" t="s">
        <v>10</v>
      </c>
      <c r="M104" t="str">
        <f t="shared" si="3"/>
        <v>No</v>
      </c>
      <c r="N104" t="str">
        <f t="shared" si="4"/>
        <v>No</v>
      </c>
      <c r="O104" t="str">
        <f t="shared" si="5"/>
        <v>Changed</v>
      </c>
    </row>
    <row r="105" spans="1:15" x14ac:dyDescent="0.2">
      <c r="A105">
        <v>101</v>
      </c>
      <c r="B105" s="3" t="str">
        <f>'AC Results'!A201</f>
        <v>Dharapuram</v>
      </c>
      <c r="C105" t="str">
        <f>'AC Results'!Y201</f>
        <v>Tiruppur</v>
      </c>
      <c r="D105" s="11" t="s">
        <v>369</v>
      </c>
      <c r="E105" t="s">
        <v>24</v>
      </c>
      <c r="F105">
        <f>'AC Results'!H201</f>
        <v>20</v>
      </c>
      <c r="G105" t="str">
        <f>'AC Results'!S201</f>
        <v>AIADMK+BJP+PMK+AMMK</v>
      </c>
      <c r="H105">
        <f>'AC Results'!U201</f>
        <v>0.2</v>
      </c>
      <c r="I105" t="str">
        <f>'AC Results'!V201</f>
        <v>Toss-up</v>
      </c>
      <c r="J105" t="str">
        <f>'AC Results'!W201</f>
        <v>TVK</v>
      </c>
      <c r="K105" s="11" t="s">
        <v>372</v>
      </c>
      <c r="L105" t="s">
        <v>23</v>
      </c>
      <c r="M105" t="str">
        <f t="shared" si="3"/>
        <v>Yes</v>
      </c>
      <c r="N105" t="str">
        <f t="shared" si="4"/>
        <v>No</v>
      </c>
      <c r="O105" t="str">
        <f t="shared" si="5"/>
        <v>Changed</v>
      </c>
    </row>
    <row r="106" spans="1:15" x14ac:dyDescent="0.2">
      <c r="A106">
        <v>102</v>
      </c>
      <c r="B106" s="3" t="str">
        <f>'AC Results'!A202</f>
        <v>Kangayam</v>
      </c>
      <c r="C106" t="str">
        <f>'AC Results'!Y202</f>
        <v>Tiruppur</v>
      </c>
      <c r="D106" s="11" t="s">
        <v>369</v>
      </c>
      <c r="E106" t="s">
        <v>24</v>
      </c>
      <c r="F106">
        <f>'AC Results'!H202</f>
        <v>26</v>
      </c>
      <c r="G106" t="str">
        <f>'AC Results'!S202</f>
        <v>TVK</v>
      </c>
      <c r="H106">
        <f>'AC Results'!U202</f>
        <v>2.5</v>
      </c>
      <c r="I106" t="str">
        <f>'AC Results'!V202</f>
        <v>Toss-up</v>
      </c>
      <c r="J106" t="str">
        <f>'AC Results'!W202</f>
        <v>TVK</v>
      </c>
      <c r="K106" s="11" t="s">
        <v>372</v>
      </c>
      <c r="L106" t="s">
        <v>23</v>
      </c>
      <c r="M106" t="str">
        <f t="shared" si="3"/>
        <v>No</v>
      </c>
      <c r="N106" t="str">
        <f t="shared" si="4"/>
        <v>No</v>
      </c>
      <c r="O106" t="str">
        <f t="shared" si="5"/>
        <v>Changed</v>
      </c>
    </row>
    <row r="107" spans="1:15" x14ac:dyDescent="0.2">
      <c r="A107">
        <v>103</v>
      </c>
      <c r="B107" s="3" t="str">
        <f>'AC Results'!A68</f>
        <v>Perundurai</v>
      </c>
      <c r="C107" t="str">
        <f>'AC Results'!Y68</f>
        <v>Erode</v>
      </c>
      <c r="D107" s="11" t="s">
        <v>390</v>
      </c>
      <c r="E107" t="s">
        <v>23</v>
      </c>
      <c r="F107">
        <f>'AC Results'!H68</f>
        <v>27</v>
      </c>
      <c r="G107" t="str">
        <f>'AC Results'!S68</f>
        <v>AIADMK+BJP+PMK+AMMK</v>
      </c>
      <c r="H107">
        <f>'AC Results'!U68</f>
        <v>16.3</v>
      </c>
      <c r="I107" t="str">
        <f>'AC Results'!V68</f>
        <v>Lean</v>
      </c>
      <c r="J107" t="str">
        <f>'AC Results'!W68</f>
        <v>AIADMK+BJP+PMK+AMMK</v>
      </c>
      <c r="K107" s="11" t="s">
        <v>372</v>
      </c>
      <c r="L107" t="s">
        <v>23</v>
      </c>
      <c r="M107" t="str">
        <f t="shared" si="3"/>
        <v>Yes</v>
      </c>
      <c r="N107" t="str">
        <f t="shared" si="4"/>
        <v>Yes</v>
      </c>
      <c r="O107" t="str">
        <f t="shared" si="5"/>
        <v>Held</v>
      </c>
    </row>
    <row r="108" spans="1:15" x14ac:dyDescent="0.2">
      <c r="A108">
        <v>104</v>
      </c>
      <c r="B108" s="3" t="str">
        <f>'AC Results'!A62</f>
        <v>Bhavani</v>
      </c>
      <c r="C108" t="str">
        <f>'AC Results'!Y62</f>
        <v>Erode</v>
      </c>
      <c r="D108" s="11" t="s">
        <v>390</v>
      </c>
      <c r="E108" t="s">
        <v>23</v>
      </c>
      <c r="F108">
        <f>'AC Results'!H62</f>
        <v>47</v>
      </c>
      <c r="G108" t="str">
        <f>'AC Results'!S62</f>
        <v>DMK+INC+VCK</v>
      </c>
      <c r="H108">
        <f>'AC Results'!U62</f>
        <v>8.9</v>
      </c>
      <c r="I108" t="str">
        <f>'AC Results'!V62</f>
        <v>Lean</v>
      </c>
      <c r="J108" t="str">
        <f>'AC Results'!W62</f>
        <v>Tie</v>
      </c>
      <c r="K108" s="11" t="s">
        <v>372</v>
      </c>
      <c r="L108" t="s">
        <v>23</v>
      </c>
      <c r="M108" t="str">
        <f t="shared" si="3"/>
        <v>No</v>
      </c>
      <c r="N108" t="str">
        <f t="shared" si="4"/>
        <v>No</v>
      </c>
      <c r="O108" t="str">
        <f t="shared" si="5"/>
        <v>Held</v>
      </c>
    </row>
    <row r="109" spans="1:15" x14ac:dyDescent="0.2">
      <c r="A109">
        <v>105</v>
      </c>
      <c r="B109" s="3" t="str">
        <f>'AC Results'!A61</f>
        <v>Anthiyur</v>
      </c>
      <c r="C109" t="str">
        <f>'AC Results'!Y61</f>
        <v>Erode</v>
      </c>
      <c r="D109" s="11" t="s">
        <v>369</v>
      </c>
      <c r="E109" t="s">
        <v>24</v>
      </c>
      <c r="F109">
        <f>'AC Results'!H61</f>
        <v>38</v>
      </c>
      <c r="G109" t="str">
        <f>'AC Results'!S61</f>
        <v>AIADMK+BJP+PMK+AMMK</v>
      </c>
      <c r="H109">
        <f>'AC Results'!U61</f>
        <v>13.1</v>
      </c>
      <c r="I109" t="str">
        <f>'AC Results'!V61</f>
        <v>Strong</v>
      </c>
      <c r="J109" t="str">
        <f>'AC Results'!W61</f>
        <v>AIADMK+BJP+PMK+AMMK</v>
      </c>
      <c r="K109" s="11" t="s">
        <v>372</v>
      </c>
      <c r="L109" t="s">
        <v>23</v>
      </c>
      <c r="M109" t="str">
        <f t="shared" si="3"/>
        <v>Yes</v>
      </c>
      <c r="N109" t="str">
        <f t="shared" si="4"/>
        <v>Yes</v>
      </c>
      <c r="O109" t="str">
        <f t="shared" si="5"/>
        <v>Changed</v>
      </c>
    </row>
    <row r="110" spans="1:15" x14ac:dyDescent="0.2">
      <c r="A110">
        <v>106</v>
      </c>
      <c r="B110" s="3" t="str">
        <f>'AC Results'!A66</f>
        <v>Gobichettipalayam</v>
      </c>
      <c r="C110" t="str">
        <f>'AC Results'!Y66</f>
        <v>Erode</v>
      </c>
      <c r="D110" s="11" t="s">
        <v>390</v>
      </c>
      <c r="E110" t="s">
        <v>23</v>
      </c>
      <c r="F110">
        <f>'AC Results'!H66</f>
        <v>52</v>
      </c>
      <c r="G110" t="str">
        <f>'AC Results'!S66</f>
        <v>AIADMK+BJP+PMK+AMMK</v>
      </c>
      <c r="H110">
        <f>'AC Results'!U66</f>
        <v>7.1</v>
      </c>
      <c r="I110" t="str">
        <f>'AC Results'!V66</f>
        <v>Lean</v>
      </c>
      <c r="J110" t="str">
        <f>'AC Results'!W66</f>
        <v>AIADMK+BJP+PMK+AMMK</v>
      </c>
      <c r="K110" s="11" t="s">
        <v>10</v>
      </c>
      <c r="L110" t="s">
        <v>10</v>
      </c>
      <c r="M110" t="str">
        <f t="shared" si="3"/>
        <v>No</v>
      </c>
      <c r="N110" t="str">
        <f t="shared" si="4"/>
        <v>No</v>
      </c>
      <c r="O110" t="str">
        <f t="shared" si="5"/>
        <v>Changed</v>
      </c>
    </row>
    <row r="111" spans="1:15" x14ac:dyDescent="0.2">
      <c r="A111">
        <v>107</v>
      </c>
      <c r="B111" s="3" t="str">
        <f>'AC Results'!A63</f>
        <v>Bhavanisagar</v>
      </c>
      <c r="C111" t="str">
        <f>'AC Results'!Y63</f>
        <v>Erode</v>
      </c>
      <c r="D111" s="11" t="s">
        <v>390</v>
      </c>
      <c r="E111" t="s">
        <v>23</v>
      </c>
      <c r="F111">
        <f>'AC Results'!H63</f>
        <v>30</v>
      </c>
      <c r="G111" t="str">
        <f>'AC Results'!S63</f>
        <v>AIADMK+BJP+PMK+AMMK</v>
      </c>
      <c r="H111">
        <f>'AC Results'!U63</f>
        <v>1.9</v>
      </c>
      <c r="I111" t="str">
        <f>'AC Results'!V63</f>
        <v>Toss-up</v>
      </c>
      <c r="J111" t="str">
        <f>'AC Results'!W63</f>
        <v>TVK</v>
      </c>
      <c r="K111" s="11" t="s">
        <v>10</v>
      </c>
      <c r="L111" t="s">
        <v>10</v>
      </c>
      <c r="M111" t="str">
        <f t="shared" si="3"/>
        <v>No</v>
      </c>
      <c r="N111" t="str">
        <f t="shared" si="4"/>
        <v>Yes</v>
      </c>
      <c r="O111" t="str">
        <f t="shared" si="5"/>
        <v>Changed</v>
      </c>
    </row>
    <row r="112" spans="1:15" x14ac:dyDescent="0.2">
      <c r="A112">
        <v>108</v>
      </c>
      <c r="B112" s="3" t="str">
        <f>'AC Results'!A161</f>
        <v>Udhagamandalam</v>
      </c>
      <c r="C112" t="str">
        <f>'AC Results'!Y161</f>
        <v>The Nilgiris</v>
      </c>
      <c r="D112" s="11" t="s">
        <v>371</v>
      </c>
      <c r="E112" t="s">
        <v>24</v>
      </c>
      <c r="F112">
        <f>'AC Results'!H161</f>
        <v>27</v>
      </c>
      <c r="G112" t="str">
        <f>'AC Results'!S161</f>
        <v>TVK</v>
      </c>
      <c r="H112">
        <f>'AC Results'!U161</f>
        <v>2.2000000000000002</v>
      </c>
      <c r="I112" t="str">
        <f>'AC Results'!V161</f>
        <v>Toss-up</v>
      </c>
      <c r="J112" t="str">
        <f>'AC Results'!W161</f>
        <v>TVK</v>
      </c>
      <c r="K112" s="11" t="s">
        <v>394</v>
      </c>
      <c r="L112" t="s">
        <v>23</v>
      </c>
      <c r="M112" t="str">
        <f t="shared" si="3"/>
        <v>No</v>
      </c>
      <c r="N112" t="str">
        <f t="shared" si="4"/>
        <v>No</v>
      </c>
      <c r="O112" t="str">
        <f t="shared" si="5"/>
        <v>Changed</v>
      </c>
    </row>
    <row r="113" spans="1:15" x14ac:dyDescent="0.2">
      <c r="A113">
        <v>109</v>
      </c>
      <c r="B113" s="3" t="str">
        <f>'AC Results'!A160</f>
        <v>Gudalur</v>
      </c>
      <c r="C113" t="str">
        <f>'AC Results'!Y160</f>
        <v>The Nilgiris</v>
      </c>
      <c r="D113" s="11" t="s">
        <v>390</v>
      </c>
      <c r="E113" t="s">
        <v>23</v>
      </c>
      <c r="F113">
        <f>'AC Results'!H160</f>
        <v>23</v>
      </c>
      <c r="G113" t="str">
        <f>'AC Results'!S160</f>
        <v>DMK+INC+VCK</v>
      </c>
      <c r="H113">
        <f>'AC Results'!U160</f>
        <v>0.2</v>
      </c>
      <c r="I113" t="str">
        <f>'AC Results'!V160</f>
        <v>Toss-up</v>
      </c>
      <c r="J113" t="str">
        <f>'AC Results'!W160</f>
        <v>TVK</v>
      </c>
      <c r="K113" s="11" t="s">
        <v>369</v>
      </c>
      <c r="L113" t="s">
        <v>24</v>
      </c>
      <c r="M113" t="str">
        <f t="shared" si="3"/>
        <v>Yes</v>
      </c>
      <c r="N113" t="str">
        <f t="shared" si="4"/>
        <v>No</v>
      </c>
      <c r="O113" t="str">
        <f t="shared" si="5"/>
        <v>Changed</v>
      </c>
    </row>
    <row r="114" spans="1:15" x14ac:dyDescent="0.2">
      <c r="A114">
        <v>110</v>
      </c>
      <c r="B114" s="3" t="str">
        <f>'AC Results'!A159</f>
        <v>Coonoor</v>
      </c>
      <c r="C114" t="str">
        <f>'AC Results'!Y159</f>
        <v>The Nilgiris</v>
      </c>
      <c r="D114" s="11" t="s">
        <v>369</v>
      </c>
      <c r="E114" t="s">
        <v>24</v>
      </c>
      <c r="F114">
        <f>'AC Results'!H159</f>
        <v>34</v>
      </c>
      <c r="G114" t="str">
        <f>'AC Results'!S159</f>
        <v>TVK</v>
      </c>
      <c r="H114">
        <f>'AC Results'!U159</f>
        <v>0.7</v>
      </c>
      <c r="I114" t="str">
        <f>'AC Results'!V159</f>
        <v>Toss-up</v>
      </c>
      <c r="J114" t="str">
        <f>'AC Results'!W159</f>
        <v>TVK</v>
      </c>
      <c r="K114" s="11" t="s">
        <v>369</v>
      </c>
      <c r="L114" t="s">
        <v>24</v>
      </c>
      <c r="M114" t="str">
        <f t="shared" si="3"/>
        <v>No</v>
      </c>
      <c r="N114" t="str">
        <f t="shared" si="4"/>
        <v>No</v>
      </c>
      <c r="O114" t="str">
        <f t="shared" si="5"/>
        <v>Held</v>
      </c>
    </row>
    <row r="115" spans="1:15" x14ac:dyDescent="0.2">
      <c r="A115">
        <v>111</v>
      </c>
      <c r="B115" s="3" t="str">
        <f>'AC Results'!A34</f>
        <v>Mettupalayam</v>
      </c>
      <c r="C115" t="str">
        <f>'AC Results'!Y34</f>
        <v>Coimbatore</v>
      </c>
      <c r="D115" s="11" t="s">
        <v>390</v>
      </c>
      <c r="E115" t="s">
        <v>23</v>
      </c>
      <c r="F115">
        <f>'AC Results'!H34</f>
        <v>50</v>
      </c>
      <c r="G115" t="str">
        <f>'AC Results'!S34</f>
        <v>DMK+INC+VCK</v>
      </c>
      <c r="H115">
        <f>'AC Results'!U34</f>
        <v>8.9</v>
      </c>
      <c r="I115" t="str">
        <f>'AC Results'!V34</f>
        <v>Lean</v>
      </c>
      <c r="J115" t="str">
        <f>'AC Results'!W34</f>
        <v>Tie</v>
      </c>
      <c r="K115" s="11" t="s">
        <v>10</v>
      </c>
      <c r="L115" t="s">
        <v>10</v>
      </c>
      <c r="M115" t="str">
        <f t="shared" si="3"/>
        <v>No</v>
      </c>
      <c r="N115" t="str">
        <f t="shared" si="4"/>
        <v>No</v>
      </c>
      <c r="O115" t="str">
        <f t="shared" si="5"/>
        <v>Changed</v>
      </c>
    </row>
    <row r="116" spans="1:15" x14ac:dyDescent="0.2">
      <c r="A116">
        <v>112</v>
      </c>
      <c r="B116" s="3" t="str">
        <f>'AC Results'!A200</f>
        <v>Avanashi</v>
      </c>
      <c r="C116" t="str">
        <f>'AC Results'!Y200</f>
        <v>Tiruppur</v>
      </c>
      <c r="D116" s="11" t="s">
        <v>390</v>
      </c>
      <c r="E116" t="s">
        <v>23</v>
      </c>
      <c r="F116">
        <f>'AC Results'!H200</f>
        <v>49</v>
      </c>
      <c r="G116" t="str">
        <f>'AC Results'!S200</f>
        <v>TVK</v>
      </c>
      <c r="H116">
        <f>'AC Results'!U200</f>
        <v>25.4</v>
      </c>
      <c r="I116" t="str">
        <f>'AC Results'!V200</f>
        <v>Strong</v>
      </c>
      <c r="J116" t="str">
        <f>'AC Results'!W200</f>
        <v>TVK</v>
      </c>
      <c r="K116" s="11" t="s">
        <v>10</v>
      </c>
      <c r="L116" t="s">
        <v>10</v>
      </c>
      <c r="M116" t="str">
        <f t="shared" si="3"/>
        <v>Yes</v>
      </c>
      <c r="N116" t="str">
        <f t="shared" si="4"/>
        <v>Yes</v>
      </c>
      <c r="O116" t="str">
        <f t="shared" si="5"/>
        <v>Changed</v>
      </c>
    </row>
    <row r="117" spans="1:15" x14ac:dyDescent="0.2">
      <c r="A117">
        <v>113</v>
      </c>
      <c r="B117" s="3" t="str">
        <f>'AC Results'!A205</f>
        <v>Tiruppur (North)</v>
      </c>
      <c r="C117" t="str">
        <f>'AC Results'!Y205</f>
        <v>Tiruppur</v>
      </c>
      <c r="D117" s="11" t="s">
        <v>390</v>
      </c>
      <c r="E117" t="s">
        <v>23</v>
      </c>
      <c r="F117">
        <f>'AC Results'!H205</f>
        <v>76</v>
      </c>
      <c r="G117" t="str">
        <f>'AC Results'!S205</f>
        <v>TVK</v>
      </c>
      <c r="H117">
        <f>'AC Results'!U205</f>
        <v>4</v>
      </c>
      <c r="I117" t="str">
        <f>'AC Results'!V205</f>
        <v>Toss-up</v>
      </c>
      <c r="J117" t="str">
        <f>'AC Results'!W205</f>
        <v>TVK</v>
      </c>
      <c r="K117" s="11" t="s">
        <v>10</v>
      </c>
      <c r="L117" t="s">
        <v>10</v>
      </c>
      <c r="M117" t="str">
        <f t="shared" si="3"/>
        <v>Yes</v>
      </c>
      <c r="N117" t="str">
        <f t="shared" si="4"/>
        <v>Yes</v>
      </c>
      <c r="O117" t="str">
        <f t="shared" si="5"/>
        <v>Changed</v>
      </c>
    </row>
    <row r="118" spans="1:15" x14ac:dyDescent="0.2">
      <c r="A118">
        <v>114</v>
      </c>
      <c r="B118" s="3" t="str">
        <f>'AC Results'!A206</f>
        <v>Tiruppur (South)</v>
      </c>
      <c r="C118" t="str">
        <f>'AC Results'!Y206</f>
        <v>Tiruppur</v>
      </c>
      <c r="D118" s="11" t="s">
        <v>369</v>
      </c>
      <c r="E118" t="s">
        <v>24</v>
      </c>
      <c r="F118">
        <f>'AC Results'!H206</f>
        <v>82</v>
      </c>
      <c r="G118" t="str">
        <f>'AC Results'!S206</f>
        <v>DMK+INC+VCK</v>
      </c>
      <c r="H118">
        <f>'AC Results'!U206</f>
        <v>0.4</v>
      </c>
      <c r="I118" t="str">
        <f>'AC Results'!V206</f>
        <v>Toss-up</v>
      </c>
      <c r="J118" t="str">
        <f>'AC Results'!W206</f>
        <v>TVK</v>
      </c>
      <c r="K118" s="11" t="s">
        <v>10</v>
      </c>
      <c r="L118" t="s">
        <v>10</v>
      </c>
      <c r="M118" t="str">
        <f t="shared" si="3"/>
        <v>No</v>
      </c>
      <c r="N118" t="str">
        <f t="shared" si="4"/>
        <v>Yes</v>
      </c>
      <c r="O118" t="str">
        <f t="shared" si="5"/>
        <v>Changed</v>
      </c>
    </row>
    <row r="119" spans="1:15" x14ac:dyDescent="0.2">
      <c r="A119">
        <v>115</v>
      </c>
      <c r="B119" s="3" t="str">
        <f>'AC Results'!A204</f>
        <v>Palladam</v>
      </c>
      <c r="C119" t="str">
        <f>'AC Results'!Y204</f>
        <v>Tiruppur</v>
      </c>
      <c r="D119" s="11" t="s">
        <v>390</v>
      </c>
      <c r="E119" t="s">
        <v>23</v>
      </c>
      <c r="F119">
        <f>'AC Results'!H204</f>
        <v>54</v>
      </c>
      <c r="G119" t="str">
        <f>'AC Results'!S204</f>
        <v>AIADMK+BJP+PMK+AMMK</v>
      </c>
      <c r="H119">
        <f>'AC Results'!U204</f>
        <v>8.9</v>
      </c>
      <c r="I119" t="str">
        <f>'AC Results'!V204</f>
        <v>Lean</v>
      </c>
      <c r="J119" t="str">
        <f>'AC Results'!W204</f>
        <v>AIADMK+BJP+PMK+AMMK</v>
      </c>
      <c r="K119" s="11" t="s">
        <v>10</v>
      </c>
      <c r="L119" t="s">
        <v>10</v>
      </c>
      <c r="M119" t="str">
        <f t="shared" si="3"/>
        <v>No</v>
      </c>
      <c r="N119" t="str">
        <f t="shared" si="4"/>
        <v>No</v>
      </c>
      <c r="O119" t="str">
        <f t="shared" si="5"/>
        <v>Changed</v>
      </c>
    </row>
    <row r="120" spans="1:15" x14ac:dyDescent="0.2">
      <c r="A120">
        <v>116</v>
      </c>
      <c r="B120" s="3" t="str">
        <f>'AC Results'!A37</f>
        <v>Sulur</v>
      </c>
      <c r="C120" t="str">
        <f>'AC Results'!Y37</f>
        <v>Coimbatore</v>
      </c>
      <c r="D120" s="11" t="s">
        <v>390</v>
      </c>
      <c r="E120" t="s">
        <v>23</v>
      </c>
      <c r="F120">
        <f>'AC Results'!H37</f>
        <v>59</v>
      </c>
      <c r="G120" t="str">
        <f>'AC Results'!S37</f>
        <v>DMK+INC+VCK</v>
      </c>
      <c r="H120">
        <f>'AC Results'!U37</f>
        <v>0.4</v>
      </c>
      <c r="I120" t="str">
        <f>'AC Results'!V37</f>
        <v>Toss-up</v>
      </c>
      <c r="J120" t="str">
        <f>'AC Results'!W37</f>
        <v>TVK</v>
      </c>
      <c r="K120" s="11" t="s">
        <v>10</v>
      </c>
      <c r="L120" t="s">
        <v>10</v>
      </c>
      <c r="M120" t="str">
        <f t="shared" si="3"/>
        <v>No</v>
      </c>
      <c r="N120" t="str">
        <f t="shared" si="4"/>
        <v>Yes</v>
      </c>
      <c r="O120" t="str">
        <f t="shared" si="5"/>
        <v>Changed</v>
      </c>
    </row>
    <row r="121" spans="1:15" x14ac:dyDescent="0.2">
      <c r="A121">
        <v>117</v>
      </c>
      <c r="B121" s="3" t="str">
        <f>'AC Results'!A32</f>
        <v>Kavundampalayam</v>
      </c>
      <c r="C121" t="str">
        <f>'AC Results'!Y32</f>
        <v>Coimbatore</v>
      </c>
      <c r="D121" s="11" t="s">
        <v>390</v>
      </c>
      <c r="E121" t="s">
        <v>23</v>
      </c>
      <c r="F121">
        <f>'AC Results'!H32</f>
        <v>83</v>
      </c>
      <c r="G121" t="str">
        <f>'AC Results'!S32</f>
        <v>TVK</v>
      </c>
      <c r="H121">
        <f>'AC Results'!U32</f>
        <v>5.6</v>
      </c>
      <c r="I121" t="str">
        <f>'AC Results'!V32</f>
        <v>Lean</v>
      </c>
      <c r="J121" t="str">
        <f>'AC Results'!W32</f>
        <v>TVK</v>
      </c>
      <c r="K121" s="11" t="s">
        <v>10</v>
      </c>
      <c r="L121" t="s">
        <v>10</v>
      </c>
      <c r="M121" t="str">
        <f t="shared" si="3"/>
        <v>Yes</v>
      </c>
      <c r="N121" t="str">
        <f t="shared" si="4"/>
        <v>Yes</v>
      </c>
      <c r="O121" t="str">
        <f t="shared" si="5"/>
        <v>Changed</v>
      </c>
    </row>
    <row r="122" spans="1:15" x14ac:dyDescent="0.2">
      <c r="A122">
        <v>118</v>
      </c>
      <c r="B122" s="3" t="str">
        <f>'AC Results'!A30</f>
        <v>Coimbatore (North)</v>
      </c>
      <c r="C122" t="str">
        <f>'AC Results'!Y30</f>
        <v>Coimbatore</v>
      </c>
      <c r="D122" s="11" t="s">
        <v>390</v>
      </c>
      <c r="E122" t="s">
        <v>23</v>
      </c>
      <c r="F122">
        <f>'AC Results'!H30</f>
        <v>89</v>
      </c>
      <c r="G122" t="str">
        <f>'AC Results'!S30</f>
        <v>TVK</v>
      </c>
      <c r="H122">
        <f>'AC Results'!U30</f>
        <v>9.4</v>
      </c>
      <c r="I122" t="str">
        <f>'AC Results'!V30</f>
        <v>Lean</v>
      </c>
      <c r="J122" t="str">
        <f>'AC Results'!W30</f>
        <v>TVK</v>
      </c>
      <c r="K122" s="11" t="s">
        <v>10</v>
      </c>
      <c r="L122" t="s">
        <v>10</v>
      </c>
      <c r="M122" t="str">
        <f t="shared" si="3"/>
        <v>Yes</v>
      </c>
      <c r="N122" t="str">
        <f t="shared" si="4"/>
        <v>Yes</v>
      </c>
      <c r="O122" t="str">
        <f t="shared" si="5"/>
        <v>Changed</v>
      </c>
    </row>
    <row r="123" spans="1:15" x14ac:dyDescent="0.2">
      <c r="A123">
        <v>119</v>
      </c>
      <c r="B123" s="3" t="str">
        <f>'AC Results'!A38</f>
        <v>Thondamuthur</v>
      </c>
      <c r="C123" t="str">
        <f>'AC Results'!Y38</f>
        <v>Coimbatore</v>
      </c>
      <c r="D123" s="11" t="s">
        <v>390</v>
      </c>
      <c r="E123" t="s">
        <v>23</v>
      </c>
      <c r="F123">
        <f>'AC Results'!H38</f>
        <v>57</v>
      </c>
      <c r="G123" t="str">
        <f>'AC Results'!S38</f>
        <v>TVK</v>
      </c>
      <c r="H123">
        <f>'AC Results'!U38</f>
        <v>5.0999999999999996</v>
      </c>
      <c r="I123" t="str">
        <f>'AC Results'!V38</f>
        <v>Lean</v>
      </c>
      <c r="J123" t="str">
        <f>'AC Results'!W38</f>
        <v>TVK</v>
      </c>
      <c r="K123" s="11" t="s">
        <v>372</v>
      </c>
      <c r="L123" t="s">
        <v>23</v>
      </c>
      <c r="M123" t="str">
        <f t="shared" si="3"/>
        <v>No</v>
      </c>
      <c r="N123" t="str">
        <f t="shared" si="4"/>
        <v>No</v>
      </c>
      <c r="O123" t="str">
        <f t="shared" si="5"/>
        <v>Held</v>
      </c>
    </row>
    <row r="124" spans="1:15" x14ac:dyDescent="0.2">
      <c r="A124">
        <v>120</v>
      </c>
      <c r="B124" s="3" t="str">
        <f>'AC Results'!A31</f>
        <v>Coimbatore (South)</v>
      </c>
      <c r="C124" t="str">
        <f>'AC Results'!Y31</f>
        <v>Coimbatore</v>
      </c>
      <c r="D124" s="11" t="s">
        <v>394</v>
      </c>
      <c r="E124" t="s">
        <v>23</v>
      </c>
      <c r="F124">
        <f>'AC Results'!H31</f>
        <v>96</v>
      </c>
      <c r="G124" t="str">
        <f>'AC Results'!S31</f>
        <v>TVK</v>
      </c>
      <c r="H124">
        <f>'AC Results'!U31</f>
        <v>7.8</v>
      </c>
      <c r="I124" t="str">
        <f>'AC Results'!V31</f>
        <v>Lean</v>
      </c>
      <c r="J124" t="str">
        <f>'AC Results'!W31</f>
        <v>TVK</v>
      </c>
      <c r="K124" s="11" t="s">
        <v>369</v>
      </c>
      <c r="L124" t="s">
        <v>24</v>
      </c>
      <c r="M124" t="str">
        <f t="shared" si="3"/>
        <v>No</v>
      </c>
      <c r="N124" t="str">
        <f t="shared" si="4"/>
        <v>No</v>
      </c>
      <c r="O124" t="str">
        <f t="shared" si="5"/>
        <v>Changed</v>
      </c>
    </row>
    <row r="125" spans="1:15" x14ac:dyDescent="0.2">
      <c r="A125">
        <v>121</v>
      </c>
      <c r="B125" s="3" t="str">
        <f>'AC Results'!A36</f>
        <v>Singanallur</v>
      </c>
      <c r="C125" t="str">
        <f>'AC Results'!Y36</f>
        <v>Coimbatore</v>
      </c>
      <c r="D125" s="11" t="s">
        <v>390</v>
      </c>
      <c r="E125" t="s">
        <v>23</v>
      </c>
      <c r="F125">
        <f>'AC Results'!H36</f>
        <v>75</v>
      </c>
      <c r="G125" t="str">
        <f>'AC Results'!S36</f>
        <v>TVK</v>
      </c>
      <c r="H125">
        <f>'AC Results'!U36</f>
        <v>6.8</v>
      </c>
      <c r="I125" t="str">
        <f>'AC Results'!V36</f>
        <v>Lean</v>
      </c>
      <c r="J125" t="str">
        <f>'AC Results'!W36</f>
        <v>TVK</v>
      </c>
      <c r="K125" s="11" t="s">
        <v>10</v>
      </c>
      <c r="L125" t="s">
        <v>10</v>
      </c>
      <c r="M125" t="str">
        <f t="shared" si="3"/>
        <v>Yes</v>
      </c>
      <c r="N125" t="str">
        <f t="shared" si="4"/>
        <v>Yes</v>
      </c>
      <c r="O125" t="str">
        <f t="shared" si="5"/>
        <v>Changed</v>
      </c>
    </row>
    <row r="126" spans="1:15" x14ac:dyDescent="0.2">
      <c r="A126">
        <v>122</v>
      </c>
      <c r="B126" s="3" t="str">
        <f>'AC Results'!A33</f>
        <v>Kinathukadavu</v>
      </c>
      <c r="C126" t="str">
        <f>'AC Results'!Y33</f>
        <v>Coimbatore</v>
      </c>
      <c r="D126" s="11" t="s">
        <v>390</v>
      </c>
      <c r="E126" t="s">
        <v>23</v>
      </c>
      <c r="F126">
        <f>'AC Results'!H33</f>
        <v>61</v>
      </c>
      <c r="G126" t="str">
        <f>'AC Results'!S33</f>
        <v>DMK+INC+VCK</v>
      </c>
      <c r="H126">
        <f>'AC Results'!U33</f>
        <v>20.100000000000001</v>
      </c>
      <c r="I126" t="str">
        <f>'AC Results'!V33</f>
        <v>Strong</v>
      </c>
      <c r="J126" t="str">
        <f>'AC Results'!W33</f>
        <v>DMK+INC+VCK</v>
      </c>
      <c r="K126" s="11" t="s">
        <v>10</v>
      </c>
      <c r="L126" t="s">
        <v>10</v>
      </c>
      <c r="M126" t="str">
        <f t="shared" si="3"/>
        <v>No</v>
      </c>
      <c r="N126" t="str">
        <f t="shared" si="4"/>
        <v>No</v>
      </c>
      <c r="O126" t="str">
        <f t="shared" si="5"/>
        <v>Changed</v>
      </c>
    </row>
    <row r="127" spans="1:15" x14ac:dyDescent="0.2">
      <c r="A127">
        <v>123</v>
      </c>
      <c r="B127" s="3" t="str">
        <f>'AC Results'!A35</f>
        <v>Pollachi</v>
      </c>
      <c r="C127" t="str">
        <f>'AC Results'!Y35</f>
        <v>Coimbatore</v>
      </c>
      <c r="D127" s="11" t="s">
        <v>390</v>
      </c>
      <c r="E127" t="s">
        <v>23</v>
      </c>
      <c r="F127">
        <f>'AC Results'!H35</f>
        <v>51</v>
      </c>
      <c r="G127" t="str">
        <f>'AC Results'!S35</f>
        <v>TVK</v>
      </c>
      <c r="H127">
        <f>'AC Results'!U35</f>
        <v>6.6</v>
      </c>
      <c r="I127" t="str">
        <f>'AC Results'!V35</f>
        <v>Lean</v>
      </c>
      <c r="J127" t="str">
        <f>'AC Results'!W35</f>
        <v>TVK</v>
      </c>
      <c r="K127" s="11" t="s">
        <v>369</v>
      </c>
      <c r="L127" t="s">
        <v>24</v>
      </c>
      <c r="M127" t="str">
        <f t="shared" si="3"/>
        <v>No</v>
      </c>
      <c r="N127" t="str">
        <f t="shared" si="4"/>
        <v>No</v>
      </c>
      <c r="O127" t="str">
        <f t="shared" si="5"/>
        <v>Changed</v>
      </c>
    </row>
    <row r="128" spans="1:15" x14ac:dyDescent="0.2">
      <c r="A128">
        <v>124</v>
      </c>
      <c r="B128" s="3" t="str">
        <f>'AC Results'!A39</f>
        <v>Valparai</v>
      </c>
      <c r="C128" t="str">
        <f>'AC Results'!Y39</f>
        <v>Coimbatore</v>
      </c>
      <c r="D128" s="11" t="s">
        <v>390</v>
      </c>
      <c r="E128" t="s">
        <v>23</v>
      </c>
      <c r="F128">
        <f>'AC Results'!H39</f>
        <v>21</v>
      </c>
      <c r="G128" t="str">
        <f>'AC Results'!S39</f>
        <v>TVK</v>
      </c>
      <c r="H128">
        <f>'AC Results'!U39</f>
        <v>42.4</v>
      </c>
      <c r="I128" t="str">
        <f>'AC Results'!V39</f>
        <v>Lean</v>
      </c>
      <c r="J128" t="str">
        <f>'AC Results'!W39</f>
        <v>TVK</v>
      </c>
      <c r="K128" s="11" t="s">
        <v>369</v>
      </c>
      <c r="L128" t="s">
        <v>24</v>
      </c>
      <c r="M128" t="str">
        <f t="shared" si="3"/>
        <v>No</v>
      </c>
      <c r="N128" t="str">
        <f t="shared" si="4"/>
        <v>No</v>
      </c>
      <c r="O128" t="str">
        <f t="shared" si="5"/>
        <v>Changed</v>
      </c>
    </row>
    <row r="129" spans="1:15" x14ac:dyDescent="0.2">
      <c r="A129">
        <v>125</v>
      </c>
      <c r="B129" s="3" t="str">
        <f>'AC Results'!A207</f>
        <v>Udumalaipettai</v>
      </c>
      <c r="C129" t="str">
        <f>'AC Results'!Y207</f>
        <v>Tiruppur</v>
      </c>
      <c r="D129" s="11" t="s">
        <v>390</v>
      </c>
      <c r="E129" t="s">
        <v>23</v>
      </c>
      <c r="F129">
        <f>'AC Results'!H207</f>
        <v>31</v>
      </c>
      <c r="G129" t="str">
        <f>'AC Results'!S207</f>
        <v>TVK</v>
      </c>
      <c r="H129">
        <f>'AC Results'!U207</f>
        <v>29.8</v>
      </c>
      <c r="I129" t="str">
        <f>'AC Results'!V207</f>
        <v>Strong</v>
      </c>
      <c r="J129" t="str">
        <f>'AC Results'!W207</f>
        <v>TVK</v>
      </c>
      <c r="K129" s="11" t="s">
        <v>369</v>
      </c>
      <c r="L129" t="s">
        <v>24</v>
      </c>
      <c r="M129" t="str">
        <f t="shared" si="3"/>
        <v>No</v>
      </c>
      <c r="N129" t="str">
        <f t="shared" si="4"/>
        <v>No</v>
      </c>
      <c r="O129" t="str">
        <f t="shared" si="5"/>
        <v>Changed</v>
      </c>
    </row>
    <row r="130" spans="1:15" x14ac:dyDescent="0.2">
      <c r="A130">
        <v>126</v>
      </c>
      <c r="B130" s="3" t="str">
        <f>'AC Results'!A203</f>
        <v>Madathukulam</v>
      </c>
      <c r="C130" t="str">
        <f>'AC Results'!Y203</f>
        <v>Tiruppur</v>
      </c>
      <c r="D130" s="11" t="s">
        <v>390</v>
      </c>
      <c r="E130" t="s">
        <v>23</v>
      </c>
      <c r="F130">
        <f>'AC Results'!H203</f>
        <v>26</v>
      </c>
      <c r="G130" t="str">
        <f>'AC Results'!S203</f>
        <v>TVK</v>
      </c>
      <c r="H130">
        <f>'AC Results'!U203</f>
        <v>10.3</v>
      </c>
      <c r="I130" t="str">
        <f>'AC Results'!V203</f>
        <v>Lean</v>
      </c>
      <c r="J130" t="str">
        <f>'AC Results'!W203</f>
        <v>TVK</v>
      </c>
      <c r="K130" s="11" t="s">
        <v>369</v>
      </c>
      <c r="L130" t="s">
        <v>24</v>
      </c>
      <c r="M130" t="str">
        <f t="shared" si="3"/>
        <v>No</v>
      </c>
      <c r="N130" t="str">
        <f t="shared" si="4"/>
        <v>No</v>
      </c>
      <c r="O130" t="str">
        <f t="shared" si="5"/>
        <v>Changed</v>
      </c>
    </row>
    <row r="131" spans="1:15" x14ac:dyDescent="0.2">
      <c r="A131">
        <v>127</v>
      </c>
      <c r="B131" s="3" t="str">
        <f>'AC Results'!A59</f>
        <v>Palani</v>
      </c>
      <c r="C131" t="str">
        <f>'AC Results'!Y59</f>
        <v>Dindigul</v>
      </c>
      <c r="D131" s="11" t="s">
        <v>369</v>
      </c>
      <c r="E131" t="s">
        <v>24</v>
      </c>
      <c r="F131">
        <f>'AC Results'!H59</f>
        <v>42</v>
      </c>
      <c r="G131" t="str">
        <f>'AC Results'!S59</f>
        <v>TVK</v>
      </c>
      <c r="H131">
        <f>'AC Results'!U59</f>
        <v>35.299999999999997</v>
      </c>
      <c r="I131" t="str">
        <f>'AC Results'!V59</f>
        <v>Strong</v>
      </c>
      <c r="J131" t="str">
        <f>'AC Results'!W59</f>
        <v>TVK</v>
      </c>
      <c r="K131" s="11" t="s">
        <v>372</v>
      </c>
      <c r="L131" t="s">
        <v>23</v>
      </c>
      <c r="M131" t="str">
        <f t="shared" si="3"/>
        <v>No</v>
      </c>
      <c r="N131" t="str">
        <f t="shared" si="4"/>
        <v>No</v>
      </c>
      <c r="O131" t="str">
        <f t="shared" si="5"/>
        <v>Changed</v>
      </c>
    </row>
    <row r="132" spans="1:15" x14ac:dyDescent="0.2">
      <c r="A132">
        <v>128</v>
      </c>
      <c r="B132" s="3" t="str">
        <f>'AC Results'!A58</f>
        <v>Oddanchatram</v>
      </c>
      <c r="C132" t="str">
        <f>'AC Results'!Y58</f>
        <v>Dindigul</v>
      </c>
      <c r="D132" s="11" t="s">
        <v>369</v>
      </c>
      <c r="E132" t="s">
        <v>24</v>
      </c>
      <c r="F132">
        <f>'AC Results'!H58</f>
        <v>49</v>
      </c>
      <c r="G132" t="str">
        <f>'AC Results'!S58</f>
        <v>TVK</v>
      </c>
      <c r="H132">
        <f>'AC Results'!U58</f>
        <v>0.9</v>
      </c>
      <c r="I132" t="str">
        <f>'AC Results'!V58</f>
        <v>Toss-up</v>
      </c>
      <c r="J132" t="str">
        <f>'AC Results'!W58</f>
        <v>TVK</v>
      </c>
      <c r="K132" s="11" t="s">
        <v>369</v>
      </c>
      <c r="L132" t="s">
        <v>24</v>
      </c>
      <c r="M132" t="str">
        <f t="shared" si="3"/>
        <v>No</v>
      </c>
      <c r="N132" t="str">
        <f t="shared" si="4"/>
        <v>No</v>
      </c>
      <c r="O132" t="str">
        <f t="shared" si="5"/>
        <v>Held</v>
      </c>
    </row>
    <row r="133" spans="1:15" x14ac:dyDescent="0.2">
      <c r="A133">
        <v>129</v>
      </c>
      <c r="B133" s="3" t="str">
        <f>'AC Results'!A54</f>
        <v>Athoor</v>
      </c>
      <c r="C133" t="str">
        <f>'AC Results'!Y54</f>
        <v>Dindigul</v>
      </c>
      <c r="D133" s="11" t="s">
        <v>369</v>
      </c>
      <c r="E133" t="s">
        <v>24</v>
      </c>
      <c r="F133">
        <f>'AC Results'!H54</f>
        <v>51</v>
      </c>
      <c r="G133" t="str">
        <f>'AC Results'!S54</f>
        <v>TVK</v>
      </c>
      <c r="H133">
        <f>'AC Results'!U54</f>
        <v>2.9</v>
      </c>
      <c r="I133" t="str">
        <f>'AC Results'!V54</f>
        <v>Toss-up</v>
      </c>
      <c r="J133" t="str">
        <f>'AC Results'!W54</f>
        <v>TVK</v>
      </c>
      <c r="K133" s="11" t="s">
        <v>369</v>
      </c>
      <c r="L133" t="s">
        <v>24</v>
      </c>
      <c r="M133" t="str">
        <f t="shared" ref="M133:M196" si="6">IF(G133=L133,"Yes","No")</f>
        <v>No</v>
      </c>
      <c r="N133" t="str">
        <f t="shared" ref="N133:N196" si="7">IF(J133=L133,"Yes","No")</f>
        <v>No</v>
      </c>
      <c r="O133" t="str">
        <f t="shared" ref="O133:O196" si="8">IF(E133&lt;&gt;L133,"Changed","Held")</f>
        <v>Held</v>
      </c>
    </row>
    <row r="134" spans="1:15" x14ac:dyDescent="0.2">
      <c r="A134">
        <v>130</v>
      </c>
      <c r="B134" s="3" t="str">
        <f>'AC Results'!A57</f>
        <v>Nilakottai</v>
      </c>
      <c r="C134" t="str">
        <f>'AC Results'!Y57</f>
        <v>Dindigul</v>
      </c>
      <c r="D134" s="11" t="s">
        <v>390</v>
      </c>
      <c r="E134" t="s">
        <v>23</v>
      </c>
      <c r="F134">
        <f>'AC Results'!H57</f>
        <v>32</v>
      </c>
      <c r="G134" t="str">
        <f>'AC Results'!S57</f>
        <v>TVK</v>
      </c>
      <c r="H134">
        <f>'AC Results'!U57</f>
        <v>19.2</v>
      </c>
      <c r="I134" t="str">
        <f>'AC Results'!V57</f>
        <v>Strong</v>
      </c>
      <c r="J134" t="str">
        <f>'AC Results'!W57</f>
        <v>TVK</v>
      </c>
      <c r="K134" s="11" t="s">
        <v>10</v>
      </c>
      <c r="L134" t="s">
        <v>10</v>
      </c>
      <c r="M134" t="str">
        <f t="shared" si="6"/>
        <v>Yes</v>
      </c>
      <c r="N134" t="str">
        <f t="shared" si="7"/>
        <v>Yes</v>
      </c>
      <c r="O134" t="str">
        <f t="shared" si="8"/>
        <v>Changed</v>
      </c>
    </row>
    <row r="135" spans="1:15" x14ac:dyDescent="0.2">
      <c r="A135">
        <v>131</v>
      </c>
      <c r="B135" s="3" t="str">
        <f>'AC Results'!A56</f>
        <v>Natham</v>
      </c>
      <c r="C135" t="str">
        <f>'AC Results'!Y56</f>
        <v>Dindigul</v>
      </c>
      <c r="D135" s="11" t="s">
        <v>390</v>
      </c>
      <c r="E135" t="s">
        <v>23</v>
      </c>
      <c r="F135">
        <f>'AC Results'!H56</f>
        <v>28</v>
      </c>
      <c r="G135" t="str">
        <f>'AC Results'!S56</f>
        <v>DMK+INC+VCK</v>
      </c>
      <c r="H135">
        <f>'AC Results'!U56</f>
        <v>12.5</v>
      </c>
      <c r="I135" t="str">
        <f>'AC Results'!V56</f>
        <v>Lean</v>
      </c>
      <c r="J135" t="str">
        <f>'AC Results'!W56</f>
        <v>DMK+INC+VCK</v>
      </c>
      <c r="K135" s="11" t="s">
        <v>372</v>
      </c>
      <c r="L135" t="s">
        <v>23</v>
      </c>
      <c r="M135" t="str">
        <f t="shared" si="6"/>
        <v>No</v>
      </c>
      <c r="N135" t="str">
        <f t="shared" si="7"/>
        <v>No</v>
      </c>
      <c r="O135" t="str">
        <f t="shared" si="8"/>
        <v>Held</v>
      </c>
    </row>
    <row r="136" spans="1:15" x14ac:dyDescent="0.2">
      <c r="A136">
        <v>132</v>
      </c>
      <c r="B136" s="3" t="str">
        <f>'AC Results'!A55</f>
        <v>Dindigul</v>
      </c>
      <c r="C136" t="str">
        <f>'AC Results'!Y55</f>
        <v>Dindigul</v>
      </c>
      <c r="D136" s="11" t="s">
        <v>390</v>
      </c>
      <c r="E136" t="s">
        <v>23</v>
      </c>
      <c r="F136">
        <f>'AC Results'!H55</f>
        <v>68</v>
      </c>
      <c r="G136" t="str">
        <f>'AC Results'!S55</f>
        <v>TVK</v>
      </c>
      <c r="H136">
        <f>'AC Results'!U55</f>
        <v>19.8</v>
      </c>
      <c r="I136" t="str">
        <f>'AC Results'!V55</f>
        <v>Strong</v>
      </c>
      <c r="J136" t="str">
        <f>'AC Results'!W55</f>
        <v>TVK</v>
      </c>
      <c r="K136" s="11" t="s">
        <v>369</v>
      </c>
      <c r="L136" t="s">
        <v>24</v>
      </c>
      <c r="M136" t="str">
        <f t="shared" si="6"/>
        <v>No</v>
      </c>
      <c r="N136" t="str">
        <f t="shared" si="7"/>
        <v>No</v>
      </c>
      <c r="O136" t="str">
        <f t="shared" si="8"/>
        <v>Changed</v>
      </c>
    </row>
    <row r="137" spans="1:15" x14ac:dyDescent="0.2">
      <c r="A137">
        <v>133</v>
      </c>
      <c r="B137" s="3" t="str">
        <f>'AC Results'!A60</f>
        <v>Vedasandur</v>
      </c>
      <c r="C137" t="str">
        <f>'AC Results'!Y60</f>
        <v>Dindigul</v>
      </c>
      <c r="D137" s="11" t="s">
        <v>369</v>
      </c>
      <c r="E137" t="s">
        <v>24</v>
      </c>
      <c r="F137">
        <f>'AC Results'!H60</f>
        <v>44</v>
      </c>
      <c r="G137" t="str">
        <f>'AC Results'!S60</f>
        <v>TVK</v>
      </c>
      <c r="H137">
        <f>'AC Results'!U60</f>
        <v>2.5</v>
      </c>
      <c r="I137" t="str">
        <f>'AC Results'!V60</f>
        <v>Toss-up</v>
      </c>
      <c r="J137" t="str">
        <f>'AC Results'!W60</f>
        <v>TVK</v>
      </c>
      <c r="K137" s="11" t="s">
        <v>369</v>
      </c>
      <c r="L137" t="s">
        <v>24</v>
      </c>
      <c r="M137" t="str">
        <f t="shared" si="6"/>
        <v>No</v>
      </c>
      <c r="N137" t="str">
        <f t="shared" si="7"/>
        <v>No</v>
      </c>
      <c r="O137" t="str">
        <f t="shared" si="8"/>
        <v>Held</v>
      </c>
    </row>
    <row r="138" spans="1:15" x14ac:dyDescent="0.2">
      <c r="A138">
        <v>134</v>
      </c>
      <c r="B138" s="3" t="str">
        <f>'AC Results'!A83</f>
        <v>Aravakurichi</v>
      </c>
      <c r="C138" t="str">
        <f>'AC Results'!Y83</f>
        <v>Karur</v>
      </c>
      <c r="D138" s="11" t="s">
        <v>369</v>
      </c>
      <c r="E138" t="s">
        <v>24</v>
      </c>
      <c r="F138">
        <f>'AC Results'!H83</f>
        <v>35</v>
      </c>
      <c r="G138" t="str">
        <f>'AC Results'!S83</f>
        <v>TVK</v>
      </c>
      <c r="H138">
        <f>'AC Results'!U83</f>
        <v>11.1</v>
      </c>
      <c r="I138" t="str">
        <f>'AC Results'!V83</f>
        <v>Strong</v>
      </c>
      <c r="J138" t="str">
        <f>'AC Results'!W83</f>
        <v>TVK</v>
      </c>
      <c r="K138" s="11" t="s">
        <v>369</v>
      </c>
      <c r="L138" t="s">
        <v>24</v>
      </c>
      <c r="M138" t="str">
        <f t="shared" si="6"/>
        <v>No</v>
      </c>
      <c r="N138" t="str">
        <f t="shared" si="7"/>
        <v>No</v>
      </c>
      <c r="O138" t="str">
        <f t="shared" si="8"/>
        <v>Held</v>
      </c>
    </row>
    <row r="139" spans="1:15" x14ac:dyDescent="0.2">
      <c r="A139">
        <v>135</v>
      </c>
      <c r="B139" s="3" t="str">
        <f>'AC Results'!A84</f>
        <v>Karur</v>
      </c>
      <c r="C139" t="str">
        <f>'AC Results'!Y84</f>
        <v>Karur</v>
      </c>
      <c r="D139" s="11" t="s">
        <v>369</v>
      </c>
      <c r="E139" t="s">
        <v>24</v>
      </c>
      <c r="F139">
        <f>'AC Results'!H84</f>
        <v>100</v>
      </c>
      <c r="G139" t="str">
        <f>'AC Results'!S84</f>
        <v>TVK</v>
      </c>
      <c r="H139">
        <f>'AC Results'!U84</f>
        <v>20.8</v>
      </c>
      <c r="I139" t="str">
        <f>'AC Results'!V84</f>
        <v>Strong</v>
      </c>
      <c r="J139" t="str">
        <f>'AC Results'!W84</f>
        <v>TVK</v>
      </c>
      <c r="K139" s="11" t="s">
        <v>372</v>
      </c>
      <c r="L139" t="s">
        <v>23</v>
      </c>
      <c r="M139" t="str">
        <f t="shared" si="6"/>
        <v>No</v>
      </c>
      <c r="N139" t="str">
        <f t="shared" si="7"/>
        <v>No</v>
      </c>
      <c r="O139" t="str">
        <f t="shared" si="8"/>
        <v>Changed</v>
      </c>
    </row>
    <row r="140" spans="1:15" x14ac:dyDescent="0.2">
      <c r="A140">
        <v>136</v>
      </c>
      <c r="B140" s="3" t="str">
        <f>'AC Results'!A85</f>
        <v>Krishnarayapuram</v>
      </c>
      <c r="C140" t="str">
        <f>'AC Results'!Y85</f>
        <v>Karur</v>
      </c>
      <c r="D140" s="11" t="s">
        <v>369</v>
      </c>
      <c r="E140" t="s">
        <v>24</v>
      </c>
      <c r="F140">
        <f>'AC Results'!H85</f>
        <v>39</v>
      </c>
      <c r="G140" t="str">
        <f>'AC Results'!S85</f>
        <v>TVK</v>
      </c>
      <c r="H140">
        <f>'AC Results'!U85</f>
        <v>2.5</v>
      </c>
      <c r="I140" t="str">
        <f>'AC Results'!V85</f>
        <v>Toss-up</v>
      </c>
      <c r="J140" t="str">
        <f>'AC Results'!W85</f>
        <v>TVK</v>
      </c>
      <c r="K140" s="11" t="s">
        <v>10</v>
      </c>
      <c r="L140" t="s">
        <v>10</v>
      </c>
      <c r="M140" t="str">
        <f t="shared" si="6"/>
        <v>Yes</v>
      </c>
      <c r="N140" t="str">
        <f t="shared" si="7"/>
        <v>Yes</v>
      </c>
      <c r="O140" t="str">
        <f t="shared" si="8"/>
        <v>Changed</v>
      </c>
    </row>
    <row r="141" spans="1:15" x14ac:dyDescent="0.2">
      <c r="A141">
        <v>137</v>
      </c>
      <c r="B141" s="3" t="str">
        <f>'AC Results'!A86</f>
        <v>Kulithalai</v>
      </c>
      <c r="C141" t="str">
        <f>'AC Results'!Y86</f>
        <v>Karur</v>
      </c>
      <c r="D141" s="11" t="s">
        <v>369</v>
      </c>
      <c r="E141" t="s">
        <v>24</v>
      </c>
      <c r="F141">
        <f>'AC Results'!H86</f>
        <v>32</v>
      </c>
      <c r="G141" t="str">
        <f>'AC Results'!S86</f>
        <v>TVK</v>
      </c>
      <c r="H141">
        <f>'AC Results'!U86</f>
        <v>4.2</v>
      </c>
      <c r="I141" t="str">
        <f>'AC Results'!V86</f>
        <v>Toss-up</v>
      </c>
      <c r="J141" t="str">
        <f>'AC Results'!W86</f>
        <v>TVK</v>
      </c>
      <c r="K141" s="11" t="s">
        <v>369</v>
      </c>
      <c r="L141" t="s">
        <v>24</v>
      </c>
      <c r="M141" t="str">
        <f t="shared" si="6"/>
        <v>No</v>
      </c>
      <c r="N141" t="str">
        <f t="shared" si="7"/>
        <v>No</v>
      </c>
      <c r="O141" t="str">
        <f t="shared" si="8"/>
        <v>Held</v>
      </c>
    </row>
    <row r="142" spans="1:15" x14ac:dyDescent="0.2">
      <c r="A142">
        <v>138</v>
      </c>
      <c r="B142" s="3" t="str">
        <f>'AC Results'!A184</f>
        <v>Manapaarai</v>
      </c>
      <c r="C142" t="str">
        <f>'AC Results'!Y184</f>
        <v>Tiruchirappalli</v>
      </c>
      <c r="D142" s="11" t="s">
        <v>369</v>
      </c>
      <c r="E142" t="s">
        <v>24</v>
      </c>
      <c r="F142">
        <f>'AC Results'!H184</f>
        <v>36</v>
      </c>
      <c r="G142" t="str">
        <f>'AC Results'!S184</f>
        <v>DMK+INC+VCK</v>
      </c>
      <c r="H142">
        <f>'AC Results'!U184</f>
        <v>8.9</v>
      </c>
      <c r="I142" t="str">
        <f>'AC Results'!V184</f>
        <v>Lean</v>
      </c>
      <c r="J142" t="str">
        <f>'AC Results'!W184</f>
        <v>Tie</v>
      </c>
      <c r="K142" s="11" t="s">
        <v>10</v>
      </c>
      <c r="L142" t="s">
        <v>10</v>
      </c>
      <c r="M142" t="str">
        <f t="shared" si="6"/>
        <v>No</v>
      </c>
      <c r="N142" t="str">
        <f t="shared" si="7"/>
        <v>No</v>
      </c>
      <c r="O142" t="str">
        <f t="shared" si="8"/>
        <v>Changed</v>
      </c>
    </row>
    <row r="143" spans="1:15" x14ac:dyDescent="0.2">
      <c r="A143">
        <v>139</v>
      </c>
      <c r="B143" s="3" t="str">
        <f>'AC Results'!A186</f>
        <v>Srirangam</v>
      </c>
      <c r="C143" t="str">
        <f>'AC Results'!Y186</f>
        <v>Tiruchirappalli</v>
      </c>
      <c r="D143" s="11" t="s">
        <v>369</v>
      </c>
      <c r="E143" t="s">
        <v>24</v>
      </c>
      <c r="F143">
        <f>'AC Results'!H186</f>
        <v>75</v>
      </c>
      <c r="G143" t="str">
        <f>'AC Results'!S186</f>
        <v>AIADMK+BJP+PMK+AMMK</v>
      </c>
      <c r="H143">
        <f>'AC Results'!U186</f>
        <v>28.3</v>
      </c>
      <c r="I143" t="str">
        <f>'AC Results'!V186</f>
        <v>Strong</v>
      </c>
      <c r="J143" t="str">
        <f>'AC Results'!W186</f>
        <v>AIADMK+BJP+PMK+AMMK</v>
      </c>
      <c r="K143" s="11" t="s">
        <v>10</v>
      </c>
      <c r="L143" t="s">
        <v>10</v>
      </c>
      <c r="M143" t="str">
        <f t="shared" si="6"/>
        <v>No</v>
      </c>
      <c r="N143" t="str">
        <f t="shared" si="7"/>
        <v>No</v>
      </c>
      <c r="O143" t="str">
        <f t="shared" si="8"/>
        <v>Changed</v>
      </c>
    </row>
    <row r="144" spans="1:15" x14ac:dyDescent="0.2">
      <c r="A144">
        <v>140</v>
      </c>
      <c r="B144" s="3" t="str">
        <f>'AC Results'!A190</f>
        <v>Tiruchirappalli (West)</v>
      </c>
      <c r="C144" t="str">
        <f>'AC Results'!Y190</f>
        <v>Tiruchirappalli</v>
      </c>
      <c r="D144" s="11" t="s">
        <v>369</v>
      </c>
      <c r="E144" t="s">
        <v>24</v>
      </c>
      <c r="F144">
        <f>'AC Results'!H190</f>
        <v>78</v>
      </c>
      <c r="G144" t="str">
        <f>'AC Results'!S190</f>
        <v>TVK</v>
      </c>
      <c r="H144">
        <f>'AC Results'!U190</f>
        <v>14.2</v>
      </c>
      <c r="I144" t="str">
        <f>'AC Results'!V190</f>
        <v>Strong</v>
      </c>
      <c r="J144" t="str">
        <f>'AC Results'!W190</f>
        <v>TVK</v>
      </c>
      <c r="K144" s="11" t="s">
        <v>369</v>
      </c>
      <c r="L144" t="s">
        <v>24</v>
      </c>
      <c r="M144" t="str">
        <f t="shared" si="6"/>
        <v>No</v>
      </c>
      <c r="N144" t="str">
        <f t="shared" si="7"/>
        <v>No</v>
      </c>
      <c r="O144" t="str">
        <f t="shared" si="8"/>
        <v>Held</v>
      </c>
    </row>
    <row r="145" spans="1:15" x14ac:dyDescent="0.2">
      <c r="A145">
        <v>141</v>
      </c>
      <c r="B145" s="3" t="str">
        <f>'AC Results'!A189</f>
        <v>Tiruchirappalli (East)</v>
      </c>
      <c r="C145" t="str">
        <f>'AC Results'!Y189</f>
        <v>Tiruchirappalli</v>
      </c>
      <c r="D145" s="11" t="s">
        <v>369</v>
      </c>
      <c r="E145" t="s">
        <v>24</v>
      </c>
      <c r="F145">
        <f>'AC Results'!H189</f>
        <v>92</v>
      </c>
      <c r="G145" t="str">
        <f>'AC Results'!S189</f>
        <v>TVK</v>
      </c>
      <c r="H145">
        <f>'AC Results'!U189</f>
        <v>10.7</v>
      </c>
      <c r="I145" t="str">
        <f>'AC Results'!V189</f>
        <v>Strong</v>
      </c>
      <c r="J145" t="str">
        <f>'AC Results'!W189</f>
        <v>TVK</v>
      </c>
      <c r="K145" s="11" t="s">
        <v>10</v>
      </c>
      <c r="L145" t="s">
        <v>10</v>
      </c>
      <c r="M145" t="str">
        <f t="shared" si="6"/>
        <v>Yes</v>
      </c>
      <c r="N145" t="str">
        <f t="shared" si="7"/>
        <v>Yes</v>
      </c>
      <c r="O145" t="str">
        <f t="shared" si="8"/>
        <v>Changed</v>
      </c>
    </row>
    <row r="146" spans="1:15" x14ac:dyDescent="0.2">
      <c r="A146">
        <v>142</v>
      </c>
      <c r="B146" s="3" t="str">
        <f>'AC Results'!A187</f>
        <v>Thiruverumbur</v>
      </c>
      <c r="C146" t="str">
        <f>'AC Results'!Y187</f>
        <v>Tiruchirappalli</v>
      </c>
      <c r="D146" s="11" t="s">
        <v>369</v>
      </c>
      <c r="E146" t="s">
        <v>24</v>
      </c>
      <c r="F146">
        <f>'AC Results'!H187</f>
        <v>63</v>
      </c>
      <c r="G146" t="str">
        <f>'AC Results'!S187</f>
        <v>DMK+INC+VCK</v>
      </c>
      <c r="H146">
        <f>'AC Results'!U187</f>
        <v>2.5</v>
      </c>
      <c r="I146" t="str">
        <f>'AC Results'!V187</f>
        <v>Toss-up</v>
      </c>
      <c r="J146" t="str">
        <f>'AC Results'!W187</f>
        <v>TVK</v>
      </c>
      <c r="K146" s="11" t="s">
        <v>10</v>
      </c>
      <c r="L146" t="s">
        <v>10</v>
      </c>
      <c r="M146" t="str">
        <f t="shared" si="6"/>
        <v>No</v>
      </c>
      <c r="N146" t="str">
        <f t="shared" si="7"/>
        <v>Yes</v>
      </c>
      <c r="O146" t="str">
        <f t="shared" si="8"/>
        <v>Changed</v>
      </c>
    </row>
    <row r="147" spans="1:15" x14ac:dyDescent="0.2">
      <c r="A147">
        <v>143</v>
      </c>
      <c r="B147" s="3" t="str">
        <f>'AC Results'!A182</f>
        <v>Lalgudi</v>
      </c>
      <c r="C147" t="str">
        <f>'AC Results'!Y182</f>
        <v>Tiruchirappalli</v>
      </c>
      <c r="D147" s="11" t="s">
        <v>369</v>
      </c>
      <c r="E147" t="s">
        <v>24</v>
      </c>
      <c r="F147">
        <f>'AC Results'!H182</f>
        <v>27</v>
      </c>
      <c r="G147" t="str">
        <f>'AC Results'!S182</f>
        <v>TVK</v>
      </c>
      <c r="H147">
        <f>'AC Results'!U182</f>
        <v>24.4</v>
      </c>
      <c r="I147" t="str">
        <f>'AC Results'!V182</f>
        <v>Lean</v>
      </c>
      <c r="J147" t="str">
        <f>'AC Results'!W182</f>
        <v>TVK</v>
      </c>
      <c r="K147" s="11" t="s">
        <v>372</v>
      </c>
      <c r="L147" t="s">
        <v>23</v>
      </c>
      <c r="M147" t="str">
        <f t="shared" si="6"/>
        <v>No</v>
      </c>
      <c r="N147" t="str">
        <f t="shared" si="7"/>
        <v>No</v>
      </c>
      <c r="O147" t="str">
        <f t="shared" si="8"/>
        <v>Changed</v>
      </c>
    </row>
    <row r="148" spans="1:15" x14ac:dyDescent="0.2">
      <c r="A148">
        <v>144</v>
      </c>
      <c r="B148" s="3" t="str">
        <f>'AC Results'!A183</f>
        <v>Manachanallur</v>
      </c>
      <c r="C148" t="str">
        <f>'AC Results'!Y183</f>
        <v>Tiruchirappalli</v>
      </c>
      <c r="D148" s="11" t="s">
        <v>369</v>
      </c>
      <c r="E148" t="s">
        <v>24</v>
      </c>
      <c r="F148">
        <f>'AC Results'!H183</f>
        <v>39</v>
      </c>
      <c r="G148" t="str">
        <f>'AC Results'!S183</f>
        <v>DMK+INC+VCK</v>
      </c>
      <c r="H148">
        <f>'AC Results'!U183</f>
        <v>1.2</v>
      </c>
      <c r="I148" t="str">
        <f>'AC Results'!V183</f>
        <v>Toss-up</v>
      </c>
      <c r="J148" t="str">
        <f>'AC Results'!W183</f>
        <v>TVK</v>
      </c>
      <c r="K148" s="11" t="s">
        <v>369</v>
      </c>
      <c r="L148" t="s">
        <v>24</v>
      </c>
      <c r="M148" t="str">
        <f t="shared" si="6"/>
        <v>Yes</v>
      </c>
      <c r="N148" t="str">
        <f t="shared" si="7"/>
        <v>No</v>
      </c>
      <c r="O148" t="str">
        <f t="shared" si="8"/>
        <v>Held</v>
      </c>
    </row>
    <row r="149" spans="1:15" x14ac:dyDescent="0.2">
      <c r="A149">
        <v>145</v>
      </c>
      <c r="B149" s="3" t="str">
        <f>'AC Results'!A185</f>
        <v>Musiri</v>
      </c>
      <c r="C149" t="str">
        <f>'AC Results'!Y185</f>
        <v>Tiruchirappalli</v>
      </c>
      <c r="D149" s="11" t="s">
        <v>369</v>
      </c>
      <c r="E149" t="s">
        <v>24</v>
      </c>
      <c r="F149">
        <f>'AC Results'!H185</f>
        <v>37</v>
      </c>
      <c r="G149" t="str">
        <f>'AC Results'!S185</f>
        <v>TVK</v>
      </c>
      <c r="H149">
        <f>'AC Results'!U185</f>
        <v>1.9</v>
      </c>
      <c r="I149" t="str">
        <f>'AC Results'!V185</f>
        <v>Toss-up</v>
      </c>
      <c r="J149" t="str">
        <f>'AC Results'!W185</f>
        <v>TVK</v>
      </c>
      <c r="K149" s="11" t="s">
        <v>10</v>
      </c>
      <c r="L149" t="s">
        <v>10</v>
      </c>
      <c r="M149" t="str">
        <f t="shared" si="6"/>
        <v>Yes</v>
      </c>
      <c r="N149" t="str">
        <f t="shared" si="7"/>
        <v>Yes</v>
      </c>
      <c r="O149" t="str">
        <f t="shared" si="8"/>
        <v>Changed</v>
      </c>
    </row>
    <row r="150" spans="1:15" x14ac:dyDescent="0.2">
      <c r="A150">
        <v>146</v>
      </c>
      <c r="B150" s="3" t="str">
        <f>'AC Results'!A188</f>
        <v>Thuraiyur</v>
      </c>
      <c r="C150" t="str">
        <f>'AC Results'!Y188</f>
        <v>Tiruchirappalli</v>
      </c>
      <c r="D150" s="11" t="s">
        <v>369</v>
      </c>
      <c r="E150" t="s">
        <v>24</v>
      </c>
      <c r="F150">
        <f>'AC Results'!H188</f>
        <v>40</v>
      </c>
      <c r="G150" t="str">
        <f>'AC Results'!S188</f>
        <v>AIADMK+BJP+PMK+AMMK</v>
      </c>
      <c r="H150">
        <f>'AC Results'!U188</f>
        <v>12.7</v>
      </c>
      <c r="I150" t="str">
        <f>'AC Results'!V188</f>
        <v>Strong</v>
      </c>
      <c r="J150" t="str">
        <f>'AC Results'!W188</f>
        <v>AIADMK+BJP+PMK+AMMK</v>
      </c>
      <c r="K150" s="11" t="s">
        <v>10</v>
      </c>
      <c r="L150" t="s">
        <v>10</v>
      </c>
      <c r="M150" t="str">
        <f t="shared" si="6"/>
        <v>No</v>
      </c>
      <c r="N150" t="str">
        <f t="shared" si="7"/>
        <v>No</v>
      </c>
      <c r="O150" t="str">
        <f t="shared" si="8"/>
        <v>Changed</v>
      </c>
    </row>
    <row r="151" spans="1:15" x14ac:dyDescent="0.2">
      <c r="A151">
        <v>147</v>
      </c>
      <c r="B151" s="3" t="str">
        <f>'AC Results'!A116</f>
        <v>Perambalur</v>
      </c>
      <c r="C151" t="str">
        <f>'AC Results'!Y116</f>
        <v>Perambalur</v>
      </c>
      <c r="D151" s="11" t="s">
        <v>369</v>
      </c>
      <c r="E151" t="s">
        <v>24</v>
      </c>
      <c r="F151">
        <f>'AC Results'!H116</f>
        <v>45</v>
      </c>
      <c r="G151" t="str">
        <f>'AC Results'!S116</f>
        <v>TVK</v>
      </c>
      <c r="H151">
        <f>'AC Results'!U116</f>
        <v>10.4</v>
      </c>
      <c r="I151" t="str">
        <f>'AC Results'!V116</f>
        <v>Strong</v>
      </c>
      <c r="J151" t="str">
        <f>'AC Results'!W116</f>
        <v>TVK</v>
      </c>
      <c r="K151" s="11" t="s">
        <v>10</v>
      </c>
      <c r="L151" t="s">
        <v>10</v>
      </c>
      <c r="M151" t="str">
        <f t="shared" si="6"/>
        <v>Yes</v>
      </c>
      <c r="N151" t="str">
        <f t="shared" si="7"/>
        <v>Yes</v>
      </c>
      <c r="O151" t="str">
        <f t="shared" si="8"/>
        <v>Changed</v>
      </c>
    </row>
    <row r="152" spans="1:15" x14ac:dyDescent="0.2">
      <c r="A152">
        <v>148</v>
      </c>
      <c r="B152" s="3" t="str">
        <f>'AC Results'!A115</f>
        <v>Kunnam</v>
      </c>
      <c r="C152" t="str">
        <f>'AC Results'!Y115</f>
        <v>Perambalur</v>
      </c>
      <c r="D152" s="11" t="s">
        <v>369</v>
      </c>
      <c r="E152" t="s">
        <v>24</v>
      </c>
      <c r="F152">
        <f>'AC Results'!H115</f>
        <v>33</v>
      </c>
      <c r="G152" t="str">
        <f>'AC Results'!S115</f>
        <v>DMK+INC+VCK</v>
      </c>
      <c r="H152">
        <f>'AC Results'!U115</f>
        <v>15.8</v>
      </c>
      <c r="I152" t="str">
        <f>'AC Results'!V115</f>
        <v>Strong</v>
      </c>
      <c r="J152" t="str">
        <f>'AC Results'!W115</f>
        <v>DMK+INC+VCK</v>
      </c>
      <c r="K152" s="11" t="s">
        <v>369</v>
      </c>
      <c r="L152" t="s">
        <v>24</v>
      </c>
      <c r="M152" t="str">
        <f t="shared" si="6"/>
        <v>Yes</v>
      </c>
      <c r="N152" t="str">
        <f t="shared" si="7"/>
        <v>Yes</v>
      </c>
      <c r="O152" t="str">
        <f t="shared" si="8"/>
        <v>Held</v>
      </c>
    </row>
    <row r="153" spans="1:15" x14ac:dyDescent="0.2">
      <c r="A153">
        <v>149</v>
      </c>
      <c r="B153" s="3" t="str">
        <f>'AC Results'!A5</f>
        <v>Ariyalur</v>
      </c>
      <c r="C153" t="str">
        <f>'AC Results'!Y5</f>
        <v>Ariyalur</v>
      </c>
      <c r="D153" s="11" t="s">
        <v>369</v>
      </c>
      <c r="E153" t="s">
        <v>24</v>
      </c>
      <c r="F153">
        <f>'AC Results'!H5</f>
        <v>51</v>
      </c>
      <c r="G153" t="str">
        <f>'AC Results'!S5</f>
        <v>AIADMK+BJP+PMK+AMMK</v>
      </c>
      <c r="H153">
        <f>'AC Results'!U5</f>
        <v>1.3</v>
      </c>
      <c r="I153" t="str">
        <f>'AC Results'!V5</f>
        <v>Toss-up</v>
      </c>
      <c r="J153" t="str">
        <f>'AC Results'!W5</f>
        <v>TVK</v>
      </c>
      <c r="K153" s="11" t="s">
        <v>372</v>
      </c>
      <c r="L153" t="s">
        <v>23</v>
      </c>
      <c r="M153" t="str">
        <f t="shared" si="6"/>
        <v>Yes</v>
      </c>
      <c r="N153" t="str">
        <f t="shared" si="7"/>
        <v>No</v>
      </c>
      <c r="O153" t="str">
        <f t="shared" si="8"/>
        <v>Changed</v>
      </c>
    </row>
    <row r="154" spans="1:15" x14ac:dyDescent="0.2">
      <c r="A154">
        <v>150</v>
      </c>
      <c r="B154" s="3" t="str">
        <f>'AC Results'!A6</f>
        <v>Jayankondam</v>
      </c>
      <c r="C154" t="str">
        <f>'AC Results'!Y6</f>
        <v>Ariyalur</v>
      </c>
      <c r="D154" s="11" t="s">
        <v>369</v>
      </c>
      <c r="E154" t="s">
        <v>24</v>
      </c>
      <c r="F154">
        <f>'AC Results'!H6</f>
        <v>32</v>
      </c>
      <c r="G154" t="str">
        <f>'AC Results'!S6</f>
        <v>TVK</v>
      </c>
      <c r="H154">
        <f>'AC Results'!U6</f>
        <v>1</v>
      </c>
      <c r="I154" t="str">
        <f>'AC Results'!V6</f>
        <v>Toss-up</v>
      </c>
      <c r="J154" t="str">
        <f>'AC Results'!W6</f>
        <v>TVK</v>
      </c>
      <c r="K154" s="11" t="s">
        <v>393</v>
      </c>
      <c r="L154" t="s">
        <v>23</v>
      </c>
      <c r="M154" t="str">
        <f t="shared" si="6"/>
        <v>No</v>
      </c>
      <c r="N154" t="str">
        <f t="shared" si="7"/>
        <v>No</v>
      </c>
      <c r="O154" t="str">
        <f t="shared" si="8"/>
        <v>Changed</v>
      </c>
    </row>
    <row r="155" spans="1:15" x14ac:dyDescent="0.2">
      <c r="A155">
        <v>151</v>
      </c>
      <c r="B155" s="3" t="str">
        <f>'AC Results'!A47</f>
        <v>Tittakudi</v>
      </c>
      <c r="C155" t="str">
        <f>'AC Results'!Y47</f>
        <v>Cuddalore</v>
      </c>
      <c r="D155" s="11" t="s">
        <v>369</v>
      </c>
      <c r="E155" t="s">
        <v>24</v>
      </c>
      <c r="F155">
        <f>'AC Results'!H47</f>
        <v>8</v>
      </c>
      <c r="G155" t="str">
        <f>'AC Results'!S47</f>
        <v>AIADMK+BJP+PMK+AMMK</v>
      </c>
      <c r="H155">
        <f>'AC Results'!U47</f>
        <v>17.7</v>
      </c>
      <c r="I155" t="str">
        <f>'AC Results'!V47</f>
        <v>Low sample</v>
      </c>
      <c r="J155" t="str">
        <f>'AC Results'!W47</f>
        <v>AIADMK+BJP+PMK+AMMK</v>
      </c>
      <c r="K155" s="11" t="s">
        <v>369</v>
      </c>
      <c r="L155" t="s">
        <v>24</v>
      </c>
      <c r="M155" t="str">
        <f t="shared" si="6"/>
        <v>No</v>
      </c>
      <c r="N155" t="str">
        <f t="shared" si="7"/>
        <v>No</v>
      </c>
      <c r="O155" t="str">
        <f t="shared" si="8"/>
        <v>Held</v>
      </c>
    </row>
    <row r="156" spans="1:15" x14ac:dyDescent="0.2">
      <c r="A156">
        <v>152</v>
      </c>
      <c r="B156" s="3" t="str">
        <f>'AC Results'!A48</f>
        <v>Virudhachalam</v>
      </c>
      <c r="C156" t="str">
        <f>'AC Results'!Y48</f>
        <v>Cuddalore</v>
      </c>
      <c r="D156" s="11" t="s">
        <v>371</v>
      </c>
      <c r="E156" t="s">
        <v>24</v>
      </c>
      <c r="F156">
        <f>'AC Results'!H48</f>
        <v>22</v>
      </c>
      <c r="G156" t="str">
        <f>'AC Results'!S48</f>
        <v>AIADMK+BJP+PMK+AMMK</v>
      </c>
      <c r="H156">
        <f>'AC Results'!U48</f>
        <v>23.4</v>
      </c>
      <c r="I156" t="str">
        <f>'AC Results'!V48</f>
        <v>Lean</v>
      </c>
      <c r="J156" t="str">
        <f>'AC Results'!W48</f>
        <v>AIADMK+BJP+PMK+AMMK</v>
      </c>
      <c r="K156" s="11" t="s">
        <v>395</v>
      </c>
      <c r="L156" t="s">
        <v>24</v>
      </c>
      <c r="M156" t="str">
        <f t="shared" si="6"/>
        <v>No</v>
      </c>
      <c r="N156" t="str">
        <f t="shared" si="7"/>
        <v>No</v>
      </c>
      <c r="O156" t="str">
        <f t="shared" si="8"/>
        <v>Held</v>
      </c>
    </row>
    <row r="157" spans="1:15" x14ac:dyDescent="0.2">
      <c r="A157">
        <v>153</v>
      </c>
      <c r="B157" s="3" t="str">
        <f>'AC Results'!A45</f>
        <v>Neyveli</v>
      </c>
      <c r="C157" t="str">
        <f>'AC Results'!Y45</f>
        <v>Cuddalore</v>
      </c>
      <c r="D157" s="11" t="s">
        <v>369</v>
      </c>
      <c r="E157" t="s">
        <v>24</v>
      </c>
      <c r="F157">
        <f>'AC Results'!H45</f>
        <v>25</v>
      </c>
      <c r="G157" t="str">
        <f>'AC Results'!S45</f>
        <v>AIADMK+BJP+PMK+AMMK</v>
      </c>
      <c r="H157">
        <f>'AC Results'!U45</f>
        <v>44.3</v>
      </c>
      <c r="I157" t="str">
        <f>'AC Results'!V45</f>
        <v>Lean</v>
      </c>
      <c r="J157" t="str">
        <f>'AC Results'!W45</f>
        <v>AIADMK+BJP+PMK+AMMK</v>
      </c>
      <c r="K157" s="11" t="s">
        <v>372</v>
      </c>
      <c r="L157" t="s">
        <v>23</v>
      </c>
      <c r="M157" t="str">
        <f t="shared" si="6"/>
        <v>Yes</v>
      </c>
      <c r="N157" t="str">
        <f t="shared" si="7"/>
        <v>Yes</v>
      </c>
      <c r="O157" t="str">
        <f t="shared" si="8"/>
        <v>Changed</v>
      </c>
    </row>
    <row r="158" spans="1:15" x14ac:dyDescent="0.2">
      <c r="A158">
        <v>154</v>
      </c>
      <c r="B158" s="3" t="str">
        <f>'AC Results'!A46</f>
        <v>Panruti</v>
      </c>
      <c r="C158" t="str">
        <f>'AC Results'!Y46</f>
        <v>Cuddalore</v>
      </c>
      <c r="D158" s="11" t="s">
        <v>369</v>
      </c>
      <c r="E158" t="s">
        <v>24</v>
      </c>
      <c r="F158">
        <f>'AC Results'!H46</f>
        <v>25</v>
      </c>
      <c r="G158" t="str">
        <f>'AC Results'!S46</f>
        <v>AIADMK+BJP+PMK+AMMK</v>
      </c>
      <c r="H158">
        <f>'AC Results'!U46</f>
        <v>4.3</v>
      </c>
      <c r="I158" t="str">
        <f>'AC Results'!V46</f>
        <v>Toss-up</v>
      </c>
      <c r="J158" t="str">
        <f>'AC Results'!W46</f>
        <v>AIADMK+BJP+PMK+AMMK</v>
      </c>
      <c r="K158" s="11" t="s">
        <v>372</v>
      </c>
      <c r="L158" t="s">
        <v>23</v>
      </c>
      <c r="M158" t="str">
        <f t="shared" si="6"/>
        <v>Yes</v>
      </c>
      <c r="N158" t="str">
        <f t="shared" si="7"/>
        <v>Yes</v>
      </c>
      <c r="O158" t="str">
        <f t="shared" si="8"/>
        <v>Changed</v>
      </c>
    </row>
    <row r="159" spans="1:15" x14ac:dyDescent="0.2">
      <c r="A159">
        <v>155</v>
      </c>
      <c r="B159" s="3" t="str">
        <f>'AC Results'!A42</f>
        <v>Cuddalore</v>
      </c>
      <c r="C159" t="str">
        <f>'AC Results'!Y42</f>
        <v>Cuddalore</v>
      </c>
      <c r="D159" s="11" t="s">
        <v>369</v>
      </c>
      <c r="E159" t="s">
        <v>24</v>
      </c>
      <c r="F159">
        <f>'AC Results'!H42</f>
        <v>34</v>
      </c>
      <c r="G159" t="str">
        <f>'AC Results'!S42</f>
        <v>TVK</v>
      </c>
      <c r="H159">
        <f>'AC Results'!U42</f>
        <v>8.6999999999999993</v>
      </c>
      <c r="I159" t="str">
        <f>'AC Results'!V42</f>
        <v>Lean</v>
      </c>
      <c r="J159" t="str">
        <f>'AC Results'!W42</f>
        <v>TVK</v>
      </c>
      <c r="K159" s="11" t="s">
        <v>10</v>
      </c>
      <c r="L159" t="s">
        <v>10</v>
      </c>
      <c r="M159" t="str">
        <f t="shared" si="6"/>
        <v>Yes</v>
      </c>
      <c r="N159" t="str">
        <f t="shared" si="7"/>
        <v>Yes</v>
      </c>
      <c r="O159" t="str">
        <f t="shared" si="8"/>
        <v>Changed</v>
      </c>
    </row>
    <row r="160" spans="1:15" x14ac:dyDescent="0.2">
      <c r="A160">
        <v>156</v>
      </c>
      <c r="B160" s="3" t="str">
        <f>'AC Results'!A44</f>
        <v>Kurinjipadi</v>
      </c>
      <c r="C160" t="str">
        <f>'AC Results'!Y44</f>
        <v>Cuddalore</v>
      </c>
      <c r="D160" s="11" t="s">
        <v>369</v>
      </c>
      <c r="E160" t="s">
        <v>24</v>
      </c>
      <c r="F160">
        <f>'AC Results'!H44</f>
        <v>17</v>
      </c>
      <c r="G160" t="str">
        <f>'AC Results'!S44</f>
        <v>DMK+INC+VCK</v>
      </c>
      <c r="H160">
        <f>'AC Results'!U44</f>
        <v>3.7</v>
      </c>
      <c r="I160" t="str">
        <f>'AC Results'!V44</f>
        <v>Toss-up</v>
      </c>
      <c r="J160" t="str">
        <f>'AC Results'!W44</f>
        <v>Tie</v>
      </c>
      <c r="K160" s="11" t="s">
        <v>369</v>
      </c>
      <c r="L160" t="s">
        <v>24</v>
      </c>
      <c r="M160" t="str">
        <f t="shared" si="6"/>
        <v>Yes</v>
      </c>
      <c r="N160" t="str">
        <f t="shared" si="7"/>
        <v>No</v>
      </c>
      <c r="O160" t="str">
        <f t="shared" si="8"/>
        <v>Held</v>
      </c>
    </row>
    <row r="161" spans="1:15" x14ac:dyDescent="0.2">
      <c r="A161">
        <v>157</v>
      </c>
      <c r="B161" s="3" t="str">
        <f>'AC Results'!A40</f>
        <v>Bhuvanagiri</v>
      </c>
      <c r="C161" t="str">
        <f>'AC Results'!Y40</f>
        <v>Cuddalore</v>
      </c>
      <c r="D161" s="11" t="s">
        <v>390</v>
      </c>
      <c r="E161" t="s">
        <v>23</v>
      </c>
      <c r="F161">
        <f>'AC Results'!H40</f>
        <v>22</v>
      </c>
      <c r="G161" t="str">
        <f>'AC Results'!S40</f>
        <v>DMK+INC+VCK</v>
      </c>
      <c r="H161">
        <f>'AC Results'!U40</f>
        <v>9.9</v>
      </c>
      <c r="I161" t="str">
        <f>'AC Results'!V40</f>
        <v>Lean</v>
      </c>
      <c r="J161" t="str">
        <f>'AC Results'!W40</f>
        <v>DMK+INC+VCK</v>
      </c>
      <c r="K161" s="11" t="s">
        <v>372</v>
      </c>
      <c r="L161" t="s">
        <v>23</v>
      </c>
      <c r="M161" t="str">
        <f t="shared" si="6"/>
        <v>No</v>
      </c>
      <c r="N161" t="str">
        <f t="shared" si="7"/>
        <v>No</v>
      </c>
      <c r="O161" t="str">
        <f t="shared" si="8"/>
        <v>Held</v>
      </c>
    </row>
    <row r="162" spans="1:15" x14ac:dyDescent="0.2">
      <c r="A162">
        <v>158</v>
      </c>
      <c r="B162" s="3" t="str">
        <f>'AC Results'!A41</f>
        <v>Chidambaram</v>
      </c>
      <c r="C162" t="str">
        <f>'AC Results'!Y41</f>
        <v>Cuddalore</v>
      </c>
      <c r="D162" s="11" t="s">
        <v>390</v>
      </c>
      <c r="E162" t="s">
        <v>23</v>
      </c>
      <c r="F162">
        <f>'AC Results'!H41</f>
        <v>16</v>
      </c>
      <c r="G162" t="str">
        <f>'AC Results'!S41</f>
        <v>AIADMK+BJP+PMK+AMMK</v>
      </c>
      <c r="H162">
        <f>'AC Results'!U41</f>
        <v>15.1</v>
      </c>
      <c r="I162" t="str">
        <f>'AC Results'!V41</f>
        <v>Lean</v>
      </c>
      <c r="J162" t="str">
        <f>'AC Results'!W41</f>
        <v>AIADMK+BJP+PMK+AMMK</v>
      </c>
      <c r="K162" s="11" t="s">
        <v>369</v>
      </c>
      <c r="L162" t="s">
        <v>24</v>
      </c>
      <c r="M162" t="str">
        <f t="shared" si="6"/>
        <v>No</v>
      </c>
      <c r="N162" t="str">
        <f t="shared" si="7"/>
        <v>No</v>
      </c>
      <c r="O162" t="str">
        <f t="shared" si="8"/>
        <v>Changed</v>
      </c>
    </row>
    <row r="163" spans="1:15" x14ac:dyDescent="0.2">
      <c r="A163">
        <v>159</v>
      </c>
      <c r="B163" s="3" t="str">
        <f>'AC Results'!A43</f>
        <v>Kattumannarkoil</v>
      </c>
      <c r="C163" t="str">
        <f>'AC Results'!Y43</f>
        <v>Cuddalore</v>
      </c>
      <c r="D163" s="11" t="s">
        <v>389</v>
      </c>
      <c r="E163" t="s">
        <v>24</v>
      </c>
      <c r="F163">
        <f>'AC Results'!H43</f>
        <v>14</v>
      </c>
      <c r="G163" t="str">
        <f>'AC Results'!S43</f>
        <v>AIADMK+BJP+PMK+AMMK</v>
      </c>
      <c r="H163">
        <f>'AC Results'!U43</f>
        <v>39.200000000000003</v>
      </c>
      <c r="I163" t="str">
        <f>'AC Results'!V43</f>
        <v>Lean</v>
      </c>
      <c r="J163" t="str">
        <f>'AC Results'!W43</f>
        <v>AIADMK+BJP+PMK+AMMK</v>
      </c>
      <c r="K163" s="11" t="s">
        <v>389</v>
      </c>
      <c r="L163" t="s">
        <v>24</v>
      </c>
      <c r="M163" t="str">
        <f t="shared" si="6"/>
        <v>No</v>
      </c>
      <c r="N163" t="str">
        <f t="shared" si="7"/>
        <v>No</v>
      </c>
      <c r="O163" t="str">
        <f t="shared" si="8"/>
        <v>Held</v>
      </c>
    </row>
    <row r="164" spans="1:15" x14ac:dyDescent="0.2">
      <c r="A164">
        <v>160</v>
      </c>
      <c r="B164" s="3" t="str">
        <f>'AC Results'!A105</f>
        <v>Sirkazhi</v>
      </c>
      <c r="C164" t="str">
        <f>'AC Results'!Y105</f>
        <v>Mayiladuthurai</v>
      </c>
      <c r="D164" s="11" t="s">
        <v>369</v>
      </c>
      <c r="E164" t="s">
        <v>24</v>
      </c>
      <c r="F164">
        <f>'AC Results'!H105</f>
        <v>30</v>
      </c>
      <c r="G164" t="str">
        <f>'AC Results'!S105</f>
        <v>AIADMK+BJP+PMK+AMMK</v>
      </c>
      <c r="H164">
        <f>'AC Results'!U105</f>
        <v>18.5</v>
      </c>
      <c r="I164" t="str">
        <f>'AC Results'!V105</f>
        <v>Strong</v>
      </c>
      <c r="J164" t="str">
        <f>'AC Results'!W105</f>
        <v>AIADMK+BJP+PMK+AMMK</v>
      </c>
      <c r="K164" s="11" t="s">
        <v>369</v>
      </c>
      <c r="L164" t="s">
        <v>24</v>
      </c>
      <c r="M164" t="str">
        <f t="shared" si="6"/>
        <v>No</v>
      </c>
      <c r="N164" t="str">
        <f t="shared" si="7"/>
        <v>No</v>
      </c>
      <c r="O164" t="str">
        <f t="shared" si="8"/>
        <v>Held</v>
      </c>
    </row>
    <row r="165" spans="1:15" x14ac:dyDescent="0.2">
      <c r="A165">
        <v>161</v>
      </c>
      <c r="B165" s="3" t="str">
        <f>'AC Results'!A103</f>
        <v>Mayiladuturai</v>
      </c>
      <c r="C165" t="str">
        <f>'AC Results'!Y103</f>
        <v>Mayiladuthurai</v>
      </c>
      <c r="D165" s="11" t="s">
        <v>371</v>
      </c>
      <c r="E165" t="s">
        <v>24</v>
      </c>
      <c r="F165">
        <f>'AC Results'!H103</f>
        <v>59</v>
      </c>
      <c r="G165" t="str">
        <f>'AC Results'!S103</f>
        <v>DMK+INC+VCK</v>
      </c>
      <c r="H165">
        <f>'AC Results'!U103</f>
        <v>2</v>
      </c>
      <c r="I165" t="str">
        <f>'AC Results'!V103</f>
        <v>Toss-up</v>
      </c>
      <c r="J165" t="str">
        <f>'AC Results'!W103</f>
        <v>AIADMK+BJP+PMK+AMMK</v>
      </c>
      <c r="K165" s="11" t="s">
        <v>371</v>
      </c>
      <c r="L165" t="s">
        <v>24</v>
      </c>
      <c r="M165" t="str">
        <f t="shared" si="6"/>
        <v>Yes</v>
      </c>
      <c r="N165" t="str">
        <f t="shared" si="7"/>
        <v>No</v>
      </c>
      <c r="O165" t="str">
        <f t="shared" si="8"/>
        <v>Held</v>
      </c>
    </row>
    <row r="166" spans="1:15" x14ac:dyDescent="0.2">
      <c r="A166">
        <v>162</v>
      </c>
      <c r="B166" s="3" t="str">
        <f>'AC Results'!A104</f>
        <v>Poompuhar</v>
      </c>
      <c r="C166" t="str">
        <f>'AC Results'!Y104</f>
        <v>Mayiladuthurai</v>
      </c>
      <c r="D166" s="11" t="s">
        <v>369</v>
      </c>
      <c r="E166" t="s">
        <v>24</v>
      </c>
      <c r="F166">
        <f>'AC Results'!H104</f>
        <v>32</v>
      </c>
      <c r="G166" t="str">
        <f>'AC Results'!S104</f>
        <v>AIADMK+BJP+PMK+AMMK</v>
      </c>
      <c r="H166">
        <f>'AC Results'!U104</f>
        <v>14.6</v>
      </c>
      <c r="I166" t="str">
        <f>'AC Results'!V104</f>
        <v>Strong</v>
      </c>
      <c r="J166" t="str">
        <f>'AC Results'!W104</f>
        <v>AIADMK+BJP+PMK+AMMK</v>
      </c>
      <c r="K166" s="11" t="s">
        <v>369</v>
      </c>
      <c r="L166" t="s">
        <v>24</v>
      </c>
      <c r="M166" t="str">
        <f t="shared" si="6"/>
        <v>No</v>
      </c>
      <c r="N166" t="str">
        <f t="shared" si="7"/>
        <v>No</v>
      </c>
      <c r="O166" t="str">
        <f t="shared" si="8"/>
        <v>Held</v>
      </c>
    </row>
    <row r="167" spans="1:15" x14ac:dyDescent="0.2">
      <c r="A167">
        <v>163</v>
      </c>
      <c r="B167" s="3" t="str">
        <f>'AC Results'!A107</f>
        <v>Nagapattinam</v>
      </c>
      <c r="C167" t="str">
        <f>'AC Results'!Y107</f>
        <v>Nagapattinam</v>
      </c>
      <c r="D167" s="11" t="s">
        <v>389</v>
      </c>
      <c r="E167" t="s">
        <v>24</v>
      </c>
      <c r="F167">
        <f>'AC Results'!H107</f>
        <v>45</v>
      </c>
      <c r="G167" t="str">
        <f>'AC Results'!S107</f>
        <v>DMK+INC+VCK</v>
      </c>
      <c r="H167">
        <f>'AC Results'!U107</f>
        <v>4.5</v>
      </c>
      <c r="I167" t="str">
        <f>'AC Results'!V107</f>
        <v>Toss-up</v>
      </c>
      <c r="J167" t="str">
        <f>'AC Results'!W107</f>
        <v>TVK</v>
      </c>
      <c r="K167" s="11" t="s">
        <v>369</v>
      </c>
      <c r="L167" t="s">
        <v>24</v>
      </c>
      <c r="M167" t="str">
        <f t="shared" si="6"/>
        <v>Yes</v>
      </c>
      <c r="N167" t="str">
        <f t="shared" si="7"/>
        <v>No</v>
      </c>
      <c r="O167" t="str">
        <f t="shared" si="8"/>
        <v>Held</v>
      </c>
    </row>
    <row r="168" spans="1:15" x14ac:dyDescent="0.2">
      <c r="A168">
        <v>164</v>
      </c>
      <c r="B168" s="3" t="str">
        <f>'AC Results'!A106</f>
        <v>Kilvelur</v>
      </c>
      <c r="C168" t="str">
        <f>'AC Results'!Y106</f>
        <v>Nagapattinam</v>
      </c>
      <c r="D168" s="11" t="s">
        <v>396</v>
      </c>
      <c r="E168" t="s">
        <v>24</v>
      </c>
      <c r="F168">
        <f>'AC Results'!H106</f>
        <v>22</v>
      </c>
      <c r="G168" t="str">
        <f>'AC Results'!S106</f>
        <v>DMK+INC+VCK</v>
      </c>
      <c r="H168">
        <f>'AC Results'!U106</f>
        <v>41.7</v>
      </c>
      <c r="I168" t="str">
        <f>'AC Results'!V106</f>
        <v>Lean</v>
      </c>
      <c r="J168" t="str">
        <f>'AC Results'!W106</f>
        <v>DMK+INC+VCK</v>
      </c>
      <c r="K168" s="11" t="s">
        <v>397</v>
      </c>
      <c r="L168" t="s">
        <v>24</v>
      </c>
      <c r="M168" t="str">
        <f t="shared" si="6"/>
        <v>Yes</v>
      </c>
      <c r="N168" t="str">
        <f t="shared" si="7"/>
        <v>Yes</v>
      </c>
      <c r="O168" t="str">
        <f t="shared" si="8"/>
        <v>Held</v>
      </c>
    </row>
    <row r="169" spans="1:15" x14ac:dyDescent="0.2">
      <c r="A169">
        <v>165</v>
      </c>
      <c r="B169" s="3" t="str">
        <f>'AC Results'!A108</f>
        <v>Vedaranyam</v>
      </c>
      <c r="C169" t="str">
        <f>'AC Results'!Y108</f>
        <v>Nagapattinam</v>
      </c>
      <c r="D169" s="11" t="s">
        <v>390</v>
      </c>
      <c r="E169" t="s">
        <v>23</v>
      </c>
      <c r="F169">
        <f>'AC Results'!H108</f>
        <v>35</v>
      </c>
      <c r="G169" t="str">
        <f>'AC Results'!S108</f>
        <v>NTK</v>
      </c>
      <c r="H169">
        <f>'AC Results'!U108</f>
        <v>9.8000000000000007</v>
      </c>
      <c r="I169" t="str">
        <f>'AC Results'!V108</f>
        <v>Lean</v>
      </c>
      <c r="J169" t="str">
        <f>'AC Results'!W108</f>
        <v>NTK</v>
      </c>
      <c r="K169" s="11" t="s">
        <v>372</v>
      </c>
      <c r="L169" t="s">
        <v>23</v>
      </c>
      <c r="M169" t="str">
        <f t="shared" si="6"/>
        <v>No</v>
      </c>
      <c r="N169" t="str">
        <f t="shared" si="7"/>
        <v>No</v>
      </c>
      <c r="O169" t="str">
        <f t="shared" si="8"/>
        <v>Held</v>
      </c>
    </row>
    <row r="170" spans="1:15" x14ac:dyDescent="0.2">
      <c r="A170">
        <v>166</v>
      </c>
      <c r="B170" s="3" t="str">
        <f>'AC Results'!A218</f>
        <v>Thiruthuraipoondi</v>
      </c>
      <c r="C170" t="str">
        <f>'AC Results'!Y218</f>
        <v>Tiruvarur</v>
      </c>
      <c r="D170" s="11" t="s">
        <v>392</v>
      </c>
      <c r="E170" t="s">
        <v>24</v>
      </c>
      <c r="F170">
        <f>'AC Results'!H218</f>
        <v>33</v>
      </c>
      <c r="G170" t="str">
        <f>'AC Results'!S218</f>
        <v>TVK</v>
      </c>
      <c r="H170">
        <f>'AC Results'!U218</f>
        <v>6.3</v>
      </c>
      <c r="I170" t="str">
        <f>'AC Results'!V218</f>
        <v>Lean</v>
      </c>
      <c r="J170" t="str">
        <f>'AC Results'!W218</f>
        <v>TVK</v>
      </c>
      <c r="K170" s="11" t="s">
        <v>392</v>
      </c>
      <c r="L170" t="s">
        <v>24</v>
      </c>
      <c r="M170" t="str">
        <f t="shared" si="6"/>
        <v>No</v>
      </c>
      <c r="N170" t="str">
        <f t="shared" si="7"/>
        <v>No</v>
      </c>
      <c r="O170" t="str">
        <f t="shared" si="8"/>
        <v>Held</v>
      </c>
    </row>
    <row r="171" spans="1:15" x14ac:dyDescent="0.2">
      <c r="A171">
        <v>167</v>
      </c>
      <c r="B171" s="3" t="str">
        <f>'AC Results'!A216</f>
        <v>Mannargudi</v>
      </c>
      <c r="C171" t="str">
        <f>'AC Results'!Y216</f>
        <v>Tiruvarur</v>
      </c>
      <c r="D171" s="11" t="s">
        <v>369</v>
      </c>
      <c r="E171" t="s">
        <v>24</v>
      </c>
      <c r="F171">
        <f>'AC Results'!H216</f>
        <v>53</v>
      </c>
      <c r="G171" t="str">
        <f>'AC Results'!S216</f>
        <v>DMK+INC+VCK</v>
      </c>
      <c r="H171">
        <f>'AC Results'!U216</f>
        <v>1.8</v>
      </c>
      <c r="I171" t="str">
        <f>'AC Results'!V216</f>
        <v>Toss-up</v>
      </c>
      <c r="J171" t="str">
        <f>'AC Results'!W216</f>
        <v>AIADMK+BJP+PMK+AMMK</v>
      </c>
      <c r="K171" s="11" t="s">
        <v>398</v>
      </c>
      <c r="L171" t="s">
        <v>23</v>
      </c>
      <c r="M171" t="str">
        <f t="shared" si="6"/>
        <v>No</v>
      </c>
      <c r="N171" t="str">
        <f t="shared" si="7"/>
        <v>Yes</v>
      </c>
      <c r="O171" t="str">
        <f t="shared" si="8"/>
        <v>Changed</v>
      </c>
    </row>
    <row r="172" spans="1:15" x14ac:dyDescent="0.2">
      <c r="A172">
        <v>168</v>
      </c>
      <c r="B172" s="3" t="str">
        <f>'AC Results'!A219</f>
        <v>Thiruvarur</v>
      </c>
      <c r="C172" t="str">
        <f>'AC Results'!Y219</f>
        <v>Tiruvarur</v>
      </c>
      <c r="D172" s="11" t="s">
        <v>369</v>
      </c>
      <c r="E172" t="s">
        <v>24</v>
      </c>
      <c r="F172">
        <f>'AC Results'!H219</f>
        <v>43</v>
      </c>
      <c r="G172" t="str">
        <f>'AC Results'!S219</f>
        <v>DMK+INC+VCK</v>
      </c>
      <c r="H172">
        <f>'AC Results'!U219</f>
        <v>8.3000000000000007</v>
      </c>
      <c r="I172" t="str">
        <f>'AC Results'!V219</f>
        <v>Lean</v>
      </c>
      <c r="J172" t="str">
        <f>'AC Results'!W219</f>
        <v>DMK+INC+VCK</v>
      </c>
      <c r="K172" s="11" t="s">
        <v>369</v>
      </c>
      <c r="L172" t="s">
        <v>24</v>
      </c>
      <c r="M172" t="str">
        <f t="shared" si="6"/>
        <v>Yes</v>
      </c>
      <c r="N172" t="str">
        <f t="shared" si="7"/>
        <v>Yes</v>
      </c>
      <c r="O172" t="str">
        <f t="shared" si="8"/>
        <v>Held</v>
      </c>
    </row>
    <row r="173" spans="1:15" x14ac:dyDescent="0.2">
      <c r="A173">
        <v>169</v>
      </c>
      <c r="B173" s="3" t="str">
        <f>'AC Results'!A217</f>
        <v>Nannilam</v>
      </c>
      <c r="C173" t="str">
        <f>'AC Results'!Y217</f>
        <v>Tiruvarur</v>
      </c>
      <c r="D173" s="11" t="s">
        <v>390</v>
      </c>
      <c r="E173" t="s">
        <v>23</v>
      </c>
      <c r="F173">
        <f>'AC Results'!H217</f>
        <v>38</v>
      </c>
      <c r="G173" t="str">
        <f>'AC Results'!S217</f>
        <v>DMK+INC+VCK</v>
      </c>
      <c r="H173">
        <f>'AC Results'!U217</f>
        <v>3.6</v>
      </c>
      <c r="I173" t="str">
        <f>'AC Results'!V217</f>
        <v>Toss-up</v>
      </c>
      <c r="J173" t="str">
        <f>'AC Results'!W217</f>
        <v>TVK</v>
      </c>
      <c r="K173" s="11" t="s">
        <v>372</v>
      </c>
      <c r="L173" t="s">
        <v>23</v>
      </c>
      <c r="M173" t="str">
        <f t="shared" si="6"/>
        <v>No</v>
      </c>
      <c r="N173" t="str">
        <f t="shared" si="7"/>
        <v>No</v>
      </c>
      <c r="O173" t="str">
        <f t="shared" si="8"/>
        <v>Held</v>
      </c>
    </row>
    <row r="174" spans="1:15" x14ac:dyDescent="0.2">
      <c r="A174">
        <v>170</v>
      </c>
      <c r="B174" s="3" t="str">
        <f>'AC Results'!A158</f>
        <v>Thiruvidaimarudur</v>
      </c>
      <c r="C174" t="str">
        <f>'AC Results'!Y158</f>
        <v>Thanjavur</v>
      </c>
      <c r="D174" s="11" t="s">
        <v>369</v>
      </c>
      <c r="E174" t="s">
        <v>24</v>
      </c>
      <c r="F174">
        <f>'AC Results'!H158</f>
        <v>41</v>
      </c>
      <c r="G174" t="str">
        <f>'AC Results'!S158</f>
        <v>DMK+INC+VCK</v>
      </c>
      <c r="H174">
        <f>'AC Results'!U158</f>
        <v>8.6</v>
      </c>
      <c r="I174" t="str">
        <f>'AC Results'!V158</f>
        <v>Lean</v>
      </c>
      <c r="J174" t="str">
        <f>'AC Results'!W158</f>
        <v>DMK+INC+VCK</v>
      </c>
      <c r="K174" s="11" t="s">
        <v>369</v>
      </c>
      <c r="L174" t="s">
        <v>24</v>
      </c>
      <c r="M174" t="str">
        <f t="shared" si="6"/>
        <v>Yes</v>
      </c>
      <c r="N174" t="str">
        <f t="shared" si="7"/>
        <v>Yes</v>
      </c>
      <c r="O174" t="str">
        <f t="shared" si="8"/>
        <v>Held</v>
      </c>
    </row>
    <row r="175" spans="1:15" x14ac:dyDescent="0.2">
      <c r="A175">
        <v>171</v>
      </c>
      <c r="B175" s="3" t="str">
        <f>'AC Results'!A151</f>
        <v>Kumbakonam</v>
      </c>
      <c r="C175" t="str">
        <f>'AC Results'!Y151</f>
        <v>Thanjavur</v>
      </c>
      <c r="D175" s="11" t="s">
        <v>369</v>
      </c>
      <c r="E175" t="s">
        <v>24</v>
      </c>
      <c r="F175">
        <f>'AC Results'!H151</f>
        <v>64</v>
      </c>
      <c r="G175" t="str">
        <f>'AC Results'!S151</f>
        <v>TVK</v>
      </c>
      <c r="H175">
        <f>'AC Results'!U151</f>
        <v>2.6</v>
      </c>
      <c r="I175" t="str">
        <f>'AC Results'!V151</f>
        <v>Toss-up</v>
      </c>
      <c r="J175" t="str">
        <f>'AC Results'!W151</f>
        <v>TVK</v>
      </c>
      <c r="K175" s="11" t="s">
        <v>10</v>
      </c>
      <c r="L175" t="s">
        <v>10</v>
      </c>
      <c r="M175" t="str">
        <f t="shared" si="6"/>
        <v>Yes</v>
      </c>
      <c r="N175" t="str">
        <f t="shared" si="7"/>
        <v>Yes</v>
      </c>
      <c r="O175" t="str">
        <f t="shared" si="8"/>
        <v>Changed</v>
      </c>
    </row>
    <row r="176" spans="1:15" x14ac:dyDescent="0.2">
      <c r="A176">
        <v>172</v>
      </c>
      <c r="B176" s="3" t="str">
        <f>'AC Results'!A153</f>
        <v>Papanasam</v>
      </c>
      <c r="C176" t="str">
        <f>'AC Results'!Y153</f>
        <v>Thanjavur</v>
      </c>
      <c r="D176" s="11" t="s">
        <v>369</v>
      </c>
      <c r="E176" t="s">
        <v>24</v>
      </c>
      <c r="F176">
        <f>'AC Results'!H153</f>
        <v>39</v>
      </c>
      <c r="G176" t="str">
        <f>'AC Results'!S153</f>
        <v>TVK</v>
      </c>
      <c r="H176">
        <f>'AC Results'!U153</f>
        <v>6.5</v>
      </c>
      <c r="I176" t="str">
        <f>'AC Results'!V153</f>
        <v>Lean</v>
      </c>
      <c r="J176" t="str">
        <f>'AC Results'!W153</f>
        <v>TVK</v>
      </c>
      <c r="K176" s="11" t="s">
        <v>391</v>
      </c>
      <c r="L176" t="s">
        <v>24</v>
      </c>
      <c r="M176" t="str">
        <f t="shared" si="6"/>
        <v>No</v>
      </c>
      <c r="N176" t="str">
        <f t="shared" si="7"/>
        <v>No</v>
      </c>
      <c r="O176" t="str">
        <f t="shared" si="8"/>
        <v>Held</v>
      </c>
    </row>
    <row r="177" spans="1:15" x14ac:dyDescent="0.2">
      <c r="A177">
        <v>173</v>
      </c>
      <c r="B177" s="3" t="str">
        <f>'AC Results'!A157</f>
        <v>Thiruvaiyaru</v>
      </c>
      <c r="C177" t="str">
        <f>'AC Results'!Y157</f>
        <v>Thanjavur</v>
      </c>
      <c r="D177" s="11" t="s">
        <v>369</v>
      </c>
      <c r="E177" t="s">
        <v>24</v>
      </c>
      <c r="F177">
        <f>'AC Results'!H157</f>
        <v>32</v>
      </c>
      <c r="G177" t="str">
        <f>'AC Results'!S157</f>
        <v>AIADMK+BJP+PMK+AMMK</v>
      </c>
      <c r="H177">
        <f>'AC Results'!U157</f>
        <v>11.5</v>
      </c>
      <c r="I177" t="str">
        <f>'AC Results'!V157</f>
        <v>Strong</v>
      </c>
      <c r="J177" t="str">
        <f>'AC Results'!W157</f>
        <v>AIADMK+BJP+PMK+AMMK</v>
      </c>
      <c r="K177" s="11" t="s">
        <v>369</v>
      </c>
      <c r="L177" t="s">
        <v>24</v>
      </c>
      <c r="M177" t="str">
        <f t="shared" si="6"/>
        <v>No</v>
      </c>
      <c r="N177" t="str">
        <f t="shared" si="7"/>
        <v>No</v>
      </c>
      <c r="O177" t="str">
        <f t="shared" si="8"/>
        <v>Held</v>
      </c>
    </row>
    <row r="178" spans="1:15" x14ac:dyDescent="0.2">
      <c r="A178">
        <v>174</v>
      </c>
      <c r="B178" s="3" t="str">
        <f>'AC Results'!A156</f>
        <v>Thanjavur</v>
      </c>
      <c r="C178" t="str">
        <f>'AC Results'!Y156</f>
        <v>Thanjavur</v>
      </c>
      <c r="D178" s="11" t="s">
        <v>369</v>
      </c>
      <c r="E178" t="s">
        <v>24</v>
      </c>
      <c r="F178">
        <f>'AC Results'!H156</f>
        <v>94</v>
      </c>
      <c r="G178" t="str">
        <f>'AC Results'!S156</f>
        <v>TVK</v>
      </c>
      <c r="H178">
        <f>'AC Results'!U156</f>
        <v>8.1</v>
      </c>
      <c r="I178" t="str">
        <f>'AC Results'!V156</f>
        <v>Lean</v>
      </c>
      <c r="J178" t="str">
        <f>'AC Results'!W156</f>
        <v>TVK</v>
      </c>
      <c r="K178" s="11" t="s">
        <v>10</v>
      </c>
      <c r="L178" t="s">
        <v>10</v>
      </c>
      <c r="M178" t="str">
        <f t="shared" si="6"/>
        <v>Yes</v>
      </c>
      <c r="N178" t="str">
        <f t="shared" si="7"/>
        <v>Yes</v>
      </c>
      <c r="O178" t="str">
        <f t="shared" si="8"/>
        <v>Changed</v>
      </c>
    </row>
    <row r="179" spans="1:15" x14ac:dyDescent="0.2">
      <c r="A179">
        <v>175</v>
      </c>
      <c r="B179" s="3" t="str">
        <f>'AC Results'!A152</f>
        <v>Orathanadu</v>
      </c>
      <c r="C179" t="str">
        <f>'AC Results'!Y152</f>
        <v>Thanjavur</v>
      </c>
      <c r="D179" s="11" t="s">
        <v>390</v>
      </c>
      <c r="E179" t="s">
        <v>23</v>
      </c>
      <c r="F179">
        <f>'AC Results'!H152</f>
        <v>17</v>
      </c>
      <c r="G179" t="str">
        <f>'AC Results'!S152</f>
        <v>TVK</v>
      </c>
      <c r="H179">
        <f>'AC Results'!U152</f>
        <v>19.899999999999999</v>
      </c>
      <c r="I179" t="str">
        <f>'AC Results'!V152</f>
        <v>Lean</v>
      </c>
      <c r="J179" t="str">
        <f>'AC Results'!W152</f>
        <v>TVK</v>
      </c>
      <c r="K179" s="11" t="s">
        <v>369</v>
      </c>
      <c r="L179" t="s">
        <v>24</v>
      </c>
      <c r="M179" t="str">
        <f t="shared" si="6"/>
        <v>No</v>
      </c>
      <c r="N179" t="str">
        <f t="shared" si="7"/>
        <v>No</v>
      </c>
      <c r="O179" t="str">
        <f t="shared" si="8"/>
        <v>Changed</v>
      </c>
    </row>
    <row r="180" spans="1:15" x14ac:dyDescent="0.2">
      <c r="A180">
        <v>176</v>
      </c>
      <c r="B180" s="3" t="str">
        <f>'AC Results'!A154</f>
        <v>Pattukkottai</v>
      </c>
      <c r="C180" t="str">
        <f>'AC Results'!Y154</f>
        <v>Thanjavur</v>
      </c>
      <c r="D180" s="11" t="s">
        <v>369</v>
      </c>
      <c r="E180" t="s">
        <v>24</v>
      </c>
      <c r="F180">
        <f>'AC Results'!H154</f>
        <v>39</v>
      </c>
      <c r="G180" t="str">
        <f>'AC Results'!S154</f>
        <v>NTK</v>
      </c>
      <c r="H180">
        <f>'AC Results'!U154</f>
        <v>10.1</v>
      </c>
      <c r="I180" t="str">
        <f>'AC Results'!V154</f>
        <v>Strong</v>
      </c>
      <c r="J180" t="str">
        <f>'AC Results'!W154</f>
        <v>NTK</v>
      </c>
      <c r="K180" s="11" t="s">
        <v>369</v>
      </c>
      <c r="L180" t="s">
        <v>24</v>
      </c>
      <c r="M180" t="str">
        <f t="shared" si="6"/>
        <v>No</v>
      </c>
      <c r="N180" t="str">
        <f t="shared" si="7"/>
        <v>No</v>
      </c>
      <c r="O180" t="str">
        <f t="shared" si="8"/>
        <v>Held</v>
      </c>
    </row>
    <row r="181" spans="1:15" x14ac:dyDescent="0.2">
      <c r="A181">
        <v>177</v>
      </c>
      <c r="B181" s="3" t="str">
        <f>'AC Results'!A155</f>
        <v>Peravurani</v>
      </c>
      <c r="C181" t="str">
        <f>'AC Results'!Y155</f>
        <v>Thanjavur</v>
      </c>
      <c r="D181" s="11" t="s">
        <v>369</v>
      </c>
      <c r="E181" t="s">
        <v>24</v>
      </c>
      <c r="F181">
        <f>'AC Results'!H155</f>
        <v>20</v>
      </c>
      <c r="G181" t="str">
        <f>'AC Results'!S155</f>
        <v>AIADMK+BJP+PMK+AMMK</v>
      </c>
      <c r="H181">
        <f>'AC Results'!U155</f>
        <v>0.2</v>
      </c>
      <c r="I181" t="str">
        <f>'AC Results'!V155</f>
        <v>Toss-up</v>
      </c>
      <c r="J181" t="str">
        <f>'AC Results'!W155</f>
        <v>TVK</v>
      </c>
      <c r="K181" s="11" t="s">
        <v>369</v>
      </c>
      <c r="L181" t="s">
        <v>24</v>
      </c>
      <c r="M181" t="str">
        <f t="shared" si="6"/>
        <v>No</v>
      </c>
      <c r="N181" t="str">
        <f t="shared" si="7"/>
        <v>No</v>
      </c>
      <c r="O181" t="str">
        <f t="shared" si="8"/>
        <v>Held</v>
      </c>
    </row>
    <row r="182" spans="1:15" x14ac:dyDescent="0.2">
      <c r="A182">
        <v>178</v>
      </c>
      <c r="B182" s="3" t="str">
        <f>'AC Results'!A119</f>
        <v>Gandarvakottai</v>
      </c>
      <c r="C182" t="str">
        <f>'AC Results'!Y119</f>
        <v>Pudukkottai</v>
      </c>
      <c r="D182" s="11" t="s">
        <v>396</v>
      </c>
      <c r="E182" t="s">
        <v>24</v>
      </c>
      <c r="F182">
        <f>'AC Results'!H119</f>
        <v>19</v>
      </c>
      <c r="G182" t="str">
        <f>'AC Results'!S119</f>
        <v>AIADMK+BJP+PMK+AMMK</v>
      </c>
      <c r="H182">
        <f>'AC Results'!U119</f>
        <v>10.5</v>
      </c>
      <c r="I182" t="str">
        <f>'AC Results'!V119</f>
        <v>Lean</v>
      </c>
      <c r="J182" t="str">
        <f>'AC Results'!W119</f>
        <v>AIADMK+BJP+PMK+AMMK</v>
      </c>
      <c r="K182" s="11" t="s">
        <v>10</v>
      </c>
      <c r="L182" t="s">
        <v>10</v>
      </c>
      <c r="M182" t="str">
        <f t="shared" si="6"/>
        <v>No</v>
      </c>
      <c r="N182" t="str">
        <f t="shared" si="7"/>
        <v>No</v>
      </c>
      <c r="O182" t="str">
        <f t="shared" si="8"/>
        <v>Changed</v>
      </c>
    </row>
    <row r="183" spans="1:15" x14ac:dyDescent="0.2">
      <c r="A183">
        <v>179</v>
      </c>
      <c r="B183" s="3" t="str">
        <f>'AC Results'!A122</f>
        <v>Viralimalai</v>
      </c>
      <c r="C183" t="str">
        <f>'AC Results'!Y122</f>
        <v>Pudukkottai</v>
      </c>
      <c r="D183" s="11" t="s">
        <v>390</v>
      </c>
      <c r="E183" t="s">
        <v>23</v>
      </c>
      <c r="F183">
        <f>'AC Results'!H122</f>
        <v>36</v>
      </c>
      <c r="G183" t="str">
        <f>'AC Results'!S122</f>
        <v>TVK</v>
      </c>
      <c r="H183">
        <f>'AC Results'!U122</f>
        <v>2.2000000000000002</v>
      </c>
      <c r="I183" t="str">
        <f>'AC Results'!V122</f>
        <v>Toss-up</v>
      </c>
      <c r="J183" t="str">
        <f>'AC Results'!W122</f>
        <v>TVK</v>
      </c>
      <c r="K183" s="11" t="s">
        <v>372</v>
      </c>
      <c r="L183" t="s">
        <v>23</v>
      </c>
      <c r="M183" t="str">
        <f t="shared" si="6"/>
        <v>No</v>
      </c>
      <c r="N183" t="str">
        <f t="shared" si="7"/>
        <v>No</v>
      </c>
      <c r="O183" t="str">
        <f t="shared" si="8"/>
        <v>Held</v>
      </c>
    </row>
    <row r="184" spans="1:15" x14ac:dyDescent="0.2">
      <c r="A184">
        <v>180</v>
      </c>
      <c r="B184" s="3" t="str">
        <f>'AC Results'!A120</f>
        <v>Pudukkottai</v>
      </c>
      <c r="C184" t="str">
        <f>'AC Results'!Y120</f>
        <v>Pudukkottai</v>
      </c>
      <c r="D184" s="11" t="s">
        <v>369</v>
      </c>
      <c r="E184" t="s">
        <v>24</v>
      </c>
      <c r="F184">
        <f>'AC Results'!H120</f>
        <v>47</v>
      </c>
      <c r="G184" t="str">
        <f>'AC Results'!S120</f>
        <v>TVK</v>
      </c>
      <c r="H184">
        <f>'AC Results'!U120</f>
        <v>41.6</v>
      </c>
      <c r="I184" t="str">
        <f>'AC Results'!V120</f>
        <v>Strong</v>
      </c>
      <c r="J184" t="str">
        <f>'AC Results'!W120</f>
        <v>TVK</v>
      </c>
      <c r="K184" s="11" t="s">
        <v>369</v>
      </c>
      <c r="L184" t="s">
        <v>24</v>
      </c>
      <c r="M184" t="str">
        <f t="shared" si="6"/>
        <v>No</v>
      </c>
      <c r="N184" t="str">
        <f t="shared" si="7"/>
        <v>No</v>
      </c>
      <c r="O184" t="str">
        <f t="shared" si="8"/>
        <v>Held</v>
      </c>
    </row>
    <row r="185" spans="1:15" x14ac:dyDescent="0.2">
      <c r="A185">
        <v>181</v>
      </c>
      <c r="B185" s="3" t="str">
        <f>'AC Results'!A121</f>
        <v>Thirumayam</v>
      </c>
      <c r="C185" t="str">
        <f>'AC Results'!Y121</f>
        <v>Pudukkottai</v>
      </c>
      <c r="D185" s="11" t="s">
        <v>369</v>
      </c>
      <c r="E185" t="s">
        <v>24</v>
      </c>
      <c r="F185">
        <f>'AC Results'!H121</f>
        <v>22</v>
      </c>
      <c r="G185" t="str">
        <f>'AC Results'!S121</f>
        <v>AIADMK+BJP+PMK+AMMK</v>
      </c>
      <c r="H185">
        <f>'AC Results'!U121</f>
        <v>5.2</v>
      </c>
      <c r="I185" t="str">
        <f>'AC Results'!V121</f>
        <v>Lean</v>
      </c>
      <c r="J185" t="str">
        <f>'AC Results'!W121</f>
        <v>Tie</v>
      </c>
      <c r="K185" s="11" t="s">
        <v>369</v>
      </c>
      <c r="L185" t="s">
        <v>24</v>
      </c>
      <c r="M185" t="str">
        <f t="shared" si="6"/>
        <v>No</v>
      </c>
      <c r="N185" t="str">
        <f t="shared" si="7"/>
        <v>No</v>
      </c>
      <c r="O185" t="str">
        <f t="shared" si="8"/>
        <v>Held</v>
      </c>
    </row>
    <row r="186" spans="1:15" x14ac:dyDescent="0.2">
      <c r="A186">
        <v>182</v>
      </c>
      <c r="B186" s="3" t="str">
        <f>'AC Results'!A117</f>
        <v>Alangudi</v>
      </c>
      <c r="C186" t="str">
        <f>'AC Results'!Y117</f>
        <v>Pudukkottai</v>
      </c>
      <c r="D186" s="11" t="s">
        <v>369</v>
      </c>
      <c r="E186" t="s">
        <v>24</v>
      </c>
      <c r="F186">
        <f>'AC Results'!H117</f>
        <v>32</v>
      </c>
      <c r="G186" t="str">
        <f>'AC Results'!S117</f>
        <v>DMK+INC+VCK</v>
      </c>
      <c r="H186">
        <f>'AC Results'!U117</f>
        <v>2.6</v>
      </c>
      <c r="I186" t="str">
        <f>'AC Results'!V117</f>
        <v>Toss-up</v>
      </c>
      <c r="J186" t="str">
        <f>'AC Results'!W117</f>
        <v>TVK</v>
      </c>
      <c r="K186" s="11" t="s">
        <v>369</v>
      </c>
      <c r="L186" t="s">
        <v>24</v>
      </c>
      <c r="M186" t="str">
        <f t="shared" si="6"/>
        <v>Yes</v>
      </c>
      <c r="N186" t="str">
        <f t="shared" si="7"/>
        <v>No</v>
      </c>
      <c r="O186" t="str">
        <f t="shared" si="8"/>
        <v>Held</v>
      </c>
    </row>
    <row r="187" spans="1:15" x14ac:dyDescent="0.2">
      <c r="A187">
        <v>183</v>
      </c>
      <c r="B187" s="3" t="str">
        <f>'AC Results'!A118</f>
        <v>Aranthangi</v>
      </c>
      <c r="C187" t="str">
        <f>'AC Results'!Y118</f>
        <v>Pudukkottai</v>
      </c>
      <c r="D187" s="11" t="s">
        <v>371</v>
      </c>
      <c r="E187" t="s">
        <v>24</v>
      </c>
      <c r="F187">
        <f>'AC Results'!H118</f>
        <v>25</v>
      </c>
      <c r="G187" t="str">
        <f>'AC Results'!S118</f>
        <v>TVK</v>
      </c>
      <c r="H187">
        <f>'AC Results'!U118</f>
        <v>15.1</v>
      </c>
      <c r="I187" t="str">
        <f>'AC Results'!V118</f>
        <v>Lean</v>
      </c>
      <c r="J187" t="str">
        <f>'AC Results'!W118</f>
        <v>TVK</v>
      </c>
      <c r="K187" s="11" t="s">
        <v>10</v>
      </c>
      <c r="L187" t="s">
        <v>10</v>
      </c>
      <c r="M187" t="str">
        <f t="shared" si="6"/>
        <v>Yes</v>
      </c>
      <c r="N187" t="str">
        <f t="shared" si="7"/>
        <v>Yes</v>
      </c>
      <c r="O187" t="str">
        <f t="shared" si="8"/>
        <v>Changed</v>
      </c>
    </row>
    <row r="188" spans="1:15" x14ac:dyDescent="0.2">
      <c r="A188">
        <v>184</v>
      </c>
      <c r="B188" s="3" t="str">
        <f>'AC Results'!A142</f>
        <v>Karaikudi</v>
      </c>
      <c r="C188" t="str">
        <f>'AC Results'!Y142</f>
        <v>Sivaganga</v>
      </c>
      <c r="D188" s="11" t="s">
        <v>371</v>
      </c>
      <c r="E188" t="s">
        <v>24</v>
      </c>
      <c r="F188">
        <f>'AC Results'!H142</f>
        <v>51</v>
      </c>
      <c r="G188" t="str">
        <f>'AC Results'!S142</f>
        <v>TVK</v>
      </c>
      <c r="H188">
        <f>'AC Results'!U142</f>
        <v>14.6</v>
      </c>
      <c r="I188" t="str">
        <f>'AC Results'!V142</f>
        <v>Strong</v>
      </c>
      <c r="J188" t="str">
        <f>'AC Results'!W142</f>
        <v>TVK</v>
      </c>
      <c r="K188" s="11" t="s">
        <v>10</v>
      </c>
      <c r="L188" t="s">
        <v>10</v>
      </c>
      <c r="M188" t="str">
        <f t="shared" si="6"/>
        <v>Yes</v>
      </c>
      <c r="N188" t="str">
        <f t="shared" si="7"/>
        <v>Yes</v>
      </c>
      <c r="O188" t="str">
        <f t="shared" si="8"/>
        <v>Changed</v>
      </c>
    </row>
    <row r="189" spans="1:15" x14ac:dyDescent="0.2">
      <c r="A189">
        <v>185</v>
      </c>
      <c r="B189" s="3" t="str">
        <f>'AC Results'!A145</f>
        <v>Tiruppattur</v>
      </c>
      <c r="C189" t="str">
        <f>'AC Results'!Y145</f>
        <v>Sivaganga</v>
      </c>
      <c r="D189" s="11" t="s">
        <v>369</v>
      </c>
      <c r="E189" t="s">
        <v>24</v>
      </c>
      <c r="F189">
        <f>'AC Results'!H145</f>
        <v>14</v>
      </c>
      <c r="G189" t="str">
        <f>'AC Results'!S145</f>
        <v>TVK</v>
      </c>
      <c r="H189">
        <f>'AC Results'!U145</f>
        <v>10.7</v>
      </c>
      <c r="I189" t="str">
        <f>'AC Results'!V145</f>
        <v>Lean</v>
      </c>
      <c r="J189" t="str">
        <f>'AC Results'!W145</f>
        <v>TVK</v>
      </c>
      <c r="K189" s="11" t="s">
        <v>10</v>
      </c>
      <c r="L189" t="s">
        <v>10</v>
      </c>
      <c r="M189" t="str">
        <f t="shared" si="6"/>
        <v>Yes</v>
      </c>
      <c r="N189" t="str">
        <f t="shared" si="7"/>
        <v>Yes</v>
      </c>
      <c r="O189" t="str">
        <f t="shared" si="8"/>
        <v>Changed</v>
      </c>
    </row>
    <row r="190" spans="1:15" x14ac:dyDescent="0.2">
      <c r="A190">
        <v>186</v>
      </c>
      <c r="B190" s="3" t="str">
        <f>'AC Results'!A144</f>
        <v>Sivaganga</v>
      </c>
      <c r="C190" t="str">
        <f>'AC Results'!Y144</f>
        <v>Sivaganga</v>
      </c>
      <c r="D190" s="11" t="s">
        <v>390</v>
      </c>
      <c r="E190" t="s">
        <v>23</v>
      </c>
      <c r="F190">
        <f>'AC Results'!H144</f>
        <v>40</v>
      </c>
      <c r="G190" t="str">
        <f>'AC Results'!S144</f>
        <v>TVK</v>
      </c>
      <c r="H190">
        <f>'AC Results'!U144</f>
        <v>7.3</v>
      </c>
      <c r="I190" t="str">
        <f>'AC Results'!V144</f>
        <v>Lean</v>
      </c>
      <c r="J190" t="str">
        <f>'AC Results'!W144</f>
        <v>TVK</v>
      </c>
      <c r="K190" s="11" t="s">
        <v>10</v>
      </c>
      <c r="L190" t="s">
        <v>10</v>
      </c>
      <c r="M190" t="str">
        <f t="shared" si="6"/>
        <v>Yes</v>
      </c>
      <c r="N190" t="str">
        <f t="shared" si="7"/>
        <v>Yes</v>
      </c>
      <c r="O190" t="str">
        <f t="shared" si="8"/>
        <v>Changed</v>
      </c>
    </row>
    <row r="191" spans="1:15" x14ac:dyDescent="0.2">
      <c r="A191">
        <v>187</v>
      </c>
      <c r="B191" s="3" t="str">
        <f>'AC Results'!A143</f>
        <v>Manamadurai</v>
      </c>
      <c r="C191" t="str">
        <f>'AC Results'!Y143</f>
        <v>Sivaganga</v>
      </c>
      <c r="D191" s="11" t="s">
        <v>369</v>
      </c>
      <c r="E191" t="s">
        <v>24</v>
      </c>
      <c r="F191">
        <f>'AC Results'!H143</f>
        <v>28</v>
      </c>
      <c r="G191" t="str">
        <f>'AC Results'!S143</f>
        <v>TVK</v>
      </c>
      <c r="H191">
        <f>'AC Results'!U143</f>
        <v>1.9</v>
      </c>
      <c r="I191" t="str">
        <f>'AC Results'!V143</f>
        <v>Toss-up</v>
      </c>
      <c r="J191" t="str">
        <f>'AC Results'!W143</f>
        <v>TVK</v>
      </c>
      <c r="K191" s="11" t="s">
        <v>10</v>
      </c>
      <c r="L191" t="s">
        <v>10</v>
      </c>
      <c r="M191" t="str">
        <f t="shared" si="6"/>
        <v>Yes</v>
      </c>
      <c r="N191" t="str">
        <f t="shared" si="7"/>
        <v>Yes</v>
      </c>
      <c r="O191" t="str">
        <f t="shared" si="8"/>
        <v>Changed</v>
      </c>
    </row>
    <row r="192" spans="1:15" x14ac:dyDescent="0.2">
      <c r="A192">
        <v>188</v>
      </c>
      <c r="B192" s="3" t="str">
        <f>'AC Results'!A98</f>
        <v>Melur</v>
      </c>
      <c r="C192" t="str">
        <f>'AC Results'!Y98</f>
        <v>Madurai</v>
      </c>
      <c r="D192" s="11" t="s">
        <v>390</v>
      </c>
      <c r="E192" t="s">
        <v>23</v>
      </c>
      <c r="F192">
        <f>'AC Results'!H98</f>
        <v>17</v>
      </c>
      <c r="G192" t="str">
        <f>'AC Results'!S98</f>
        <v>DMK+INC+VCK</v>
      </c>
      <c r="H192">
        <f>'AC Results'!U98</f>
        <v>17.100000000000001</v>
      </c>
      <c r="I192" t="str">
        <f>'AC Results'!V98</f>
        <v>Lean</v>
      </c>
      <c r="J192" t="str">
        <f>'AC Results'!W98</f>
        <v>DMK+INC+VCK</v>
      </c>
      <c r="K192" s="11" t="s">
        <v>371</v>
      </c>
      <c r="L192" t="s">
        <v>24</v>
      </c>
      <c r="M192" t="str">
        <f t="shared" si="6"/>
        <v>Yes</v>
      </c>
      <c r="N192" t="str">
        <f t="shared" si="7"/>
        <v>Yes</v>
      </c>
      <c r="O192" t="str">
        <f t="shared" si="8"/>
        <v>Changed</v>
      </c>
    </row>
    <row r="193" spans="1:15" x14ac:dyDescent="0.2">
      <c r="A193">
        <v>189</v>
      </c>
      <c r="B193" s="3" t="str">
        <f>'AC Results'!A94</f>
        <v>Madurai East</v>
      </c>
      <c r="C193" t="str">
        <f>'AC Results'!Y94</f>
        <v>Madurai</v>
      </c>
      <c r="D193" s="11" t="s">
        <v>369</v>
      </c>
      <c r="E193" t="s">
        <v>24</v>
      </c>
      <c r="F193">
        <f>'AC Results'!H94</f>
        <v>74</v>
      </c>
      <c r="G193" t="str">
        <f>'AC Results'!S94</f>
        <v>DMK+INC+VCK</v>
      </c>
      <c r="H193">
        <f>'AC Results'!U94</f>
        <v>2.1</v>
      </c>
      <c r="I193" t="str">
        <f>'AC Results'!V94</f>
        <v>Toss-up</v>
      </c>
      <c r="J193" t="str">
        <f>'AC Results'!W94</f>
        <v>TVK</v>
      </c>
      <c r="K193" s="11" t="s">
        <v>10</v>
      </c>
      <c r="L193" t="s">
        <v>10</v>
      </c>
      <c r="M193" t="str">
        <f t="shared" si="6"/>
        <v>No</v>
      </c>
      <c r="N193" t="str">
        <f t="shared" si="7"/>
        <v>Yes</v>
      </c>
      <c r="O193" t="str">
        <f t="shared" si="8"/>
        <v>Changed</v>
      </c>
    </row>
    <row r="194" spans="1:15" x14ac:dyDescent="0.2">
      <c r="A194">
        <v>190</v>
      </c>
      <c r="B194" s="3" t="str">
        <f>'AC Results'!A99</f>
        <v>Sholavandan</v>
      </c>
      <c r="C194" t="str">
        <f>'AC Results'!Y99</f>
        <v>Madurai</v>
      </c>
      <c r="D194" s="11" t="s">
        <v>369</v>
      </c>
      <c r="E194" t="s">
        <v>24</v>
      </c>
      <c r="F194">
        <f>'AC Results'!H99</f>
        <v>37</v>
      </c>
      <c r="G194" t="str">
        <f>'AC Results'!S99</f>
        <v>AIADMK+BJP+PMK+AMMK</v>
      </c>
      <c r="H194">
        <f>'AC Results'!U99</f>
        <v>2.5</v>
      </c>
      <c r="I194" t="str">
        <f>'AC Results'!V99</f>
        <v>Toss-up</v>
      </c>
      <c r="J194" t="str">
        <f>'AC Results'!W99</f>
        <v>TVK</v>
      </c>
      <c r="K194" s="11" t="s">
        <v>10</v>
      </c>
      <c r="L194" t="s">
        <v>10</v>
      </c>
      <c r="M194" t="str">
        <f t="shared" si="6"/>
        <v>No</v>
      </c>
      <c r="N194" t="str">
        <f t="shared" si="7"/>
        <v>Yes</v>
      </c>
      <c r="O194" t="str">
        <f t="shared" si="8"/>
        <v>Changed</v>
      </c>
    </row>
    <row r="195" spans="1:15" x14ac:dyDescent="0.2">
      <c r="A195">
        <v>191</v>
      </c>
      <c r="B195" s="3" t="str">
        <f>'AC Results'!A95</f>
        <v>Madurai North</v>
      </c>
      <c r="C195" t="str">
        <f>'AC Results'!Y95</f>
        <v>Madurai</v>
      </c>
      <c r="D195" s="11" t="s">
        <v>369</v>
      </c>
      <c r="E195" t="s">
        <v>24</v>
      </c>
      <c r="F195">
        <f>'AC Results'!H95</f>
        <v>75</v>
      </c>
      <c r="G195" t="str">
        <f>'AC Results'!S95</f>
        <v>TVK</v>
      </c>
      <c r="H195">
        <f>'AC Results'!U95</f>
        <v>9.8000000000000007</v>
      </c>
      <c r="I195" t="str">
        <f>'AC Results'!V95</f>
        <v>Lean</v>
      </c>
      <c r="J195" t="str">
        <f>'AC Results'!W95</f>
        <v>TVK</v>
      </c>
      <c r="K195" s="11" t="s">
        <v>10</v>
      </c>
      <c r="L195" t="s">
        <v>10</v>
      </c>
      <c r="M195" t="str">
        <f t="shared" si="6"/>
        <v>Yes</v>
      </c>
      <c r="N195" t="str">
        <f t="shared" si="7"/>
        <v>Yes</v>
      </c>
      <c r="O195" t="str">
        <f t="shared" si="8"/>
        <v>Changed</v>
      </c>
    </row>
    <row r="196" spans="1:15" x14ac:dyDescent="0.2">
      <c r="A196">
        <v>192</v>
      </c>
      <c r="B196" s="3" t="str">
        <f>'AC Results'!A96</f>
        <v>Madurai South</v>
      </c>
      <c r="C196" t="str">
        <f>'AC Results'!Y96</f>
        <v>Madurai</v>
      </c>
      <c r="D196" s="11" t="s">
        <v>369</v>
      </c>
      <c r="E196" t="s">
        <v>24</v>
      </c>
      <c r="F196">
        <f>'AC Results'!H96</f>
        <v>79</v>
      </c>
      <c r="G196" t="str">
        <f>'AC Results'!S96</f>
        <v>AIADMK+BJP+PMK+AMMK</v>
      </c>
      <c r="H196">
        <f>'AC Results'!U96</f>
        <v>10.3</v>
      </c>
      <c r="I196" t="str">
        <f>'AC Results'!V96</f>
        <v>Strong</v>
      </c>
      <c r="J196" t="str">
        <f>'AC Results'!W96</f>
        <v>AIADMK+BJP+PMK+AMMK</v>
      </c>
      <c r="K196" s="11" t="s">
        <v>10</v>
      </c>
      <c r="L196" t="s">
        <v>10</v>
      </c>
      <c r="M196" t="str">
        <f t="shared" si="6"/>
        <v>No</v>
      </c>
      <c r="N196" t="str">
        <f t="shared" si="7"/>
        <v>No</v>
      </c>
      <c r="O196" t="str">
        <f t="shared" si="8"/>
        <v>Changed</v>
      </c>
    </row>
    <row r="197" spans="1:15" x14ac:dyDescent="0.2">
      <c r="A197">
        <v>193</v>
      </c>
      <c r="B197" s="3" t="str">
        <f>'AC Results'!A93</f>
        <v>Madurai Central</v>
      </c>
      <c r="C197" t="str">
        <f>'AC Results'!Y93</f>
        <v>Madurai</v>
      </c>
      <c r="D197" s="11" t="s">
        <v>369</v>
      </c>
      <c r="E197" t="s">
        <v>24</v>
      </c>
      <c r="F197">
        <f>'AC Results'!H93</f>
        <v>44</v>
      </c>
      <c r="G197" t="str">
        <f>'AC Results'!S93</f>
        <v>DMK+INC+VCK</v>
      </c>
      <c r="H197">
        <f>'AC Results'!U93</f>
        <v>15.1</v>
      </c>
      <c r="I197" t="str">
        <f>'AC Results'!V93</f>
        <v>Strong</v>
      </c>
      <c r="J197" t="str">
        <f>'AC Results'!W93</f>
        <v>DMK+INC+VCK</v>
      </c>
      <c r="K197" s="11" t="s">
        <v>10</v>
      </c>
      <c r="L197" t="s">
        <v>10</v>
      </c>
      <c r="M197" t="str">
        <f t="shared" ref="M197:M260" si="9">IF(G197=L197,"Yes","No")</f>
        <v>No</v>
      </c>
      <c r="N197" t="str">
        <f t="shared" ref="N197:N238" si="10">IF(J197=L197,"Yes","No")</f>
        <v>No</v>
      </c>
      <c r="O197" t="str">
        <f t="shared" ref="O197:O238" si="11">IF(E197&lt;&gt;L197,"Changed","Held")</f>
        <v>Changed</v>
      </c>
    </row>
    <row r="198" spans="1:15" x14ac:dyDescent="0.2">
      <c r="A198">
        <v>194</v>
      </c>
      <c r="B198" s="3" t="str">
        <f>'AC Results'!A97</f>
        <v>Madurai West</v>
      </c>
      <c r="C198" t="str">
        <f>'AC Results'!Y97</f>
        <v>Madurai</v>
      </c>
      <c r="D198" s="11" t="s">
        <v>390</v>
      </c>
      <c r="E198" t="s">
        <v>23</v>
      </c>
      <c r="F198">
        <f>'AC Results'!H97</f>
        <v>39</v>
      </c>
      <c r="G198" t="str">
        <f>'AC Results'!S97</f>
        <v>DMK+INC+VCK</v>
      </c>
      <c r="H198">
        <f>'AC Results'!U97</f>
        <v>16.600000000000001</v>
      </c>
      <c r="I198" t="str">
        <f>'AC Results'!V97</f>
        <v>Strong</v>
      </c>
      <c r="J198" t="str">
        <f>'AC Results'!W97</f>
        <v>DMK+INC+VCK</v>
      </c>
      <c r="K198" s="11" t="s">
        <v>10</v>
      </c>
      <c r="L198" t="s">
        <v>10</v>
      </c>
      <c r="M198" t="str">
        <f t="shared" si="9"/>
        <v>No</v>
      </c>
      <c r="N198" t="str">
        <f t="shared" si="10"/>
        <v>No</v>
      </c>
      <c r="O198" t="str">
        <f t="shared" si="11"/>
        <v>Changed</v>
      </c>
    </row>
    <row r="199" spans="1:15" x14ac:dyDescent="0.2">
      <c r="A199">
        <v>195</v>
      </c>
      <c r="B199" s="3" t="str">
        <f>'AC Results'!A101</f>
        <v>Thiruparankundram</v>
      </c>
      <c r="C199" t="str">
        <f>'AC Results'!Y101</f>
        <v>Madurai</v>
      </c>
      <c r="D199" s="11" t="s">
        <v>390</v>
      </c>
      <c r="E199" t="s">
        <v>23</v>
      </c>
      <c r="F199">
        <f>'AC Results'!H101</f>
        <v>61</v>
      </c>
      <c r="G199" t="str">
        <f>'AC Results'!S101</f>
        <v>TVK</v>
      </c>
      <c r="H199">
        <f>'AC Results'!U101</f>
        <v>12.4</v>
      </c>
      <c r="I199" t="str">
        <f>'AC Results'!V101</f>
        <v>Strong</v>
      </c>
      <c r="J199" t="str">
        <f>'AC Results'!W101</f>
        <v>TVK</v>
      </c>
      <c r="K199" s="11" t="s">
        <v>10</v>
      </c>
      <c r="L199" t="s">
        <v>10</v>
      </c>
      <c r="M199" t="str">
        <f t="shared" si="9"/>
        <v>Yes</v>
      </c>
      <c r="N199" t="str">
        <f t="shared" si="10"/>
        <v>Yes</v>
      </c>
      <c r="O199" t="str">
        <f t="shared" si="11"/>
        <v>Changed</v>
      </c>
    </row>
    <row r="200" spans="1:15" x14ac:dyDescent="0.2">
      <c r="A200">
        <v>196</v>
      </c>
      <c r="B200" s="3" t="str">
        <f>'AC Results'!A100</f>
        <v>Thirumangalam</v>
      </c>
      <c r="C200" t="str">
        <f>'AC Results'!Y100</f>
        <v>Madurai</v>
      </c>
      <c r="D200" s="11" t="s">
        <v>390</v>
      </c>
      <c r="E200" t="s">
        <v>23</v>
      </c>
      <c r="F200">
        <f>'AC Results'!H100</f>
        <v>35</v>
      </c>
      <c r="G200" t="str">
        <f>'AC Results'!S100</f>
        <v>TVK</v>
      </c>
      <c r="H200">
        <f>'AC Results'!U100</f>
        <v>11.1</v>
      </c>
      <c r="I200" t="str">
        <f>'AC Results'!V100</f>
        <v>Strong</v>
      </c>
      <c r="J200" t="str">
        <f>'AC Results'!W100</f>
        <v>TVK</v>
      </c>
      <c r="K200" s="11" t="s">
        <v>369</v>
      </c>
      <c r="L200" t="s">
        <v>24</v>
      </c>
      <c r="M200" t="str">
        <f t="shared" si="9"/>
        <v>No</v>
      </c>
      <c r="N200" t="str">
        <f t="shared" si="10"/>
        <v>No</v>
      </c>
      <c r="O200" t="str">
        <f t="shared" si="11"/>
        <v>Changed</v>
      </c>
    </row>
    <row r="201" spans="1:15" x14ac:dyDescent="0.2">
      <c r="A201">
        <v>197</v>
      </c>
      <c r="B201" s="3" t="str">
        <f>'AC Results'!A102</f>
        <v>Usilampatti</v>
      </c>
      <c r="C201" t="str">
        <f>'AC Results'!Y102</f>
        <v>Madurai</v>
      </c>
      <c r="D201" s="11" t="s">
        <v>390</v>
      </c>
      <c r="E201" t="s">
        <v>23</v>
      </c>
      <c r="F201">
        <f>'AC Results'!H102</f>
        <v>37</v>
      </c>
      <c r="G201" t="str">
        <f>'AC Results'!S102</f>
        <v>NTK</v>
      </c>
      <c r="H201">
        <f>'AC Results'!U102</f>
        <v>1.1000000000000001</v>
      </c>
      <c r="I201" t="str">
        <f>'AC Results'!V102</f>
        <v>Toss-up</v>
      </c>
      <c r="J201" t="str">
        <f>'AC Results'!W102</f>
        <v>NTK</v>
      </c>
      <c r="K201" s="11" t="s">
        <v>10</v>
      </c>
      <c r="L201" t="s">
        <v>10</v>
      </c>
      <c r="M201" t="str">
        <f t="shared" si="9"/>
        <v>No</v>
      </c>
      <c r="N201" t="str">
        <f t="shared" si="10"/>
        <v>No</v>
      </c>
      <c r="O201" t="str">
        <f t="shared" si="11"/>
        <v>Changed</v>
      </c>
    </row>
    <row r="202" spans="1:15" x14ac:dyDescent="0.2">
      <c r="A202">
        <v>198</v>
      </c>
      <c r="B202" s="3" t="str">
        <f>'AC Results'!A162</f>
        <v>Andipatti</v>
      </c>
      <c r="C202" t="str">
        <f>'AC Results'!Y162</f>
        <v>Theni</v>
      </c>
      <c r="D202" s="11" t="s">
        <v>369</v>
      </c>
      <c r="E202" t="s">
        <v>24</v>
      </c>
      <c r="F202">
        <f>'AC Results'!H162</f>
        <v>31</v>
      </c>
      <c r="G202" t="str">
        <f>'AC Results'!S162</f>
        <v>DMK+INC+VCK</v>
      </c>
      <c r="H202">
        <f>'AC Results'!U162</f>
        <v>18.600000000000001</v>
      </c>
      <c r="I202" t="str">
        <f>'AC Results'!V162</f>
        <v>Strong</v>
      </c>
      <c r="J202" t="str">
        <f>'AC Results'!W162</f>
        <v>DMK+INC+VCK</v>
      </c>
      <c r="K202" s="11" t="s">
        <v>369</v>
      </c>
      <c r="L202" t="s">
        <v>24</v>
      </c>
      <c r="M202" t="str">
        <f t="shared" si="9"/>
        <v>Yes</v>
      </c>
      <c r="N202" t="str">
        <f t="shared" si="10"/>
        <v>Yes</v>
      </c>
      <c r="O202" t="str">
        <f t="shared" si="11"/>
        <v>Held</v>
      </c>
    </row>
    <row r="203" spans="1:15" x14ac:dyDescent="0.2">
      <c r="A203">
        <v>199</v>
      </c>
      <c r="B203" s="3" t="str">
        <f>'AC Results'!A165</f>
        <v>Periyakulam</v>
      </c>
      <c r="C203" t="str">
        <f>'AC Results'!Y165</f>
        <v>Theni</v>
      </c>
      <c r="D203" s="11" t="s">
        <v>369</v>
      </c>
      <c r="E203" t="s">
        <v>24</v>
      </c>
      <c r="F203">
        <f>'AC Results'!H165</f>
        <v>49</v>
      </c>
      <c r="G203" t="str">
        <f>'AC Results'!S165</f>
        <v>DMK+INC+VCK</v>
      </c>
      <c r="H203">
        <f>'AC Results'!U165</f>
        <v>2.8</v>
      </c>
      <c r="I203" t="str">
        <f>'AC Results'!V165</f>
        <v>Toss-up</v>
      </c>
      <c r="J203" t="str">
        <f>'AC Results'!W165</f>
        <v>TVK</v>
      </c>
      <c r="K203" s="11" t="s">
        <v>10</v>
      </c>
      <c r="L203" t="s">
        <v>10</v>
      </c>
      <c r="M203" t="str">
        <f t="shared" si="9"/>
        <v>No</v>
      </c>
      <c r="N203" t="str">
        <f t="shared" si="10"/>
        <v>Yes</v>
      </c>
      <c r="O203" t="str">
        <f t="shared" si="11"/>
        <v>Changed</v>
      </c>
    </row>
    <row r="204" spans="1:15" x14ac:dyDescent="0.2">
      <c r="A204">
        <v>200</v>
      </c>
      <c r="B204" s="3" t="str">
        <f>'AC Results'!A163</f>
        <v>Bodinayakanur</v>
      </c>
      <c r="C204" t="str">
        <f>'AC Results'!Y163</f>
        <v>Theni</v>
      </c>
      <c r="D204" s="11" t="s">
        <v>390</v>
      </c>
      <c r="E204" t="s">
        <v>23</v>
      </c>
      <c r="F204">
        <f>'AC Results'!H163</f>
        <v>60</v>
      </c>
      <c r="G204" t="str">
        <f>'AC Results'!S163</f>
        <v>TVK</v>
      </c>
      <c r="H204">
        <f>'AC Results'!U163</f>
        <v>6.1</v>
      </c>
      <c r="I204" t="str">
        <f>'AC Results'!V163</f>
        <v>Lean</v>
      </c>
      <c r="J204" t="str">
        <f>'AC Results'!W163</f>
        <v>TVK</v>
      </c>
      <c r="K204" s="11" t="s">
        <v>369</v>
      </c>
      <c r="L204" t="s">
        <v>24</v>
      </c>
      <c r="M204" t="str">
        <f t="shared" si="9"/>
        <v>No</v>
      </c>
      <c r="N204" t="str">
        <f t="shared" si="10"/>
        <v>No</v>
      </c>
      <c r="O204" t="str">
        <f t="shared" si="11"/>
        <v>Changed</v>
      </c>
    </row>
    <row r="205" spans="1:15" x14ac:dyDescent="0.2">
      <c r="A205">
        <v>201</v>
      </c>
      <c r="B205" s="3" t="str">
        <f>'AC Results'!A164</f>
        <v>Cumbum</v>
      </c>
      <c r="C205" t="str">
        <f>'AC Results'!Y164</f>
        <v>Theni</v>
      </c>
      <c r="D205" s="11" t="s">
        <v>369</v>
      </c>
      <c r="E205" t="s">
        <v>24</v>
      </c>
      <c r="F205">
        <f>'AC Results'!H164</f>
        <v>41</v>
      </c>
      <c r="G205" t="str">
        <f>'AC Results'!S164</f>
        <v>AIADMK+BJP+PMK+AMMK</v>
      </c>
      <c r="H205">
        <f>'AC Results'!U164</f>
        <v>5.2</v>
      </c>
      <c r="I205" t="str">
        <f>'AC Results'!V164</f>
        <v>Lean</v>
      </c>
      <c r="J205" t="str">
        <f>'AC Results'!W164</f>
        <v>Tie</v>
      </c>
      <c r="K205" s="11" t="s">
        <v>10</v>
      </c>
      <c r="L205" t="s">
        <v>10</v>
      </c>
      <c r="M205" t="str">
        <f t="shared" si="9"/>
        <v>No</v>
      </c>
      <c r="N205" t="str">
        <f t="shared" si="10"/>
        <v>No</v>
      </c>
      <c r="O205" t="str">
        <f t="shared" si="11"/>
        <v>Changed</v>
      </c>
    </row>
    <row r="206" spans="1:15" x14ac:dyDescent="0.2">
      <c r="A206">
        <v>202</v>
      </c>
      <c r="B206" s="3" t="str">
        <f>'AC Results'!A233</f>
        <v>Rajapalayam</v>
      </c>
      <c r="C206" t="str">
        <f>'AC Results'!Y233</f>
        <v>Virudhunagar</v>
      </c>
      <c r="D206" s="11" t="s">
        <v>369</v>
      </c>
      <c r="E206" t="s">
        <v>24</v>
      </c>
      <c r="F206">
        <f>'AC Results'!H233</f>
        <v>59</v>
      </c>
      <c r="G206" t="str">
        <f>'AC Results'!S233</f>
        <v>TVK</v>
      </c>
      <c r="H206">
        <f>'AC Results'!U233</f>
        <v>8.4</v>
      </c>
      <c r="I206" t="str">
        <f>'AC Results'!V233</f>
        <v>Lean</v>
      </c>
      <c r="J206" t="str">
        <f>'AC Results'!W233</f>
        <v>TVK</v>
      </c>
      <c r="K206" s="11" t="s">
        <v>10</v>
      </c>
      <c r="L206" t="s">
        <v>10</v>
      </c>
      <c r="M206" t="str">
        <f t="shared" si="9"/>
        <v>Yes</v>
      </c>
      <c r="N206" t="str">
        <f t="shared" si="10"/>
        <v>Yes</v>
      </c>
      <c r="O206" t="str">
        <f t="shared" si="11"/>
        <v>Changed</v>
      </c>
    </row>
    <row r="207" spans="1:15" x14ac:dyDescent="0.2">
      <c r="A207">
        <v>203</v>
      </c>
      <c r="B207" s="3" t="str">
        <f>'AC Results'!A236</f>
        <v>Srivilliputhur</v>
      </c>
      <c r="C207" t="str">
        <f>'AC Results'!Y236</f>
        <v>Virudhunagar</v>
      </c>
      <c r="D207" s="11" t="s">
        <v>390</v>
      </c>
      <c r="E207" t="s">
        <v>23</v>
      </c>
      <c r="F207">
        <f>'AC Results'!H236</f>
        <v>40</v>
      </c>
      <c r="G207" t="str">
        <f>'AC Results'!S236</f>
        <v>TVK</v>
      </c>
      <c r="H207">
        <f>'AC Results'!U236</f>
        <v>1.1000000000000001</v>
      </c>
      <c r="I207" t="str">
        <f>'AC Results'!V236</f>
        <v>Toss-up</v>
      </c>
      <c r="J207" t="str">
        <f>'AC Results'!W236</f>
        <v>TVK</v>
      </c>
      <c r="K207" s="11" t="s">
        <v>10</v>
      </c>
      <c r="L207" t="s">
        <v>10</v>
      </c>
      <c r="M207" t="str">
        <f t="shared" si="9"/>
        <v>Yes</v>
      </c>
      <c r="N207" t="str">
        <f t="shared" si="10"/>
        <v>Yes</v>
      </c>
      <c r="O207" t="str">
        <f t="shared" si="11"/>
        <v>Changed</v>
      </c>
    </row>
    <row r="208" spans="1:15" x14ac:dyDescent="0.2">
      <c r="A208">
        <v>204</v>
      </c>
      <c r="B208" s="3" t="str">
        <f>'AC Results'!A234</f>
        <v>Sattur</v>
      </c>
      <c r="C208" t="str">
        <f>'AC Results'!Y234</f>
        <v>Virudhunagar</v>
      </c>
      <c r="D208" s="11" t="s">
        <v>369</v>
      </c>
      <c r="E208" t="s">
        <v>24</v>
      </c>
      <c r="F208">
        <f>'AC Results'!H234</f>
        <v>49</v>
      </c>
      <c r="G208" t="str">
        <f>'AC Results'!S234</f>
        <v>AIADMK+BJP+PMK+AMMK</v>
      </c>
      <c r="H208">
        <f>'AC Results'!U234</f>
        <v>19.5</v>
      </c>
      <c r="I208" t="str">
        <f>'AC Results'!V234</f>
        <v>Strong</v>
      </c>
      <c r="J208" t="str">
        <f>'AC Results'!W234</f>
        <v>AIADMK+BJP+PMK+AMMK</v>
      </c>
      <c r="K208" s="11" t="s">
        <v>369</v>
      </c>
      <c r="L208" t="s">
        <v>24</v>
      </c>
      <c r="M208" t="str">
        <f t="shared" si="9"/>
        <v>No</v>
      </c>
      <c r="N208" t="str">
        <f t="shared" si="10"/>
        <v>No</v>
      </c>
      <c r="O208" t="str">
        <f t="shared" si="11"/>
        <v>Held</v>
      </c>
    </row>
    <row r="209" spans="1:15" x14ac:dyDescent="0.2">
      <c r="A209">
        <v>205</v>
      </c>
      <c r="B209" s="3" t="str">
        <f>'AC Results'!A235</f>
        <v>Sivakasi</v>
      </c>
      <c r="C209" t="str">
        <f>'AC Results'!Y235</f>
        <v>Virudhunagar</v>
      </c>
      <c r="D209" s="11" t="s">
        <v>371</v>
      </c>
      <c r="E209" t="s">
        <v>24</v>
      </c>
      <c r="F209">
        <f>'AC Results'!H235</f>
        <v>73</v>
      </c>
      <c r="G209" t="str">
        <f>'AC Results'!S235</f>
        <v>TVK</v>
      </c>
      <c r="H209">
        <f>'AC Results'!U235</f>
        <v>7.1</v>
      </c>
      <c r="I209" t="str">
        <f>'AC Results'!V235</f>
        <v>Lean</v>
      </c>
      <c r="J209" t="str">
        <f>'AC Results'!W235</f>
        <v>TVK</v>
      </c>
      <c r="K209" s="11" t="s">
        <v>10</v>
      </c>
      <c r="L209" t="s">
        <v>10</v>
      </c>
      <c r="M209" t="str">
        <f t="shared" si="9"/>
        <v>Yes</v>
      </c>
      <c r="N209" t="str">
        <f t="shared" si="10"/>
        <v>Yes</v>
      </c>
      <c r="O209" t="str">
        <f t="shared" si="11"/>
        <v>Changed</v>
      </c>
    </row>
    <row r="210" spans="1:15" x14ac:dyDescent="0.2">
      <c r="A210">
        <v>206</v>
      </c>
      <c r="B210" s="3" t="str">
        <f>'AC Results'!A238</f>
        <v>Virudhunagar</v>
      </c>
      <c r="C210" t="str">
        <f>'AC Results'!Y238</f>
        <v>Virudhunagar</v>
      </c>
      <c r="D210" s="11" t="s">
        <v>369</v>
      </c>
      <c r="E210" t="s">
        <v>24</v>
      </c>
      <c r="F210">
        <f>'AC Results'!H238</f>
        <v>43</v>
      </c>
      <c r="G210" t="str">
        <f>'AC Results'!S238</f>
        <v>TVK</v>
      </c>
      <c r="H210">
        <f>'AC Results'!U238</f>
        <v>2.7</v>
      </c>
      <c r="I210" t="str">
        <f>'AC Results'!V238</f>
        <v>Toss-up</v>
      </c>
      <c r="J210" t="str">
        <f>'AC Results'!W238</f>
        <v>TVK</v>
      </c>
      <c r="K210" s="11" t="s">
        <v>10</v>
      </c>
      <c r="L210" t="s">
        <v>10</v>
      </c>
      <c r="M210" t="str">
        <f t="shared" si="9"/>
        <v>Yes</v>
      </c>
      <c r="N210" t="str">
        <f t="shared" si="10"/>
        <v>Yes</v>
      </c>
      <c r="O210" t="str">
        <f t="shared" si="11"/>
        <v>Changed</v>
      </c>
    </row>
    <row r="211" spans="1:15" x14ac:dyDescent="0.2">
      <c r="A211">
        <v>207</v>
      </c>
      <c r="B211" s="3" t="str">
        <f>'AC Results'!A232</f>
        <v>Aruppukkottai</v>
      </c>
      <c r="C211" t="str">
        <f>'AC Results'!Y232</f>
        <v>Virudhunagar</v>
      </c>
      <c r="D211" s="11" t="s">
        <v>369</v>
      </c>
      <c r="E211" t="s">
        <v>24</v>
      </c>
      <c r="F211">
        <f>'AC Results'!H232</f>
        <v>27</v>
      </c>
      <c r="G211" t="str">
        <f>'AC Results'!S232</f>
        <v>TVK</v>
      </c>
      <c r="H211">
        <f>'AC Results'!U232</f>
        <v>9.6</v>
      </c>
      <c r="I211" t="str">
        <f>'AC Results'!V232</f>
        <v>Lean</v>
      </c>
      <c r="J211" t="str">
        <f>'AC Results'!W232</f>
        <v>TVK</v>
      </c>
      <c r="K211" s="11" t="s">
        <v>369</v>
      </c>
      <c r="L211" t="s">
        <v>24</v>
      </c>
      <c r="M211" t="str">
        <f t="shared" si="9"/>
        <v>No</v>
      </c>
      <c r="N211" t="str">
        <f t="shared" si="10"/>
        <v>No</v>
      </c>
      <c r="O211" t="str">
        <f t="shared" si="11"/>
        <v>Held</v>
      </c>
    </row>
    <row r="212" spans="1:15" x14ac:dyDescent="0.2">
      <c r="A212">
        <v>208</v>
      </c>
      <c r="B212" s="3" t="str">
        <f>'AC Results'!A237</f>
        <v>Tiruchuli</v>
      </c>
      <c r="C212" t="str">
        <f>'AC Results'!Y237</f>
        <v>Virudhunagar</v>
      </c>
      <c r="D212" s="11" t="s">
        <v>369</v>
      </c>
      <c r="E212" t="s">
        <v>24</v>
      </c>
      <c r="F212">
        <f>'AC Results'!H237</f>
        <v>20</v>
      </c>
      <c r="G212" t="str">
        <f>'AC Results'!S237</f>
        <v>TVK</v>
      </c>
      <c r="H212">
        <f>'AC Results'!U237</f>
        <v>24.8</v>
      </c>
      <c r="I212" t="str">
        <f>'AC Results'!V237</f>
        <v>Lean</v>
      </c>
      <c r="J212" t="str">
        <f>'AC Results'!W237</f>
        <v>TVK</v>
      </c>
      <c r="K212" s="11" t="s">
        <v>369</v>
      </c>
      <c r="L212" t="s">
        <v>24</v>
      </c>
      <c r="M212" t="str">
        <f t="shared" si="9"/>
        <v>No</v>
      </c>
      <c r="N212" t="str">
        <f t="shared" si="10"/>
        <v>No</v>
      </c>
      <c r="O212" t="str">
        <f t="shared" si="11"/>
        <v>Held</v>
      </c>
    </row>
    <row r="213" spans="1:15" x14ac:dyDescent="0.2">
      <c r="A213">
        <v>209</v>
      </c>
      <c r="B213" s="3" t="str">
        <f>'AC Results'!A124</f>
        <v>Paramakudi</v>
      </c>
      <c r="C213" t="str">
        <f>'AC Results'!Y124</f>
        <v>Ramanathapuram</v>
      </c>
      <c r="D213" s="11" t="s">
        <v>369</v>
      </c>
      <c r="E213" t="s">
        <v>24</v>
      </c>
      <c r="F213">
        <f>'AC Results'!H124</f>
        <v>40</v>
      </c>
      <c r="G213" t="str">
        <f>'AC Results'!S124</f>
        <v>TVK</v>
      </c>
      <c r="H213">
        <f>'AC Results'!U124</f>
        <v>13.6</v>
      </c>
      <c r="I213" t="str">
        <f>'AC Results'!V124</f>
        <v>Strong</v>
      </c>
      <c r="J213" t="str">
        <f>'AC Results'!W124</f>
        <v>TVK</v>
      </c>
      <c r="K213" s="11" t="s">
        <v>369</v>
      </c>
      <c r="L213" t="s">
        <v>24</v>
      </c>
      <c r="M213" t="str">
        <f t="shared" si="9"/>
        <v>No</v>
      </c>
      <c r="N213" t="str">
        <f t="shared" si="10"/>
        <v>No</v>
      </c>
      <c r="O213" t="str">
        <f t="shared" si="11"/>
        <v>Held</v>
      </c>
    </row>
    <row r="214" spans="1:15" x14ac:dyDescent="0.2">
      <c r="A214">
        <v>210</v>
      </c>
      <c r="B214" s="3" t="str">
        <f>'AC Results'!A126</f>
        <v>Tiruvadanai</v>
      </c>
      <c r="C214" t="str">
        <f>'AC Results'!Y126</f>
        <v>Ramanathapuram</v>
      </c>
      <c r="D214" s="11" t="s">
        <v>371</v>
      </c>
      <c r="E214" t="s">
        <v>24</v>
      </c>
      <c r="F214">
        <f>'AC Results'!H126</f>
        <v>30</v>
      </c>
      <c r="G214" t="str">
        <f>'AC Results'!S126</f>
        <v>TVK</v>
      </c>
      <c r="H214">
        <f>'AC Results'!U126</f>
        <v>4.4000000000000004</v>
      </c>
      <c r="I214" t="str">
        <f>'AC Results'!V126</f>
        <v>Toss-up</v>
      </c>
      <c r="J214" t="str">
        <f>'AC Results'!W126</f>
        <v>TVK</v>
      </c>
      <c r="K214" s="11" t="s">
        <v>10</v>
      </c>
      <c r="L214" t="s">
        <v>10</v>
      </c>
      <c r="M214" t="str">
        <f t="shared" si="9"/>
        <v>Yes</v>
      </c>
      <c r="N214" t="str">
        <f t="shared" si="10"/>
        <v>Yes</v>
      </c>
      <c r="O214" t="str">
        <f t="shared" si="11"/>
        <v>Changed</v>
      </c>
    </row>
    <row r="215" spans="1:15" x14ac:dyDescent="0.2">
      <c r="A215">
        <v>211</v>
      </c>
      <c r="B215" s="3" t="str">
        <f>'AC Results'!A125</f>
        <v>Ramanathapuram</v>
      </c>
      <c r="C215" t="str">
        <f>'AC Results'!Y125</f>
        <v>Ramanathapuram</v>
      </c>
      <c r="D215" s="11" t="s">
        <v>369</v>
      </c>
      <c r="E215" t="s">
        <v>24</v>
      </c>
      <c r="F215">
        <f>'AC Results'!H125</f>
        <v>74</v>
      </c>
      <c r="G215" t="str">
        <f>'AC Results'!S125</f>
        <v>DMK+INC+VCK</v>
      </c>
      <c r="H215">
        <f>'AC Results'!U125</f>
        <v>3.7</v>
      </c>
      <c r="I215" t="str">
        <f>'AC Results'!V125</f>
        <v>Toss-up</v>
      </c>
      <c r="J215" t="str">
        <f>'AC Results'!W125</f>
        <v>Tie</v>
      </c>
      <c r="K215" s="11" t="s">
        <v>369</v>
      </c>
      <c r="L215" t="s">
        <v>24</v>
      </c>
      <c r="M215" t="str">
        <f t="shared" si="9"/>
        <v>Yes</v>
      </c>
      <c r="N215" t="str">
        <f t="shared" si="10"/>
        <v>No</v>
      </c>
      <c r="O215" t="str">
        <f t="shared" si="11"/>
        <v>Held</v>
      </c>
    </row>
    <row r="216" spans="1:15" x14ac:dyDescent="0.2">
      <c r="A216">
        <v>212</v>
      </c>
      <c r="B216" s="3" t="str">
        <f>'AC Results'!A123</f>
        <v>Mudhukulathur</v>
      </c>
      <c r="C216" t="str">
        <f>'AC Results'!Y123</f>
        <v>Ramanathapuram</v>
      </c>
      <c r="D216" s="11" t="s">
        <v>369</v>
      </c>
      <c r="E216" t="s">
        <v>24</v>
      </c>
      <c r="F216">
        <f>'AC Results'!H123</f>
        <v>34</v>
      </c>
      <c r="G216" t="str">
        <f>'AC Results'!S123</f>
        <v>DMK+INC+VCK</v>
      </c>
      <c r="H216">
        <f>'AC Results'!U123</f>
        <v>6</v>
      </c>
      <c r="I216" t="str">
        <f>'AC Results'!V123</f>
        <v>Lean</v>
      </c>
      <c r="J216" t="str">
        <f>'AC Results'!W123</f>
        <v>TVK</v>
      </c>
      <c r="K216" s="11" t="s">
        <v>369</v>
      </c>
      <c r="L216" t="s">
        <v>24</v>
      </c>
      <c r="M216" t="str">
        <f t="shared" si="9"/>
        <v>Yes</v>
      </c>
      <c r="N216" t="str">
        <f t="shared" si="10"/>
        <v>No</v>
      </c>
      <c r="O216" t="str">
        <f t="shared" si="11"/>
        <v>Held</v>
      </c>
    </row>
    <row r="217" spans="1:15" x14ac:dyDescent="0.2">
      <c r="A217">
        <v>213</v>
      </c>
      <c r="B217" s="3" t="str">
        <f>'AC Results'!A181</f>
        <v>Vilathikulam</v>
      </c>
      <c r="C217" t="str">
        <f>'AC Results'!Y181</f>
        <v>Thoothukudi</v>
      </c>
      <c r="D217" s="11" t="s">
        <v>369</v>
      </c>
      <c r="E217" t="s">
        <v>24</v>
      </c>
      <c r="F217">
        <f>'AC Results'!H181</f>
        <v>28</v>
      </c>
      <c r="G217" t="str">
        <f>'AC Results'!S181</f>
        <v>AIADMK+BJP+PMK+AMMK</v>
      </c>
      <c r="H217">
        <f>'AC Results'!U181</f>
        <v>1.6</v>
      </c>
      <c r="I217" t="str">
        <f>'AC Results'!V181</f>
        <v>Toss-up</v>
      </c>
      <c r="J217" t="str">
        <f>'AC Results'!W181</f>
        <v>TVK</v>
      </c>
      <c r="K217" s="11" t="s">
        <v>369</v>
      </c>
      <c r="L217" t="s">
        <v>24</v>
      </c>
      <c r="M217" t="str">
        <f t="shared" si="9"/>
        <v>No</v>
      </c>
      <c r="N217" t="str">
        <f t="shared" si="10"/>
        <v>No</v>
      </c>
      <c r="O217" t="str">
        <f t="shared" si="11"/>
        <v>Held</v>
      </c>
    </row>
    <row r="218" spans="1:15" x14ac:dyDescent="0.2">
      <c r="A218">
        <v>214</v>
      </c>
      <c r="B218" s="3" t="str">
        <f>'AC Results'!A179</f>
        <v>Thoothukkudi</v>
      </c>
      <c r="C218" t="str">
        <f>'AC Results'!Y179</f>
        <v>Thoothukudi</v>
      </c>
      <c r="D218" s="11" t="s">
        <v>369</v>
      </c>
      <c r="E218" t="s">
        <v>24</v>
      </c>
      <c r="F218">
        <f>'AC Results'!H179</f>
        <v>95</v>
      </c>
      <c r="G218" t="str">
        <f>'AC Results'!S179</f>
        <v>TVK</v>
      </c>
      <c r="H218">
        <f>'AC Results'!U179</f>
        <v>15.3</v>
      </c>
      <c r="I218" t="str">
        <f>'AC Results'!V179</f>
        <v>Strong</v>
      </c>
      <c r="J218" t="str">
        <f>'AC Results'!W179</f>
        <v>TVK</v>
      </c>
      <c r="K218" s="11" t="s">
        <v>10</v>
      </c>
      <c r="L218" t="s">
        <v>10</v>
      </c>
      <c r="M218" t="str">
        <f t="shared" si="9"/>
        <v>Yes</v>
      </c>
      <c r="N218" t="str">
        <f t="shared" si="10"/>
        <v>Yes</v>
      </c>
      <c r="O218" t="str">
        <f t="shared" si="11"/>
        <v>Changed</v>
      </c>
    </row>
    <row r="219" spans="1:15" x14ac:dyDescent="0.2">
      <c r="A219">
        <v>215</v>
      </c>
      <c r="B219" s="3" t="str">
        <f>'AC Results'!A180</f>
        <v>Tiruchendur</v>
      </c>
      <c r="C219" t="str">
        <f>'AC Results'!Y180</f>
        <v>Thoothukudi</v>
      </c>
      <c r="D219" s="11" t="s">
        <v>369</v>
      </c>
      <c r="E219" t="s">
        <v>24</v>
      </c>
      <c r="F219">
        <f>'AC Results'!H180</f>
        <v>39</v>
      </c>
      <c r="G219" t="str">
        <f>'AC Results'!S180</f>
        <v>DMK+INC+VCK</v>
      </c>
      <c r="H219">
        <f>'AC Results'!U180</f>
        <v>16.600000000000001</v>
      </c>
      <c r="I219" t="str">
        <f>'AC Results'!V180</f>
        <v>Strong</v>
      </c>
      <c r="J219" t="str">
        <f>'AC Results'!W180</f>
        <v>DMK+INC+VCK</v>
      </c>
      <c r="K219" s="11" t="s">
        <v>369</v>
      </c>
      <c r="L219" t="s">
        <v>24</v>
      </c>
      <c r="M219" t="str">
        <f t="shared" si="9"/>
        <v>Yes</v>
      </c>
      <c r="N219" t="str">
        <f t="shared" si="10"/>
        <v>Yes</v>
      </c>
      <c r="O219" t="str">
        <f t="shared" si="11"/>
        <v>Held</v>
      </c>
    </row>
    <row r="220" spans="1:15" x14ac:dyDescent="0.2">
      <c r="A220">
        <v>216</v>
      </c>
      <c r="B220" s="3" t="str">
        <f>'AC Results'!A178</f>
        <v>Srivaikuntam</v>
      </c>
      <c r="C220" t="str">
        <f>'AC Results'!Y178</f>
        <v>Thoothukudi</v>
      </c>
      <c r="D220" s="11" t="s">
        <v>371</v>
      </c>
      <c r="E220" t="s">
        <v>24</v>
      </c>
      <c r="F220">
        <f>'AC Results'!H178</f>
        <v>49</v>
      </c>
      <c r="G220" t="str">
        <f>'AC Results'!S178</f>
        <v>DMK+INC+VCK</v>
      </c>
      <c r="H220">
        <f>'AC Results'!U178</f>
        <v>8.9</v>
      </c>
      <c r="I220" t="str">
        <f>'AC Results'!V178</f>
        <v>Lean</v>
      </c>
      <c r="J220" t="str">
        <f>'AC Results'!W178</f>
        <v>Tie</v>
      </c>
      <c r="K220" s="11" t="s">
        <v>10</v>
      </c>
      <c r="L220" t="s">
        <v>10</v>
      </c>
      <c r="M220" t="str">
        <f t="shared" si="9"/>
        <v>No</v>
      </c>
      <c r="N220" t="str">
        <f t="shared" si="10"/>
        <v>No</v>
      </c>
      <c r="O220" t="str">
        <f t="shared" si="11"/>
        <v>Changed</v>
      </c>
    </row>
    <row r="221" spans="1:15" x14ac:dyDescent="0.2">
      <c r="A221">
        <v>217</v>
      </c>
      <c r="B221" s="3" t="str">
        <f>'AC Results'!A177</f>
        <v>Ottapidaram</v>
      </c>
      <c r="C221" t="str">
        <f>'AC Results'!Y177</f>
        <v>Thoothukudi</v>
      </c>
      <c r="D221" s="11" t="s">
        <v>369</v>
      </c>
      <c r="E221" t="s">
        <v>24</v>
      </c>
      <c r="F221">
        <f>'AC Results'!H177</f>
        <v>54</v>
      </c>
      <c r="G221" t="str">
        <f>'AC Results'!S177</f>
        <v>DMK+INC+VCK</v>
      </c>
      <c r="H221">
        <f>'AC Results'!U177</f>
        <v>3.7</v>
      </c>
      <c r="I221" t="str">
        <f>'AC Results'!V177</f>
        <v>Toss-up</v>
      </c>
      <c r="J221" t="str">
        <f>'AC Results'!W177</f>
        <v>TVK</v>
      </c>
      <c r="K221" s="11" t="s">
        <v>10</v>
      </c>
      <c r="L221" t="s">
        <v>10</v>
      </c>
      <c r="M221" t="str">
        <f t="shared" si="9"/>
        <v>No</v>
      </c>
      <c r="N221" t="str">
        <f t="shared" si="10"/>
        <v>Yes</v>
      </c>
      <c r="O221" t="str">
        <f t="shared" si="11"/>
        <v>Changed</v>
      </c>
    </row>
    <row r="222" spans="1:15" x14ac:dyDescent="0.2">
      <c r="A222">
        <v>218</v>
      </c>
      <c r="B222" s="3" t="str">
        <f>'AC Results'!A176</f>
        <v>Kovilpatti</v>
      </c>
      <c r="C222" t="str">
        <f>'AC Results'!Y176</f>
        <v>Thoothukudi</v>
      </c>
      <c r="D222" s="11" t="s">
        <v>390</v>
      </c>
      <c r="E222" t="s">
        <v>23</v>
      </c>
      <c r="F222">
        <f>'AC Results'!H176</f>
        <v>49</v>
      </c>
      <c r="G222" t="str">
        <f>'AC Results'!S176</f>
        <v>TVK</v>
      </c>
      <c r="H222">
        <f>'AC Results'!U176</f>
        <v>0.9</v>
      </c>
      <c r="I222" t="str">
        <f>'AC Results'!V176</f>
        <v>Toss-up</v>
      </c>
      <c r="J222" t="str">
        <f>'AC Results'!W176</f>
        <v>TVK</v>
      </c>
      <c r="K222" s="11" t="s">
        <v>369</v>
      </c>
      <c r="L222" t="s">
        <v>24</v>
      </c>
      <c r="M222" t="str">
        <f t="shared" si="9"/>
        <v>No</v>
      </c>
      <c r="N222" t="str">
        <f t="shared" si="10"/>
        <v>No</v>
      </c>
      <c r="O222" t="str">
        <f t="shared" si="11"/>
        <v>Changed</v>
      </c>
    </row>
    <row r="223" spans="1:15" x14ac:dyDescent="0.2">
      <c r="A223">
        <v>219</v>
      </c>
      <c r="B223" s="3" t="str">
        <f>'AC Results'!A148</f>
        <v>Sankarankovil</v>
      </c>
      <c r="C223" t="str">
        <f>'AC Results'!Y148</f>
        <v>Tenkasi</v>
      </c>
      <c r="D223" s="11" t="s">
        <v>369</v>
      </c>
      <c r="E223" t="s">
        <v>24</v>
      </c>
      <c r="F223">
        <f>'AC Results'!H148</f>
        <v>53</v>
      </c>
      <c r="G223" t="str">
        <f>'AC Results'!S148</f>
        <v>AIADMK+BJP+PMK+AMMK</v>
      </c>
      <c r="H223">
        <f>'AC Results'!U148</f>
        <v>3.9</v>
      </c>
      <c r="I223" t="str">
        <f>'AC Results'!V148</f>
        <v>Toss-up</v>
      </c>
      <c r="J223" t="str">
        <f>'AC Results'!W148</f>
        <v>AIADMK+BJP+PMK+AMMK</v>
      </c>
      <c r="K223" s="11" t="s">
        <v>372</v>
      </c>
      <c r="L223" t="s">
        <v>23</v>
      </c>
      <c r="M223" t="str">
        <f t="shared" si="9"/>
        <v>Yes</v>
      </c>
      <c r="N223" t="str">
        <f t="shared" si="10"/>
        <v>Yes</v>
      </c>
      <c r="O223" t="str">
        <f t="shared" si="11"/>
        <v>Changed</v>
      </c>
    </row>
    <row r="224" spans="1:15" x14ac:dyDescent="0.2">
      <c r="A224">
        <v>220</v>
      </c>
      <c r="B224" s="3" t="str">
        <f>'AC Results'!A150</f>
        <v>Vasudevanallur</v>
      </c>
      <c r="C224" t="str">
        <f>'AC Results'!Y150</f>
        <v>Tenkasi</v>
      </c>
      <c r="D224" s="11" t="s">
        <v>369</v>
      </c>
      <c r="E224" t="s">
        <v>24</v>
      </c>
      <c r="F224">
        <f>'AC Results'!H150</f>
        <v>39</v>
      </c>
      <c r="G224" t="str">
        <f>'AC Results'!S150</f>
        <v>AIADMK+BJP+PMK+AMMK</v>
      </c>
      <c r="H224">
        <f>'AC Results'!U150</f>
        <v>24.5</v>
      </c>
      <c r="I224" t="str">
        <f>'AC Results'!V150</f>
        <v>Strong</v>
      </c>
      <c r="J224" t="str">
        <f>'AC Results'!W150</f>
        <v>AIADMK+BJP+PMK+AMMK</v>
      </c>
      <c r="K224" s="11" t="s">
        <v>369</v>
      </c>
      <c r="L224" t="s">
        <v>24</v>
      </c>
      <c r="M224" t="str">
        <f t="shared" si="9"/>
        <v>No</v>
      </c>
      <c r="N224" t="str">
        <f t="shared" si="10"/>
        <v>No</v>
      </c>
      <c r="O224" t="str">
        <f t="shared" si="11"/>
        <v>Held</v>
      </c>
    </row>
    <row r="225" spans="1:15" x14ac:dyDescent="0.2">
      <c r="A225">
        <v>221</v>
      </c>
      <c r="B225" s="3" t="str">
        <f>'AC Results'!A147</f>
        <v>Kadayanallur</v>
      </c>
      <c r="C225" t="str">
        <f>'AC Results'!Y147</f>
        <v>Tenkasi</v>
      </c>
      <c r="D225" s="11" t="s">
        <v>390</v>
      </c>
      <c r="E225" t="s">
        <v>23</v>
      </c>
      <c r="F225">
        <f>'AC Results'!H147</f>
        <v>40</v>
      </c>
      <c r="G225" t="str">
        <f>'AC Results'!S147</f>
        <v>DMK+INC+VCK</v>
      </c>
      <c r="H225">
        <f>'AC Results'!U147</f>
        <v>3.9</v>
      </c>
      <c r="I225" t="str">
        <f>'AC Results'!V147</f>
        <v>Toss-up</v>
      </c>
      <c r="J225" t="str">
        <f>'AC Results'!W147</f>
        <v>TVK</v>
      </c>
      <c r="K225" s="11" t="s">
        <v>369</v>
      </c>
      <c r="L225" t="s">
        <v>24</v>
      </c>
      <c r="M225" t="str">
        <f t="shared" si="9"/>
        <v>Yes</v>
      </c>
      <c r="N225" t="str">
        <f t="shared" si="10"/>
        <v>No</v>
      </c>
      <c r="O225" t="str">
        <f t="shared" si="11"/>
        <v>Changed</v>
      </c>
    </row>
    <row r="226" spans="1:15" x14ac:dyDescent="0.2">
      <c r="A226">
        <v>222</v>
      </c>
      <c r="B226" s="3" t="str">
        <f>'AC Results'!A149</f>
        <v>Tenkasi</v>
      </c>
      <c r="C226" t="str">
        <f>'AC Results'!Y149</f>
        <v>Tenkasi</v>
      </c>
      <c r="D226" s="11" t="s">
        <v>371</v>
      </c>
      <c r="E226" t="s">
        <v>24</v>
      </c>
      <c r="F226">
        <f>'AC Results'!H149</f>
        <v>77</v>
      </c>
      <c r="G226" t="str">
        <f>'AC Results'!S149</f>
        <v>DMK+INC+VCK</v>
      </c>
      <c r="H226">
        <f>'AC Results'!U149</f>
        <v>1.1000000000000001</v>
      </c>
      <c r="I226" t="str">
        <f>'AC Results'!V149</f>
        <v>Toss-up</v>
      </c>
      <c r="J226" t="str">
        <f>'AC Results'!W149</f>
        <v>TVK</v>
      </c>
      <c r="K226" s="11" t="s">
        <v>369</v>
      </c>
      <c r="L226" t="s">
        <v>24</v>
      </c>
      <c r="M226" t="str">
        <f t="shared" si="9"/>
        <v>Yes</v>
      </c>
      <c r="N226" t="str">
        <f t="shared" si="10"/>
        <v>No</v>
      </c>
      <c r="O226" t="str">
        <f t="shared" si="11"/>
        <v>Held</v>
      </c>
    </row>
    <row r="227" spans="1:15" x14ac:dyDescent="0.2">
      <c r="A227">
        <v>223</v>
      </c>
      <c r="B227" s="3" t="str">
        <f>'AC Results'!A146</f>
        <v>Alangulam</v>
      </c>
      <c r="C227" t="str">
        <f>'AC Results'!Y146</f>
        <v>Tenkasi</v>
      </c>
      <c r="D227" s="11" t="s">
        <v>390</v>
      </c>
      <c r="E227" t="s">
        <v>23</v>
      </c>
      <c r="F227">
        <f>'AC Results'!H146</f>
        <v>42</v>
      </c>
      <c r="G227" t="str">
        <f>'AC Results'!S146</f>
        <v>DMK+INC+VCK</v>
      </c>
      <c r="H227">
        <f>'AC Results'!U146</f>
        <v>8.9</v>
      </c>
      <c r="I227" t="str">
        <f>'AC Results'!V146</f>
        <v>Lean</v>
      </c>
      <c r="J227" t="str">
        <f>'AC Results'!W146</f>
        <v>Tie</v>
      </c>
      <c r="K227" s="11" t="s">
        <v>369</v>
      </c>
      <c r="L227" t="s">
        <v>24</v>
      </c>
      <c r="M227" t="str">
        <f t="shared" si="9"/>
        <v>Yes</v>
      </c>
      <c r="N227" t="str">
        <f t="shared" si="10"/>
        <v>No</v>
      </c>
      <c r="O227" t="str">
        <f t="shared" si="11"/>
        <v>Changed</v>
      </c>
    </row>
    <row r="228" spans="1:15" x14ac:dyDescent="0.2">
      <c r="A228">
        <v>224</v>
      </c>
      <c r="B228" s="3" t="str">
        <f>'AC Results'!A195</f>
        <v>Tirunelveli</v>
      </c>
      <c r="C228" t="str">
        <f>'AC Results'!Y195</f>
        <v>Tirunelveli</v>
      </c>
      <c r="D228" s="11" t="s">
        <v>394</v>
      </c>
      <c r="E228" t="s">
        <v>23</v>
      </c>
      <c r="F228">
        <f>'AC Results'!H195</f>
        <v>86</v>
      </c>
      <c r="G228" t="str">
        <f>'AC Results'!S195</f>
        <v>TVK</v>
      </c>
      <c r="H228">
        <f>'AC Results'!U195</f>
        <v>14.4</v>
      </c>
      <c r="I228" t="str">
        <f>'AC Results'!V195</f>
        <v>Strong</v>
      </c>
      <c r="J228" t="str">
        <f>'AC Results'!W195</f>
        <v>TVK</v>
      </c>
      <c r="K228" s="11" t="s">
        <v>10</v>
      </c>
      <c r="L228" t="s">
        <v>10</v>
      </c>
      <c r="M228" t="str">
        <f t="shared" si="9"/>
        <v>Yes</v>
      </c>
      <c r="N228" t="str">
        <f t="shared" si="10"/>
        <v>Yes</v>
      </c>
      <c r="O228" t="str">
        <f t="shared" si="11"/>
        <v>Changed</v>
      </c>
    </row>
    <row r="229" spans="1:15" x14ac:dyDescent="0.2">
      <c r="A229">
        <v>225</v>
      </c>
      <c r="B229" s="3" t="str">
        <f>'AC Results'!A191</f>
        <v>Ambasamudram</v>
      </c>
      <c r="C229" t="str">
        <f>'AC Results'!Y191</f>
        <v>Tirunelveli</v>
      </c>
      <c r="D229" s="11" t="s">
        <v>390</v>
      </c>
      <c r="E229" t="s">
        <v>23</v>
      </c>
      <c r="F229">
        <f>'AC Results'!H191</f>
        <v>53</v>
      </c>
      <c r="G229" t="str">
        <f>'AC Results'!S191</f>
        <v>DMK+INC+VCK</v>
      </c>
      <c r="H229">
        <f>'AC Results'!U191</f>
        <v>18.3</v>
      </c>
      <c r="I229" t="str">
        <f>'AC Results'!V191</f>
        <v>Strong</v>
      </c>
      <c r="J229" t="str">
        <f>'AC Results'!W191</f>
        <v>DMK+INC+VCK</v>
      </c>
      <c r="K229" s="11" t="s">
        <v>372</v>
      </c>
      <c r="L229" t="s">
        <v>23</v>
      </c>
      <c r="M229" t="str">
        <f t="shared" si="9"/>
        <v>No</v>
      </c>
      <c r="N229" t="str">
        <f t="shared" si="10"/>
        <v>No</v>
      </c>
      <c r="O229" t="str">
        <f t="shared" si="11"/>
        <v>Held</v>
      </c>
    </row>
    <row r="230" spans="1:15" x14ac:dyDescent="0.2">
      <c r="A230">
        <v>226</v>
      </c>
      <c r="B230" s="3" t="str">
        <f>'AC Results'!A193</f>
        <v>Palayamkottai</v>
      </c>
      <c r="C230" t="str">
        <f>'AC Results'!Y193</f>
        <v>Tirunelveli</v>
      </c>
      <c r="D230" s="11" t="s">
        <v>369</v>
      </c>
      <c r="E230" t="s">
        <v>24</v>
      </c>
      <c r="F230">
        <f>'AC Results'!H193</f>
        <v>50</v>
      </c>
      <c r="G230" t="str">
        <f>'AC Results'!S193</f>
        <v>DMK+INC+VCK</v>
      </c>
      <c r="H230">
        <f>'AC Results'!U193</f>
        <v>27.7</v>
      </c>
      <c r="I230" t="str">
        <f>'AC Results'!V193</f>
        <v>Strong</v>
      </c>
      <c r="J230" t="str">
        <f>'AC Results'!W193</f>
        <v>DMK+INC+VCK</v>
      </c>
      <c r="K230" s="11" t="s">
        <v>369</v>
      </c>
      <c r="L230" t="s">
        <v>24</v>
      </c>
      <c r="M230" t="str">
        <f t="shared" si="9"/>
        <v>Yes</v>
      </c>
      <c r="N230" t="str">
        <f t="shared" si="10"/>
        <v>Yes</v>
      </c>
      <c r="O230" t="str">
        <f t="shared" si="11"/>
        <v>Held</v>
      </c>
    </row>
    <row r="231" spans="1:15" x14ac:dyDescent="0.2">
      <c r="A231">
        <v>227</v>
      </c>
      <c r="B231" s="3" t="str">
        <f>'AC Results'!A192</f>
        <v>Nanguneri</v>
      </c>
      <c r="C231" t="str">
        <f>'AC Results'!Y192</f>
        <v>Tirunelveli</v>
      </c>
      <c r="D231" s="11" t="s">
        <v>371</v>
      </c>
      <c r="E231" t="s">
        <v>24</v>
      </c>
      <c r="F231">
        <f>'AC Results'!H192</f>
        <v>43</v>
      </c>
      <c r="G231" t="str">
        <f>'AC Results'!S192</f>
        <v>TVK</v>
      </c>
      <c r="H231">
        <f>'AC Results'!U192</f>
        <v>7.4</v>
      </c>
      <c r="I231" t="str">
        <f>'AC Results'!V192</f>
        <v>Lean</v>
      </c>
      <c r="J231" t="str">
        <f>'AC Results'!W192</f>
        <v>TVK</v>
      </c>
      <c r="K231" s="11" t="s">
        <v>10</v>
      </c>
      <c r="L231" t="s">
        <v>10</v>
      </c>
      <c r="M231" t="str">
        <f t="shared" si="9"/>
        <v>Yes</v>
      </c>
      <c r="N231" t="str">
        <f t="shared" si="10"/>
        <v>Yes</v>
      </c>
      <c r="O231" t="str">
        <f t="shared" si="11"/>
        <v>Changed</v>
      </c>
    </row>
    <row r="232" spans="1:15" x14ac:dyDescent="0.2">
      <c r="A232">
        <v>228</v>
      </c>
      <c r="B232" s="3" t="str">
        <f>'AC Results'!A194</f>
        <v>Radhapuram</v>
      </c>
      <c r="C232" t="str">
        <f>'AC Results'!Y194</f>
        <v>Tirunelveli</v>
      </c>
      <c r="D232" s="11" t="s">
        <v>369</v>
      </c>
      <c r="E232" t="s">
        <v>24</v>
      </c>
      <c r="F232">
        <f>'AC Results'!H194</f>
        <v>52</v>
      </c>
      <c r="G232" t="str">
        <f>'AC Results'!S194</f>
        <v>AIADMK+BJP+PMK+AMMK</v>
      </c>
      <c r="H232">
        <f>'AC Results'!U194</f>
        <v>1.4</v>
      </c>
      <c r="I232" t="str">
        <f>'AC Results'!V194</f>
        <v>Toss-up</v>
      </c>
      <c r="J232" t="str">
        <f>'AC Results'!W194</f>
        <v>TVK</v>
      </c>
      <c r="K232" s="11" t="s">
        <v>10</v>
      </c>
      <c r="L232" t="s">
        <v>10</v>
      </c>
      <c r="M232" t="str">
        <f t="shared" si="9"/>
        <v>No</v>
      </c>
      <c r="N232" t="str">
        <f t="shared" si="10"/>
        <v>Yes</v>
      </c>
      <c r="O232" t="str">
        <f t="shared" si="11"/>
        <v>Changed</v>
      </c>
    </row>
    <row r="233" spans="1:15" x14ac:dyDescent="0.2">
      <c r="A233">
        <v>229</v>
      </c>
      <c r="B233" s="3" t="str">
        <f>'AC Results'!A78</f>
        <v>Kanniyakumari</v>
      </c>
      <c r="C233" t="str">
        <f>'AC Results'!Y78</f>
        <v>Kanniyakumari</v>
      </c>
      <c r="D233" s="11" t="s">
        <v>390</v>
      </c>
      <c r="E233" t="s">
        <v>23</v>
      </c>
      <c r="F233">
        <f>'AC Results'!H78</f>
        <v>79</v>
      </c>
      <c r="G233" t="str">
        <f>'AC Results'!S78</f>
        <v>AIADMK+BJP+PMK+AMMK</v>
      </c>
      <c r="H233">
        <f>'AC Results'!U78</f>
        <v>9</v>
      </c>
      <c r="I233" t="str">
        <f>'AC Results'!V78</f>
        <v>Lean</v>
      </c>
      <c r="J233" t="str">
        <f>'AC Results'!W78</f>
        <v>AIADMK+BJP+PMK+AMMK</v>
      </c>
      <c r="K233" s="11" t="s">
        <v>372</v>
      </c>
      <c r="L233" t="s">
        <v>23</v>
      </c>
      <c r="M233" t="str">
        <f t="shared" si="9"/>
        <v>Yes</v>
      </c>
      <c r="N233" t="str">
        <f t="shared" si="10"/>
        <v>Yes</v>
      </c>
      <c r="O233" t="str">
        <f t="shared" si="11"/>
        <v>Held</v>
      </c>
    </row>
    <row r="234" spans="1:15" x14ac:dyDescent="0.2">
      <c r="A234">
        <v>230</v>
      </c>
      <c r="B234" s="3" t="str">
        <f>'AC Results'!A80</f>
        <v>Nagercoil</v>
      </c>
      <c r="C234" t="str">
        <f>'AC Results'!Y80</f>
        <v>Kanniyakumari</v>
      </c>
      <c r="D234" s="11" t="s">
        <v>394</v>
      </c>
      <c r="E234" t="s">
        <v>23</v>
      </c>
      <c r="F234">
        <f>'AC Results'!H80</f>
        <v>103</v>
      </c>
      <c r="G234" t="str">
        <f>'AC Results'!S80</f>
        <v>AIADMK+BJP+PMK+AMMK</v>
      </c>
      <c r="H234">
        <f>'AC Results'!U80</f>
        <v>0.2</v>
      </c>
      <c r="I234" t="str">
        <f>'AC Results'!V80</f>
        <v>Toss-up</v>
      </c>
      <c r="J234" t="str">
        <f>'AC Results'!W80</f>
        <v>AIADMK+BJP+PMK+AMMK</v>
      </c>
      <c r="K234" s="11" t="s">
        <v>369</v>
      </c>
      <c r="L234" t="s">
        <v>24</v>
      </c>
      <c r="M234" t="str">
        <f t="shared" si="9"/>
        <v>No</v>
      </c>
      <c r="N234" t="str">
        <f t="shared" si="10"/>
        <v>No</v>
      </c>
      <c r="O234" t="str">
        <f t="shared" si="11"/>
        <v>Changed</v>
      </c>
    </row>
    <row r="235" spans="1:15" x14ac:dyDescent="0.2">
      <c r="A235">
        <v>231</v>
      </c>
      <c r="B235" s="3" t="str">
        <f>'AC Results'!A77</f>
        <v>Colachal</v>
      </c>
      <c r="C235" t="str">
        <f>'AC Results'!Y77</f>
        <v>Kanniyakumari</v>
      </c>
      <c r="D235" s="11" t="s">
        <v>371</v>
      </c>
      <c r="E235" t="s">
        <v>24</v>
      </c>
      <c r="F235">
        <f>'AC Results'!H77</f>
        <v>62</v>
      </c>
      <c r="G235" t="str">
        <f>'AC Results'!S77</f>
        <v>TVK</v>
      </c>
      <c r="H235">
        <f>'AC Results'!U77</f>
        <v>2.4</v>
      </c>
      <c r="I235" t="str">
        <f>'AC Results'!V77</f>
        <v>Toss-up</v>
      </c>
      <c r="J235" t="str">
        <f>'AC Results'!W77</f>
        <v>TVK</v>
      </c>
      <c r="K235" s="11" t="s">
        <v>371</v>
      </c>
      <c r="L235" t="s">
        <v>24</v>
      </c>
      <c r="M235" t="str">
        <f t="shared" si="9"/>
        <v>No</v>
      </c>
      <c r="N235" t="str">
        <f t="shared" si="10"/>
        <v>No</v>
      </c>
      <c r="O235" t="str">
        <f t="shared" si="11"/>
        <v>Held</v>
      </c>
    </row>
    <row r="236" spans="1:15" x14ac:dyDescent="0.2">
      <c r="A236">
        <v>232</v>
      </c>
      <c r="B236" s="3" t="str">
        <f>'AC Results'!A81</f>
        <v>Padmanabhapuram</v>
      </c>
      <c r="C236" t="str">
        <f>'AC Results'!Y81</f>
        <v>Kanniyakumari</v>
      </c>
      <c r="D236" s="11" t="s">
        <v>369</v>
      </c>
      <c r="E236" t="s">
        <v>24</v>
      </c>
      <c r="F236">
        <f>'AC Results'!H81</f>
        <v>51</v>
      </c>
      <c r="G236" t="str">
        <f>'AC Results'!S81</f>
        <v>TVK</v>
      </c>
      <c r="H236">
        <f>'AC Results'!U81</f>
        <v>0.9</v>
      </c>
      <c r="I236" t="str">
        <f>'AC Results'!V81</f>
        <v>Toss-up</v>
      </c>
      <c r="J236" t="str">
        <f>'AC Results'!W81</f>
        <v>TVK</v>
      </c>
      <c r="K236" s="11" t="s">
        <v>397</v>
      </c>
      <c r="L236" t="s">
        <v>24</v>
      </c>
      <c r="M236" t="str">
        <f t="shared" si="9"/>
        <v>No</v>
      </c>
      <c r="N236" t="str">
        <f t="shared" si="10"/>
        <v>No</v>
      </c>
      <c r="O236" t="str">
        <f t="shared" si="11"/>
        <v>Held</v>
      </c>
    </row>
    <row r="237" spans="1:15" x14ac:dyDescent="0.2">
      <c r="A237">
        <v>233</v>
      </c>
      <c r="B237" s="3" t="str">
        <f>'AC Results'!A82</f>
        <v>Vilavancode</v>
      </c>
      <c r="C237" t="str">
        <f>'AC Results'!Y82</f>
        <v>Kanniyakumari</v>
      </c>
      <c r="D237" s="11" t="s">
        <v>371</v>
      </c>
      <c r="E237" t="s">
        <v>24</v>
      </c>
      <c r="F237">
        <f>'AC Results'!H82</f>
        <v>54</v>
      </c>
      <c r="G237" t="str">
        <f>'AC Results'!S82</f>
        <v>DMK+INC+VCK</v>
      </c>
      <c r="H237">
        <f>'AC Results'!U82</f>
        <v>16.7</v>
      </c>
      <c r="I237" t="str">
        <f>'AC Results'!V82</f>
        <v>Strong</v>
      </c>
      <c r="J237" t="str">
        <f>'AC Results'!W82</f>
        <v>DMK+INC+VCK</v>
      </c>
      <c r="K237" s="11" t="s">
        <v>371</v>
      </c>
      <c r="L237" t="s">
        <v>24</v>
      </c>
      <c r="M237" t="str">
        <f t="shared" si="9"/>
        <v>Yes</v>
      </c>
      <c r="N237" t="str">
        <f t="shared" si="10"/>
        <v>Yes</v>
      </c>
      <c r="O237" t="str">
        <f t="shared" si="11"/>
        <v>Held</v>
      </c>
    </row>
    <row r="238" spans="1:15" x14ac:dyDescent="0.2">
      <c r="A238">
        <v>234</v>
      </c>
      <c r="B238" s="3" t="str">
        <f>'AC Results'!A79</f>
        <v>Killiyoor</v>
      </c>
      <c r="C238" t="str">
        <f>'AC Results'!Y79</f>
        <v>Kanniyakumari</v>
      </c>
      <c r="D238" s="11" t="s">
        <v>371</v>
      </c>
      <c r="E238" t="s">
        <v>24</v>
      </c>
      <c r="F238">
        <f>'AC Results'!H79</f>
        <v>44</v>
      </c>
      <c r="G238" t="str">
        <f>'AC Results'!S79</f>
        <v>TVK</v>
      </c>
      <c r="H238">
        <f>'AC Results'!U79</f>
        <v>20.6</v>
      </c>
      <c r="I238" t="str">
        <f>'AC Results'!V79</f>
        <v>Strong</v>
      </c>
      <c r="J238" t="str">
        <f>'AC Results'!W79</f>
        <v>TVK</v>
      </c>
      <c r="K238" s="11" t="s">
        <v>371</v>
      </c>
      <c r="L238" t="s">
        <v>24</v>
      </c>
      <c r="M238" t="str">
        <f t="shared" si="9"/>
        <v>No</v>
      </c>
      <c r="N238" t="str">
        <f t="shared" si="10"/>
        <v>No</v>
      </c>
      <c r="O238" t="str">
        <f t="shared" si="11"/>
        <v>Held</v>
      </c>
    </row>
  </sheetData>
  <autoFilter ref="A4:O238" xr:uid="{00000000-0009-0000-0000-000004000000}"/>
  <conditionalFormatting sqref="E5:E238">
    <cfRule type="cellIs" dxfId="16" priority="6" operator="equal">
      <formula>"TVK"</formula>
    </cfRule>
    <cfRule type="cellIs" dxfId="15" priority="7" operator="equal">
      <formula>"AIADMK+BJP+PMK+AMMK"</formula>
    </cfRule>
    <cfRule type="cellIs" dxfId="14" priority="8" operator="equal">
      <formula>"DMK+INC+VCK"</formula>
    </cfRule>
  </conditionalFormatting>
  <conditionalFormatting sqref="G5:G238">
    <cfRule type="cellIs" dxfId="13" priority="9" operator="equal">
      <formula>"TVK"</formula>
    </cfRule>
    <cfRule type="cellIs" dxfId="12" priority="10" operator="equal">
      <formula>"AIADMK+BJP+PMK+AMMK"</formula>
    </cfRule>
    <cfRule type="cellIs" dxfId="11" priority="11" operator="equal">
      <formula>"DMK+INC+VCK"</formula>
    </cfRule>
  </conditionalFormatting>
  <conditionalFormatting sqref="J5:J238">
    <cfRule type="cellIs" dxfId="10" priority="12" operator="equal">
      <formula>"TVK"</formula>
    </cfRule>
    <cfRule type="cellIs" dxfId="9" priority="13" operator="equal">
      <formula>"AIADMK+BJP+PMK+AMMK"</formula>
    </cfRule>
    <cfRule type="cellIs" dxfId="8" priority="14" operator="equal">
      <formula>"DMK+INC+VCK"</formula>
    </cfRule>
  </conditionalFormatting>
  <conditionalFormatting sqref="L5:L238">
    <cfRule type="cellIs" dxfId="7" priority="15" operator="equal">
      <formula>"TVK"</formula>
    </cfRule>
    <cfRule type="cellIs" dxfId="6" priority="16" operator="equal">
      <formula>"AIADMK+BJP+PMK+AMMK"</formula>
    </cfRule>
    <cfRule type="cellIs" dxfId="5" priority="17" operator="equal">
      <formula>"DMK+INC+VCK"</formula>
    </cfRule>
  </conditionalFormatting>
  <conditionalFormatting sqref="M5:N238">
    <cfRule type="cellIs" dxfId="4" priority="2" operator="equal">
      <formula>"Yes"</formula>
    </cfRule>
    <cfRule type="cellIs" dxfId="3" priority="3" operator="equal">
      <formula>"No"</formula>
    </cfRule>
  </conditionalFormatting>
  <conditionalFormatting sqref="S23:U27">
    <cfRule type="colorScale" priority="18">
      <colorScale>
        <cfvo type="min"/>
        <cfvo type="max"/>
        <color rgb="FFFFFFFF"/>
        <color rgb="FF5B9BD5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8" customWidth="1"/>
    <col min="2" max="12" width="10" customWidth="1"/>
    <col min="13" max="13" width="22" customWidth="1"/>
    <col min="14" max="14" width="9" customWidth="1"/>
    <col min="15" max="15" width="11" customWidth="1"/>
    <col min="16" max="16" width="6" customWidth="1"/>
    <col min="17" max="17" width="9" customWidth="1"/>
    <col min="18" max="18" width="10" customWidth="1"/>
    <col min="19" max="20" width="9" customWidth="1"/>
  </cols>
  <sheetData>
    <row r="1" spans="1:20" ht="18" x14ac:dyDescent="0.2">
      <c r="A1" s="1" t="s">
        <v>399</v>
      </c>
    </row>
    <row r="2" spans="1:20" x14ac:dyDescent="0.2">
      <c r="A2" s="2" t="s">
        <v>400</v>
      </c>
    </row>
    <row r="4" spans="1:20" ht="36" customHeight="1" x14ac:dyDescent="0.2">
      <c r="A4" s="6" t="s">
        <v>47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48</v>
      </c>
      <c r="H4" s="6" t="s">
        <v>54</v>
      </c>
      <c r="I4" s="6" t="s">
        <v>55</v>
      </c>
      <c r="J4" s="6" t="s">
        <v>56</v>
      </c>
      <c r="K4" s="6" t="s">
        <v>57</v>
      </c>
      <c r="L4" s="6" t="s">
        <v>58</v>
      </c>
      <c r="M4" s="6" t="s">
        <v>401</v>
      </c>
      <c r="N4" s="6" t="s">
        <v>402</v>
      </c>
      <c r="O4" s="6" t="s">
        <v>403</v>
      </c>
      <c r="P4" s="6" t="s">
        <v>404</v>
      </c>
      <c r="Q4" s="6" t="s">
        <v>405</v>
      </c>
      <c r="R4" s="6" t="s">
        <v>406</v>
      </c>
      <c r="S4" s="6" t="s">
        <v>407</v>
      </c>
      <c r="T4" s="6" t="s">
        <v>408</v>
      </c>
    </row>
    <row r="5" spans="1:20" x14ac:dyDescent="0.2">
      <c r="A5" s="3" t="s">
        <v>66</v>
      </c>
      <c r="B5" s="8">
        <v>34</v>
      </c>
      <c r="C5" s="8">
        <v>33</v>
      </c>
      <c r="D5" s="8">
        <v>17</v>
      </c>
      <c r="E5" s="8">
        <v>10</v>
      </c>
      <c r="F5" s="8">
        <v>0</v>
      </c>
      <c r="G5" s="9">
        <f t="shared" ref="G5:G42" si="0">SUM(B5:F5)</f>
        <v>94</v>
      </c>
      <c r="H5" s="7">
        <f>MAX(0,IF($G5=0,0,B5/$G5)+'Statewide Votes'!$H$9/100)</f>
        <v>0.31707553353767098</v>
      </c>
      <c r="I5" s="7">
        <f>MAX(0,IF($G5=0,0,C5/$G5)+'Statewide Votes'!$I$9/100)</f>
        <v>0.35846333627706012</v>
      </c>
      <c r="J5" s="7">
        <f>MAX(0,IF($G5=0,0,D5/$G5)+'Statewide Votes'!$J$9/100)</f>
        <v>0.22519901995248284</v>
      </c>
      <c r="K5" s="7">
        <f>MAX(0,IF($G5=0,0,E5/$G5)+'Statewide Votes'!$K$9/100)</f>
        <v>9.7599662025644379E-2</v>
      </c>
      <c r="L5" s="7">
        <f>MAX(0,IF($G5=0,0,F5/$G5)+'Statewide Votes'!$L$9/100)</f>
        <v>1.662448207141779E-3</v>
      </c>
      <c r="M5" t="str">
        <f>INDEX({"TVK","AIADMK+BJP+PMK+AMMK","DMK+INC+VCK","NTK","NOTA"},MATCH(MAX(H5:L5),H5:L5,0))</f>
        <v>AIADMK+BJP+PMK+AMMK</v>
      </c>
      <c r="N5">
        <f t="shared" ref="N5:N42" si="1">ROUND((LARGE(H5:L5,1)-LARGE(H5:L5,2))*100,1)</f>
        <v>4.0999999999999996</v>
      </c>
      <c r="O5">
        <f t="shared" ref="O5:O42" si="2">ROUND((H5-MAX(I5:L5))*100,1)</f>
        <v>-4.0999999999999996</v>
      </c>
      <c r="P5">
        <f>COUNTIF('AC Results'!$B$5:$B$238,$A5)</f>
        <v>2</v>
      </c>
      <c r="Q5">
        <f>COUNTIFS('AC Results'!$B$5:$B$238,$A5,'AC Results'!$S$5:$S$238,"TVK")</f>
        <v>1</v>
      </c>
      <c r="R5">
        <f>COUNTIFS('AC Results'!$B$5:$B$238,$A5,'AC Results'!$S$5:$S$238,"AIADMK+BJP+PMK+AMMK")</f>
        <v>1</v>
      </c>
      <c r="S5">
        <f>COUNTIFS('AC Results'!$B$5:$B$238,$A5,'AC Results'!$S$5:$S$238,"DMK+INC+VCK")</f>
        <v>0</v>
      </c>
      <c r="T5">
        <f t="shared" ref="T5:T42" si="3">P5-SUM(Q5:S5)</f>
        <v>0</v>
      </c>
    </row>
    <row r="6" spans="1:20" x14ac:dyDescent="0.2">
      <c r="A6" s="3" t="s">
        <v>68</v>
      </c>
      <c r="B6" s="8">
        <v>188</v>
      </c>
      <c r="C6" s="8">
        <v>135</v>
      </c>
      <c r="D6" s="8">
        <v>102</v>
      </c>
      <c r="E6" s="8">
        <v>29</v>
      </c>
      <c r="F6" s="8">
        <v>5</v>
      </c>
      <c r="G6" s="9">
        <f t="shared" si="0"/>
        <v>459</v>
      </c>
      <c r="H6" s="7">
        <f>MAX(0,IF($G6=0,0,B6/$G6)+'Statewide Votes'!$H$9/100)</f>
        <v>0.36495946252297667</v>
      </c>
      <c r="I6" s="7">
        <f>MAX(0,IF($G6=0,0,C6/$G6)+'Statewide Votes'!$I$9/100)</f>
        <v>0.30151715354864961</v>
      </c>
      <c r="J6" s="7">
        <f>MAX(0,IF($G6=0,0,D6/$G6)+'Statewide Votes'!$J$9/100)</f>
        <v>0.26657017834491781</v>
      </c>
      <c r="K6" s="7">
        <f>MAX(0,IF($G6=0,0,E6/$G6)+'Statewide Votes'!$K$9/100)</f>
        <v>5.4397511188950365E-2</v>
      </c>
      <c r="L6" s="7">
        <f>MAX(0,IF($G6=0,0,F6/$G6)+'Statewide Votes'!$L$9/100)</f>
        <v>1.2555694394505615E-2</v>
      </c>
      <c r="M6" t="str">
        <f>INDEX({"TVK","AIADMK+BJP+PMK+AMMK","DMK+INC+VCK","NTK","NOTA"},MATCH(MAX(H6:L6),H6:L6,0))</f>
        <v>TVK</v>
      </c>
      <c r="N6">
        <f t="shared" si="1"/>
        <v>6.3</v>
      </c>
      <c r="O6">
        <f t="shared" si="2"/>
        <v>6.3</v>
      </c>
      <c r="P6">
        <f>COUNTIF('AC Results'!$B$5:$B$238,$A6)</f>
        <v>7</v>
      </c>
      <c r="Q6">
        <f>COUNTIFS('AC Results'!$B$5:$B$238,$A6,'AC Results'!$S$5:$S$238,"TVK")</f>
        <v>5</v>
      </c>
      <c r="R6">
        <f>COUNTIFS('AC Results'!$B$5:$B$238,$A6,'AC Results'!$S$5:$S$238,"AIADMK+BJP+PMK+AMMK")</f>
        <v>1</v>
      </c>
      <c r="S6">
        <f>COUNTIFS('AC Results'!$B$5:$B$238,$A6,'AC Results'!$S$5:$S$238,"DMK+INC+VCK")</f>
        <v>1</v>
      </c>
      <c r="T6">
        <f t="shared" si="3"/>
        <v>0</v>
      </c>
    </row>
    <row r="7" spans="1:20" x14ac:dyDescent="0.2">
      <c r="A7" s="3" t="s">
        <v>76</v>
      </c>
      <c r="B7" s="8">
        <v>372</v>
      </c>
      <c r="C7" s="8">
        <v>214</v>
      </c>
      <c r="D7" s="8">
        <v>226</v>
      </c>
      <c r="E7" s="8">
        <v>28</v>
      </c>
      <c r="F7" s="8">
        <v>4</v>
      </c>
      <c r="G7" s="9">
        <f t="shared" si="0"/>
        <v>844</v>
      </c>
      <c r="H7" s="7">
        <f>MAX(0,IF($G7=0,0,B7/$G7)+'Statewide Votes'!$H$9/100)</f>
        <v>0.39613169971695905</v>
      </c>
      <c r="I7" s="7">
        <f>MAX(0,IF($G7=0,0,C7/$G7)+'Statewide Votes'!$I$9/100)</f>
        <v>0.26095400885949432</v>
      </c>
      <c r="J7" s="7">
        <f>MAX(0,IF($G7=0,0,D7/$G7)+'Statewide Votes'!$J$9/100)</f>
        <v>0.31212046797103682</v>
      </c>
      <c r="K7" s="7">
        <f>MAX(0,IF($G7=0,0,E7/$G7)+'Statewide Votes'!$K$9/100)</f>
        <v>2.4392038752477092E-2</v>
      </c>
      <c r="L7" s="7">
        <f>MAX(0,IF($G7=0,0,F7/$G7)+'Statewide Votes'!$L$9/100)</f>
        <v>6.4017847000327746E-3</v>
      </c>
      <c r="M7" t="str">
        <f>INDEX({"TVK","AIADMK+BJP+PMK+AMMK","DMK+INC+VCK","NTK","NOTA"},MATCH(MAX(H7:L7),H7:L7,0))</f>
        <v>TVK</v>
      </c>
      <c r="N7">
        <f t="shared" si="1"/>
        <v>8.4</v>
      </c>
      <c r="O7">
        <f t="shared" si="2"/>
        <v>8.4</v>
      </c>
      <c r="P7">
        <f>COUNTIF('AC Results'!$B$5:$B$238,$A7)</f>
        <v>16</v>
      </c>
      <c r="Q7">
        <f>COUNTIFS('AC Results'!$B$5:$B$238,$A7,'AC Results'!$S$5:$S$238,"TVK")</f>
        <v>9</v>
      </c>
      <c r="R7">
        <f>COUNTIFS('AC Results'!$B$5:$B$238,$A7,'AC Results'!$S$5:$S$238,"AIADMK+BJP+PMK+AMMK")</f>
        <v>2</v>
      </c>
      <c r="S7">
        <f>COUNTIFS('AC Results'!$B$5:$B$238,$A7,'AC Results'!$S$5:$S$238,"DMK+INC+VCK")</f>
        <v>5</v>
      </c>
      <c r="T7">
        <f t="shared" si="3"/>
        <v>0</v>
      </c>
    </row>
    <row r="8" spans="1:20" x14ac:dyDescent="0.2">
      <c r="A8" s="3" t="s">
        <v>93</v>
      </c>
      <c r="B8" s="8">
        <v>285</v>
      </c>
      <c r="C8" s="8">
        <v>186</v>
      </c>
      <c r="D8" s="8">
        <v>183</v>
      </c>
      <c r="E8" s="8">
        <v>41</v>
      </c>
      <c r="F8" s="8">
        <v>3</v>
      </c>
      <c r="G8" s="9">
        <f t="shared" si="0"/>
        <v>698</v>
      </c>
      <c r="H8" s="7">
        <f>MAX(0,IF($G8=0,0,B8/$G8)+'Statewide Votes'!$H$9/100)</f>
        <v>0.36368286146548906</v>
      </c>
      <c r="I8" s="7">
        <f>MAX(0,IF($G8=0,0,C8/$G8)+'Statewide Votes'!$I$9/100)</f>
        <v>0.27387515118896649</v>
      </c>
      <c r="J8" s="7">
        <f>MAX(0,IF($G8=0,0,D8/$G8)+'Statewide Votes'!$J$9/100)</f>
        <v>0.306525606552495</v>
      </c>
      <c r="K8" s="7">
        <f>MAX(0,IF($G8=0,0,E8/$G8)+'Statewide Votes'!$K$9/100)</f>
        <v>4.9955938316566771E-2</v>
      </c>
      <c r="L8" s="7">
        <f>MAX(0,IF($G8=0,0,F8/$G8)+'Statewide Votes'!$L$9/100)</f>
        <v>5.9604424764827533E-3</v>
      </c>
      <c r="M8" t="str">
        <f>INDEX({"TVK","AIADMK+BJP+PMK+AMMK","DMK+INC+VCK","NTK","NOTA"},MATCH(MAX(H8:L8),H8:L8,0))</f>
        <v>TVK</v>
      </c>
      <c r="N8">
        <f t="shared" si="1"/>
        <v>5.7</v>
      </c>
      <c r="O8">
        <f t="shared" si="2"/>
        <v>5.7</v>
      </c>
      <c r="P8">
        <f>COUNTIF('AC Results'!$B$5:$B$238,$A8)</f>
        <v>10</v>
      </c>
      <c r="Q8">
        <f>COUNTIFS('AC Results'!$B$5:$B$238,$A8,'AC Results'!$S$5:$S$238,"TVK")</f>
        <v>7</v>
      </c>
      <c r="R8">
        <f>COUNTIFS('AC Results'!$B$5:$B$238,$A8,'AC Results'!$S$5:$S$238,"AIADMK+BJP+PMK+AMMK")</f>
        <v>0</v>
      </c>
      <c r="S8">
        <f>COUNTIFS('AC Results'!$B$5:$B$238,$A8,'AC Results'!$S$5:$S$238,"DMK+INC+VCK")</f>
        <v>3</v>
      </c>
      <c r="T8">
        <f t="shared" si="3"/>
        <v>0</v>
      </c>
    </row>
    <row r="9" spans="1:20" x14ac:dyDescent="0.2">
      <c r="A9" s="3" t="s">
        <v>104</v>
      </c>
      <c r="B9" s="8">
        <v>57</v>
      </c>
      <c r="C9" s="8">
        <v>79</v>
      </c>
      <c r="D9" s="8">
        <v>51</v>
      </c>
      <c r="E9" s="8">
        <v>14</v>
      </c>
      <c r="F9" s="8">
        <v>0</v>
      </c>
      <c r="G9" s="9">
        <f t="shared" si="0"/>
        <v>201</v>
      </c>
      <c r="H9" s="7">
        <f>MAX(0,IF($G9=0,0,B9/$G9)+'Statewide Votes'!$H$9/100)</f>
        <v>0.23895549543033529</v>
      </c>
      <c r="I9" s="7">
        <f>MAX(0,IF($G9=0,0,C9/$G9)+'Statewide Votes'!$I$9/100)</f>
        <v>0.40043433236047282</v>
      </c>
      <c r="J9" s="7">
        <f>MAX(0,IF($G9=0,0,D9/$G9)+'Statewide Votes'!$J$9/100)</f>
        <v>0.2980792994062777</v>
      </c>
      <c r="K9" s="7">
        <f>MAX(0,IF($G9=0,0,E9/$G9)+'Statewide Votes'!$K$9/100)</f>
        <v>6.0868424595772463E-2</v>
      </c>
      <c r="L9" s="7">
        <f>MAX(0,IF($G9=0,0,F9/$G9)+'Statewide Votes'!$L$9/100)</f>
        <v>1.662448207141779E-3</v>
      </c>
      <c r="M9" t="str">
        <f>INDEX({"TVK","AIADMK+BJP+PMK+AMMK","DMK+INC+VCK","NTK","NOTA"},MATCH(MAX(H9:L9),H9:L9,0))</f>
        <v>AIADMK+BJP+PMK+AMMK</v>
      </c>
      <c r="N9">
        <f t="shared" si="1"/>
        <v>10.199999999999999</v>
      </c>
      <c r="O9">
        <f t="shared" si="2"/>
        <v>-16.100000000000001</v>
      </c>
      <c r="P9">
        <f>COUNTIF('AC Results'!$B$5:$B$238,$A9)</f>
        <v>9</v>
      </c>
      <c r="Q9">
        <f>COUNTIFS('AC Results'!$B$5:$B$238,$A9,'AC Results'!$S$5:$S$238,"TVK")</f>
        <v>1</v>
      </c>
      <c r="R9">
        <f>COUNTIFS('AC Results'!$B$5:$B$238,$A9,'AC Results'!$S$5:$S$238,"AIADMK+BJP+PMK+AMMK")</f>
        <v>6</v>
      </c>
      <c r="S9">
        <f>COUNTIFS('AC Results'!$B$5:$B$238,$A9,'AC Results'!$S$5:$S$238,"DMK+INC+VCK")</f>
        <v>2</v>
      </c>
      <c r="T9">
        <f t="shared" si="3"/>
        <v>0</v>
      </c>
    </row>
    <row r="10" spans="1:20" x14ac:dyDescent="0.2">
      <c r="A10" s="3" t="s">
        <v>112</v>
      </c>
      <c r="B10" s="8">
        <v>82</v>
      </c>
      <c r="C10" s="8">
        <v>99</v>
      </c>
      <c r="D10" s="8">
        <v>50</v>
      </c>
      <c r="E10" s="8">
        <v>16</v>
      </c>
      <c r="F10" s="8">
        <v>2</v>
      </c>
      <c r="G10" s="9">
        <f t="shared" si="0"/>
        <v>249</v>
      </c>
      <c r="H10" s="7">
        <f>MAX(0,IF($G10=0,0,B10/$G10)+'Statewide Votes'!$H$9/100)</f>
        <v>0.2846906749544017</v>
      </c>
      <c r="I10" s="7">
        <f>MAX(0,IF($G10=0,0,C10/$G10)+'Statewide Votes'!$I$9/100)</f>
        <v>0.4049898679356092</v>
      </c>
      <c r="J10" s="7">
        <f>MAX(0,IF($G10=0,0,D10/$G10)+'Statewide Votes'!$J$9/100)</f>
        <v>0.24515116897410122</v>
      </c>
      <c r="K10" s="7">
        <f>MAX(0,IF($G10=0,0,E10/$G10)+'Statewide Votes'!$K$9/100)</f>
        <v>5.5473711414689916E-2</v>
      </c>
      <c r="L10" s="7">
        <f>MAX(0,IF($G10=0,0,F10/$G10)+'Statewide Votes'!$L$9/100)</f>
        <v>9.694576721198004E-3</v>
      </c>
      <c r="M10" t="str">
        <f>INDEX({"TVK","AIADMK+BJP+PMK+AMMK","DMK+INC+VCK","NTK","NOTA"},MATCH(MAX(H10:L10),H10:L10,0))</f>
        <v>AIADMK+BJP+PMK+AMMK</v>
      </c>
      <c r="N10">
        <f t="shared" si="1"/>
        <v>12</v>
      </c>
      <c r="O10">
        <f t="shared" si="2"/>
        <v>-12</v>
      </c>
      <c r="P10">
        <f>COUNTIF('AC Results'!$B$5:$B$238,$A10)</f>
        <v>5</v>
      </c>
      <c r="Q10">
        <f>COUNTIFS('AC Results'!$B$5:$B$238,$A10,'AC Results'!$S$5:$S$238,"TVK")</f>
        <v>1</v>
      </c>
      <c r="R10">
        <f>COUNTIFS('AC Results'!$B$5:$B$238,$A10,'AC Results'!$S$5:$S$238,"AIADMK+BJP+PMK+AMMK")</f>
        <v>4</v>
      </c>
      <c r="S10">
        <f>COUNTIFS('AC Results'!$B$5:$B$238,$A10,'AC Results'!$S$5:$S$238,"DMK+INC+VCK")</f>
        <v>0</v>
      </c>
      <c r="T10">
        <f t="shared" si="3"/>
        <v>0</v>
      </c>
    </row>
    <row r="11" spans="1:20" x14ac:dyDescent="0.2">
      <c r="A11" s="3" t="s">
        <v>118</v>
      </c>
      <c r="B11" s="8">
        <v>151</v>
      </c>
      <c r="C11" s="8">
        <v>74</v>
      </c>
      <c r="D11" s="8">
        <v>82</v>
      </c>
      <c r="E11" s="8">
        <v>21</v>
      </c>
      <c r="F11" s="8">
        <v>3</v>
      </c>
      <c r="G11" s="9">
        <f t="shared" si="0"/>
        <v>331</v>
      </c>
      <c r="H11" s="7">
        <f>MAX(0,IF($G11=0,0,B11/$G11)+'Statewide Votes'!$H$9/100)</f>
        <v>0.41156675935241671</v>
      </c>
      <c r="I11" s="7">
        <f>MAX(0,IF($G11=0,0,C11/$G11)+'Statewide Votes'!$I$9/100)</f>
        <v>0.23096446117260552</v>
      </c>
      <c r="J11" s="7">
        <f>MAX(0,IF($G11=0,0,D11/$G11)+'Statewide Votes'!$J$9/100)</f>
        <v>0.29208209509550526</v>
      </c>
      <c r="K11" s="7">
        <f>MAX(0,IF($G11=0,0,E11/$G11)+'Statewide Votes'!$K$9/100)</f>
        <v>5.4660792063569427E-2</v>
      </c>
      <c r="L11" s="7">
        <f>MAX(0,IF($G11=0,0,F11/$G11)+'Statewide Votes'!$L$9/100)</f>
        <v>1.072589231590311E-2</v>
      </c>
      <c r="M11" t="str">
        <f>INDEX({"TVK","AIADMK+BJP+PMK+AMMK","DMK+INC+VCK","NTK","NOTA"},MATCH(MAX(H11:L11),H11:L11,0))</f>
        <v>TVK</v>
      </c>
      <c r="N11">
        <f t="shared" si="1"/>
        <v>11.9</v>
      </c>
      <c r="O11">
        <f t="shared" si="2"/>
        <v>11.9</v>
      </c>
      <c r="P11">
        <f>COUNTIF('AC Results'!$B$5:$B$238,$A11)</f>
        <v>7</v>
      </c>
      <c r="Q11">
        <f>COUNTIFS('AC Results'!$B$5:$B$238,$A11,'AC Results'!$S$5:$S$238,"TVK")</f>
        <v>6</v>
      </c>
      <c r="R11">
        <f>COUNTIFS('AC Results'!$B$5:$B$238,$A11,'AC Results'!$S$5:$S$238,"AIADMK+BJP+PMK+AMMK")</f>
        <v>0</v>
      </c>
      <c r="S11">
        <f>COUNTIFS('AC Results'!$B$5:$B$238,$A11,'AC Results'!$S$5:$S$238,"DMK+INC+VCK")</f>
        <v>1</v>
      </c>
      <c r="T11">
        <f t="shared" si="3"/>
        <v>0</v>
      </c>
    </row>
    <row r="12" spans="1:20" x14ac:dyDescent="0.2">
      <c r="A12" s="3" t="s">
        <v>125</v>
      </c>
      <c r="B12" s="8">
        <v>129</v>
      </c>
      <c r="C12" s="8">
        <v>152</v>
      </c>
      <c r="D12" s="8">
        <v>74</v>
      </c>
      <c r="E12" s="8">
        <v>21</v>
      </c>
      <c r="F12" s="8">
        <v>2</v>
      </c>
      <c r="G12" s="9">
        <f t="shared" si="0"/>
        <v>378</v>
      </c>
      <c r="H12" s="7">
        <f>MAX(0,IF($G12=0,0,B12/$G12)+'Statewide Votes'!$H$9/100)</f>
        <v>0.29664324714793777</v>
      </c>
      <c r="I12" s="7">
        <f>MAX(0,IF($G12=0,0,C12/$G12)+'Statewide Votes'!$I$9/100)</f>
        <v>0.40951590860622816</v>
      </c>
      <c r="J12" s="7">
        <f>MAX(0,IF($G12=0,0,D12/$G12)+'Statewide Votes'!$J$9/100)</f>
        <v>0.24011515188989135</v>
      </c>
      <c r="K12" s="7">
        <f>MAX(0,IF($G12=0,0,E12/$G12)+'Statewide Votes'!$K$9/100)</f>
        <v>4.6772238857795675E-2</v>
      </c>
      <c r="L12" s="7">
        <f>MAX(0,IF($G12=0,0,F12/$G12)+'Statewide Votes'!$L$9/100)</f>
        <v>6.9534534981470697E-3</v>
      </c>
      <c r="M12" t="str">
        <f>INDEX({"TVK","AIADMK+BJP+PMK+AMMK","DMK+INC+VCK","NTK","NOTA"},MATCH(MAX(H12:L12),H12:L12,0))</f>
        <v>AIADMK+BJP+PMK+AMMK</v>
      </c>
      <c r="N12">
        <f t="shared" si="1"/>
        <v>11.3</v>
      </c>
      <c r="O12">
        <f t="shared" si="2"/>
        <v>-11.3</v>
      </c>
      <c r="P12">
        <f>COUNTIF('AC Results'!$B$5:$B$238,$A12)</f>
        <v>8</v>
      </c>
      <c r="Q12">
        <f>COUNTIFS('AC Results'!$B$5:$B$238,$A12,'AC Results'!$S$5:$S$238,"TVK")</f>
        <v>1</v>
      </c>
      <c r="R12">
        <f>COUNTIFS('AC Results'!$B$5:$B$238,$A12,'AC Results'!$S$5:$S$238,"AIADMK+BJP+PMK+AMMK")</f>
        <v>6</v>
      </c>
      <c r="S12">
        <f>COUNTIFS('AC Results'!$B$5:$B$238,$A12,'AC Results'!$S$5:$S$238,"DMK+INC+VCK")</f>
        <v>1</v>
      </c>
      <c r="T12">
        <f t="shared" si="3"/>
        <v>0</v>
      </c>
    </row>
    <row r="13" spans="1:20" x14ac:dyDescent="0.2">
      <c r="A13" s="3" t="s">
        <v>133</v>
      </c>
      <c r="B13" s="8">
        <v>62</v>
      </c>
      <c r="C13" s="8">
        <v>17</v>
      </c>
      <c r="D13" s="8">
        <v>27</v>
      </c>
      <c r="E13" s="8">
        <v>10</v>
      </c>
      <c r="F13" s="8">
        <v>0</v>
      </c>
      <c r="G13" s="9">
        <f t="shared" si="0"/>
        <v>116</v>
      </c>
      <c r="H13" s="7">
        <f>MAX(0,IF($G13=0,0,B13/$G13)+'Statewide Votes'!$H$9/100)</f>
        <v>0.48985616449878611</v>
      </c>
      <c r="I13" s="7">
        <f>MAX(0,IF($G13=0,0,C13/$G13)+'Statewide Votes'!$I$9/100)</f>
        <v>0.15395123062775709</v>
      </c>
      <c r="J13" s="7">
        <f>MAX(0,IF($G13=0,0,D13/$G13)+'Statewide Votes'!$J$9/100)</f>
        <v>0.27710657681235074</v>
      </c>
      <c r="K13" s="7">
        <f>MAX(0,IF($G13=0,0,E13/$G13)+'Statewide Votes'!$K$9/100)</f>
        <v>7.7423579853964267E-2</v>
      </c>
      <c r="L13" s="7">
        <f>MAX(0,IF($G13=0,0,F13/$G13)+'Statewide Votes'!$L$9/100)</f>
        <v>1.662448207141779E-3</v>
      </c>
      <c r="M13" t="str">
        <f>INDEX({"TVK","AIADMK+BJP+PMK+AMMK","DMK+INC+VCK","NTK","NOTA"},MATCH(MAX(H13:L13),H13:L13,0))</f>
        <v>TVK</v>
      </c>
      <c r="N13">
        <f t="shared" si="1"/>
        <v>21.3</v>
      </c>
      <c r="O13">
        <f t="shared" si="2"/>
        <v>21.3</v>
      </c>
      <c r="P13">
        <f>COUNTIF('AC Results'!$B$5:$B$238,$A13)</f>
        <v>4</v>
      </c>
      <c r="Q13">
        <f>COUNTIFS('AC Results'!$B$5:$B$238,$A13,'AC Results'!$S$5:$S$238,"TVK")</f>
        <v>4</v>
      </c>
      <c r="R13">
        <f>COUNTIFS('AC Results'!$B$5:$B$238,$A13,'AC Results'!$S$5:$S$238,"AIADMK+BJP+PMK+AMMK")</f>
        <v>0</v>
      </c>
      <c r="S13">
        <f>COUNTIFS('AC Results'!$B$5:$B$238,$A13,'AC Results'!$S$5:$S$238,"DMK+INC+VCK")</f>
        <v>0</v>
      </c>
      <c r="T13">
        <f t="shared" si="3"/>
        <v>0</v>
      </c>
    </row>
    <row r="14" spans="1:20" x14ac:dyDescent="0.2">
      <c r="A14" s="3" t="s">
        <v>138</v>
      </c>
      <c r="B14" s="8">
        <v>72</v>
      </c>
      <c r="C14" s="8">
        <v>58</v>
      </c>
      <c r="D14" s="8">
        <v>60</v>
      </c>
      <c r="E14" s="8">
        <v>13</v>
      </c>
      <c r="F14" s="8">
        <v>0</v>
      </c>
      <c r="G14" s="9">
        <f t="shared" si="0"/>
        <v>203</v>
      </c>
      <c r="H14" s="7">
        <f>MAX(0,IF($G14=0,0,B14/$G14)+'Statewide Votes'!$H$9/100)</f>
        <v>0.31005320883376153</v>
      </c>
      <c r="I14" s="7">
        <f>MAX(0,IF($G14=0,0,C14/$G14)+'Statewide Votes'!$I$9/100)</f>
        <v>0.29311379220411177</v>
      </c>
      <c r="J14" s="7">
        <f>MAX(0,IF($G14=0,0,D14/$G14)+'Statewide Votes'!$J$9/100)</f>
        <v>0.33991445858574981</v>
      </c>
      <c r="K14" s="7">
        <f>MAX(0,IF($G14=0,0,E14/$G14)+'Statewide Votes'!$K$9/100)</f>
        <v>5.5256092169235202E-2</v>
      </c>
      <c r="L14" s="7">
        <f>MAX(0,IF($G14=0,0,F14/$G14)+'Statewide Votes'!$L$9/100)</f>
        <v>1.662448207141779E-3</v>
      </c>
      <c r="M14" t="str">
        <f>INDEX({"TVK","AIADMK+BJP+PMK+AMMK","DMK+INC+VCK","NTK","NOTA"},MATCH(MAX(H14:L14),H14:L14,0))</f>
        <v>DMK+INC+VCK</v>
      </c>
      <c r="N14">
        <f t="shared" si="1"/>
        <v>3</v>
      </c>
      <c r="O14">
        <f t="shared" si="2"/>
        <v>-3</v>
      </c>
      <c r="P14">
        <f>COUNTIF('AC Results'!$B$5:$B$238,$A14)</f>
        <v>4</v>
      </c>
      <c r="Q14">
        <f>COUNTIFS('AC Results'!$B$5:$B$238,$A14,'AC Results'!$S$5:$S$238,"TVK")</f>
        <v>1</v>
      </c>
      <c r="R14">
        <f>COUNTIFS('AC Results'!$B$5:$B$238,$A14,'AC Results'!$S$5:$S$238,"AIADMK+BJP+PMK+AMMK")</f>
        <v>1</v>
      </c>
      <c r="S14">
        <f>COUNTIFS('AC Results'!$B$5:$B$238,$A14,'AC Results'!$S$5:$S$238,"DMK+INC+VCK")</f>
        <v>2</v>
      </c>
      <c r="T14">
        <f t="shared" si="3"/>
        <v>0</v>
      </c>
    </row>
    <row r="15" spans="1:20" x14ac:dyDescent="0.2">
      <c r="A15" s="3" t="s">
        <v>142</v>
      </c>
      <c r="B15" s="8">
        <v>143</v>
      </c>
      <c r="C15" s="8">
        <v>133</v>
      </c>
      <c r="D15" s="8">
        <v>121</v>
      </c>
      <c r="E15" s="8">
        <v>22</v>
      </c>
      <c r="F15" s="8">
        <v>2</v>
      </c>
      <c r="G15" s="9">
        <f t="shared" si="0"/>
        <v>421</v>
      </c>
      <c r="H15" s="7">
        <f>MAX(0,IF($G15=0,0,B15/$G15)+'Statewide Votes'!$H$9/100)</f>
        <v>0.29504086431040055</v>
      </c>
      <c r="I15" s="7">
        <f>MAX(0,IF($G15=0,0,C15/$G15)+'Statewide Votes'!$I$9/100)</f>
        <v>0.32331399580098996</v>
      </c>
      <c r="J15" s="7">
        <f>MAX(0,IF($G15=0,0,D15/$G15)+'Statewide Votes'!$J$9/100)</f>
        <v>0.33175888248849134</v>
      </c>
      <c r="K15" s="7">
        <f>MAX(0,IF($G15=0,0,E15/$G15)+'Statewide Votes'!$K$9/100)</f>
        <v>4.3473215368748437E-2</v>
      </c>
      <c r="L15" s="7">
        <f>MAX(0,IF($G15=0,0,F15/$G15)+'Statewide Votes'!$L$9/100)</f>
        <v>6.4130420313698077E-3</v>
      </c>
      <c r="M15" t="str">
        <f>INDEX({"TVK","AIADMK+BJP+PMK+AMMK","DMK+INC+VCK","NTK","NOTA"},MATCH(MAX(H15:L15),H15:L15,0))</f>
        <v>DMK+INC+VCK</v>
      </c>
      <c r="N15">
        <f t="shared" si="1"/>
        <v>0.8</v>
      </c>
      <c r="O15">
        <f t="shared" si="2"/>
        <v>-3.7</v>
      </c>
      <c r="P15">
        <f>COUNTIF('AC Results'!$B$5:$B$238,$A15)</f>
        <v>6</v>
      </c>
      <c r="Q15">
        <f>COUNTIFS('AC Results'!$B$5:$B$238,$A15,'AC Results'!$S$5:$S$238,"TVK")</f>
        <v>3</v>
      </c>
      <c r="R15">
        <f>COUNTIFS('AC Results'!$B$5:$B$238,$A15,'AC Results'!$S$5:$S$238,"AIADMK+BJP+PMK+AMMK")</f>
        <v>2</v>
      </c>
      <c r="S15">
        <f>COUNTIFS('AC Results'!$B$5:$B$238,$A15,'AC Results'!$S$5:$S$238,"DMK+INC+VCK")</f>
        <v>1</v>
      </c>
      <c r="T15">
        <f t="shared" si="3"/>
        <v>0</v>
      </c>
    </row>
    <row r="16" spans="1:20" x14ac:dyDescent="0.2">
      <c r="A16" s="3" t="s">
        <v>148</v>
      </c>
      <c r="B16" s="8">
        <v>106</v>
      </c>
      <c r="C16" s="8">
        <v>57</v>
      </c>
      <c r="D16" s="8">
        <v>38</v>
      </c>
      <c r="E16" s="8">
        <v>17</v>
      </c>
      <c r="F16" s="8">
        <v>7</v>
      </c>
      <c r="G16" s="9">
        <f t="shared" si="0"/>
        <v>225</v>
      </c>
      <c r="H16" s="7">
        <f>MAX(0,IF($G16=0,0,B16/$G16)+'Statewide Votes'!$H$9/100)</f>
        <v>0.42648451698920758</v>
      </c>
      <c r="I16" s="7">
        <f>MAX(0,IF($G16=0,0,C16/$G16)+'Statewide Votes'!$I$9/100)</f>
        <v>0.26073283982315942</v>
      </c>
      <c r="J16" s="7">
        <f>MAX(0,IF($G16=0,0,D16/$G16)+'Statewide Votes'!$J$9/100)</f>
        <v>0.21323684501158449</v>
      </c>
      <c r="K16" s="7">
        <f>MAX(0,IF($G16=0,0,E16/$G16)+'Statewide Votes'!$K$9/100)</f>
        <v>6.6772238857795679E-2</v>
      </c>
      <c r="L16" s="7">
        <f>MAX(0,IF($G16=0,0,F16/$G16)+'Statewide Votes'!$L$9/100)</f>
        <v>3.277355931825289E-2</v>
      </c>
      <c r="M16" t="str">
        <f>INDEX({"TVK","AIADMK+BJP+PMK+AMMK","DMK+INC+VCK","NTK","NOTA"},MATCH(MAX(H16:L16),H16:L16,0))</f>
        <v>TVK</v>
      </c>
      <c r="N16">
        <f t="shared" si="1"/>
        <v>16.600000000000001</v>
      </c>
      <c r="O16">
        <f t="shared" si="2"/>
        <v>16.600000000000001</v>
      </c>
      <c r="P16">
        <f>COUNTIF('AC Results'!$B$5:$B$238,$A16)</f>
        <v>4</v>
      </c>
      <c r="Q16">
        <f>COUNTIFS('AC Results'!$B$5:$B$238,$A16,'AC Results'!$S$5:$S$238,"TVK")</f>
        <v>4</v>
      </c>
      <c r="R16">
        <f>COUNTIFS('AC Results'!$B$5:$B$238,$A16,'AC Results'!$S$5:$S$238,"AIADMK+BJP+PMK+AMMK")</f>
        <v>0</v>
      </c>
      <c r="S16">
        <f>COUNTIFS('AC Results'!$B$5:$B$238,$A16,'AC Results'!$S$5:$S$238,"DMK+INC+VCK")</f>
        <v>0</v>
      </c>
      <c r="T16">
        <f t="shared" si="3"/>
        <v>0</v>
      </c>
    </row>
    <row r="17" spans="1:20" x14ac:dyDescent="0.2">
      <c r="A17" s="3" t="s">
        <v>152</v>
      </c>
      <c r="B17" s="8">
        <v>142</v>
      </c>
      <c r="C17" s="8">
        <v>106</v>
      </c>
      <c r="D17" s="8">
        <v>70</v>
      </c>
      <c r="E17" s="8">
        <v>26</v>
      </c>
      <c r="F17" s="8">
        <v>3</v>
      </c>
      <c r="G17" s="9">
        <f t="shared" si="0"/>
        <v>347</v>
      </c>
      <c r="H17" s="7">
        <f>MAX(0,IF($G17=0,0,B17/$G17)+'Statewide Votes'!$H$9/100)</f>
        <v>0.36459530789538758</v>
      </c>
      <c r="I17" s="7">
        <f>MAX(0,IF($G17=0,0,C17/$G17)+'Statewide Votes'!$I$9/100)</f>
        <v>0.31287501081259261</v>
      </c>
      <c r="J17" s="7">
        <f>MAX(0,IF($G17=0,0,D17/$G17)+'Statewide Votes'!$J$9/100)</f>
        <v>0.24607706275093769</v>
      </c>
      <c r="K17" s="7">
        <f>MAX(0,IF($G17=0,0,E17/$G17)+'Statewide Votes'!$K$9/100)</f>
        <v>6.6144637192730033E-2</v>
      </c>
      <c r="L17" s="7">
        <f>MAX(0,IF($G17=0,0,F17/$G17)+'Statewide Votes'!$L$9/100)</f>
        <v>1.0307981348352153E-2</v>
      </c>
      <c r="M17" t="str">
        <f>INDEX({"TVK","AIADMK+BJP+PMK+AMMK","DMK+INC+VCK","NTK","NOTA"},MATCH(MAX(H17:L17),H17:L17,0))</f>
        <v>TVK</v>
      </c>
      <c r="N17">
        <f t="shared" si="1"/>
        <v>5.2</v>
      </c>
      <c r="O17">
        <f t="shared" si="2"/>
        <v>5.2</v>
      </c>
      <c r="P17">
        <f>COUNTIF('AC Results'!$B$5:$B$238,$A17)</f>
        <v>6</v>
      </c>
      <c r="Q17">
        <f>COUNTIFS('AC Results'!$B$5:$B$238,$A17,'AC Results'!$S$5:$S$238,"TVK")</f>
        <v>4</v>
      </c>
      <c r="R17">
        <f>COUNTIFS('AC Results'!$B$5:$B$238,$A17,'AC Results'!$S$5:$S$238,"AIADMK+BJP+PMK+AMMK")</f>
        <v>2</v>
      </c>
      <c r="S17">
        <f>COUNTIFS('AC Results'!$B$5:$B$238,$A17,'AC Results'!$S$5:$S$238,"DMK+INC+VCK")</f>
        <v>0</v>
      </c>
      <c r="T17">
        <f t="shared" si="3"/>
        <v>0</v>
      </c>
    </row>
    <row r="18" spans="1:20" x14ac:dyDescent="0.2">
      <c r="A18" s="3" t="s">
        <v>158</v>
      </c>
      <c r="B18" s="8">
        <v>202</v>
      </c>
      <c r="C18" s="8">
        <v>130</v>
      </c>
      <c r="D18" s="8">
        <v>148</v>
      </c>
      <c r="E18" s="8">
        <v>55</v>
      </c>
      <c r="F18" s="8">
        <v>2</v>
      </c>
      <c r="G18" s="9">
        <f t="shared" si="0"/>
        <v>537</v>
      </c>
      <c r="H18" s="7">
        <f>MAX(0,IF($G18=0,0,B18/$G18)+'Statewide Votes'!$H$9/100)</f>
        <v>0.33153727924867377</v>
      </c>
      <c r="I18" s="7">
        <f>MAX(0,IF($G18=0,0,C18/$G18)+'Statewide Votes'!$I$9/100)</f>
        <v>0.24948516756990055</v>
      </c>
      <c r="J18" s="7">
        <f>MAX(0,IF($G18=0,0,D18/$G18)+'Statewide Votes'!$J$9/100)</f>
        <v>0.31995317027539577</v>
      </c>
      <c r="K18" s="7">
        <f>MAX(0,IF($G18=0,0,E18/$G18)+'Statewide Votes'!$K$9/100)</f>
        <v>9.3637539913040871E-2</v>
      </c>
      <c r="L18" s="7">
        <f>MAX(0,IF($G18=0,0,F18/$G18)+'Statewide Votes'!$L$9/100)</f>
        <v>5.3868429929890792E-3</v>
      </c>
      <c r="M18" t="str">
        <f>INDEX({"TVK","AIADMK+BJP+PMK+AMMK","DMK+INC+VCK","NTK","NOTA"},MATCH(MAX(H18:L18),H18:L18,0))</f>
        <v>TVK</v>
      </c>
      <c r="N18">
        <f t="shared" si="1"/>
        <v>1.2</v>
      </c>
      <c r="O18">
        <f t="shared" si="2"/>
        <v>1.2</v>
      </c>
      <c r="P18">
        <f>COUNTIF('AC Results'!$B$5:$B$238,$A18)</f>
        <v>10</v>
      </c>
      <c r="Q18">
        <f>COUNTIFS('AC Results'!$B$5:$B$238,$A18,'AC Results'!$S$5:$S$238,"TVK")</f>
        <v>3</v>
      </c>
      <c r="R18">
        <f>COUNTIFS('AC Results'!$B$5:$B$238,$A18,'AC Results'!$S$5:$S$238,"AIADMK+BJP+PMK+AMMK")</f>
        <v>2</v>
      </c>
      <c r="S18">
        <f>COUNTIFS('AC Results'!$B$5:$B$238,$A18,'AC Results'!$S$5:$S$238,"DMK+INC+VCK")</f>
        <v>4</v>
      </c>
      <c r="T18">
        <f t="shared" si="3"/>
        <v>1</v>
      </c>
    </row>
    <row r="19" spans="1:20" x14ac:dyDescent="0.2">
      <c r="A19" s="3" t="s">
        <v>169</v>
      </c>
      <c r="B19" s="8">
        <v>38</v>
      </c>
      <c r="C19" s="8">
        <v>56</v>
      </c>
      <c r="D19" s="8">
        <v>31</v>
      </c>
      <c r="E19" s="8">
        <v>11</v>
      </c>
      <c r="F19" s="8">
        <v>1</v>
      </c>
      <c r="G19" s="9">
        <f t="shared" si="0"/>
        <v>137</v>
      </c>
      <c r="H19" s="7">
        <f>MAX(0,IF($G19=0,0,B19/$G19)+'Statewide Votes'!$H$9/100)</f>
        <v>0.23274566865181912</v>
      </c>
      <c r="I19" s="7">
        <f>MAX(0,IF($G19=0,0,C19/$G19)+'Statewide Votes'!$I$9/100)</f>
        <v>0.41615863057741731</v>
      </c>
      <c r="J19" s="7">
        <f>MAX(0,IF($G19=0,0,D19/$G19)+'Statewide Votes'!$J$9/100)</f>
        <v>0.27062532838546932</v>
      </c>
      <c r="K19" s="7">
        <f>MAX(0,IF($G19=0,0,E19/$G19)+'Statewide Votes'!$K$9/100)</f>
        <v>7.150865410515983E-2</v>
      </c>
      <c r="L19" s="7">
        <f>MAX(0,IF($G19=0,0,F19/$G19)+'Statewide Votes'!$L$9/100)</f>
        <v>8.9617182801344786E-3</v>
      </c>
      <c r="M19" t="str">
        <f>INDEX({"TVK","AIADMK+BJP+PMK+AMMK","DMK+INC+VCK","NTK","NOTA"},MATCH(MAX(H19:L19),H19:L19,0))</f>
        <v>AIADMK+BJP+PMK+AMMK</v>
      </c>
      <c r="N19">
        <f t="shared" si="1"/>
        <v>14.6</v>
      </c>
      <c r="O19">
        <f t="shared" si="2"/>
        <v>-18.3</v>
      </c>
      <c r="P19">
        <f>COUNTIF('AC Results'!$B$5:$B$238,$A19)</f>
        <v>3</v>
      </c>
      <c r="Q19">
        <f>COUNTIFS('AC Results'!$B$5:$B$238,$A19,'AC Results'!$S$5:$S$238,"TVK")</f>
        <v>0</v>
      </c>
      <c r="R19">
        <f>COUNTIFS('AC Results'!$B$5:$B$238,$A19,'AC Results'!$S$5:$S$238,"AIADMK+BJP+PMK+AMMK")</f>
        <v>2</v>
      </c>
      <c r="S19">
        <f>COUNTIFS('AC Results'!$B$5:$B$238,$A19,'AC Results'!$S$5:$S$238,"DMK+INC+VCK")</f>
        <v>1</v>
      </c>
      <c r="T19">
        <f t="shared" si="3"/>
        <v>0</v>
      </c>
    </row>
    <row r="20" spans="1:20" x14ac:dyDescent="0.2">
      <c r="A20" s="3" t="s">
        <v>173</v>
      </c>
      <c r="B20" s="8">
        <v>36</v>
      </c>
      <c r="C20" s="8">
        <v>23</v>
      </c>
      <c r="D20" s="8">
        <v>35</v>
      </c>
      <c r="E20" s="8">
        <v>23</v>
      </c>
      <c r="F20" s="8">
        <v>0</v>
      </c>
      <c r="G20" s="9">
        <f t="shared" si="0"/>
        <v>117</v>
      </c>
      <c r="H20" s="7">
        <f>MAX(0,IF($G20=0,0,B20/$G20)+'Statewide Votes'!$H$9/100)</f>
        <v>0.2630657135704042</v>
      </c>
      <c r="I20" s="7">
        <f>MAX(0,IF($G20=0,0,C20/$G20)+'Statewide Votes'!$I$9/100)</f>
        <v>0.20398070307102265</v>
      </c>
      <c r="J20" s="7">
        <f>MAX(0,IF($G20=0,0,D20/$G20)+'Statewide Votes'!$J$9/100)</f>
        <v>0.34349325526799473</v>
      </c>
      <c r="K20" s="7">
        <f>MAX(0,IF($G20=0,0,E20/$G20)+'Statewide Votes'!$K$9/100)</f>
        <v>0.18779787988343671</v>
      </c>
      <c r="L20" s="7">
        <f>MAX(0,IF($G20=0,0,F20/$G20)+'Statewide Votes'!$L$9/100)</f>
        <v>1.662448207141779E-3</v>
      </c>
      <c r="M20" t="str">
        <f>INDEX({"TVK","AIADMK+BJP+PMK+AMMK","DMK+INC+VCK","NTK","NOTA"},MATCH(MAX(H20:L20),H20:L20,0))</f>
        <v>DMK+INC+VCK</v>
      </c>
      <c r="N20">
        <f t="shared" si="1"/>
        <v>8</v>
      </c>
      <c r="O20">
        <f t="shared" si="2"/>
        <v>-8</v>
      </c>
      <c r="P20">
        <f>COUNTIF('AC Results'!$B$5:$B$238,$A20)</f>
        <v>3</v>
      </c>
      <c r="Q20">
        <f>COUNTIFS('AC Results'!$B$5:$B$238,$A20,'AC Results'!$S$5:$S$238,"TVK")</f>
        <v>0</v>
      </c>
      <c r="R20">
        <f>COUNTIFS('AC Results'!$B$5:$B$238,$A20,'AC Results'!$S$5:$S$238,"AIADMK+BJP+PMK+AMMK")</f>
        <v>0</v>
      </c>
      <c r="S20">
        <f>COUNTIFS('AC Results'!$B$5:$B$238,$A20,'AC Results'!$S$5:$S$238,"DMK+INC+VCK")</f>
        <v>2</v>
      </c>
      <c r="T20">
        <f t="shared" si="3"/>
        <v>1</v>
      </c>
    </row>
    <row r="21" spans="1:20" x14ac:dyDescent="0.2">
      <c r="A21" s="3" t="s">
        <v>176</v>
      </c>
      <c r="B21" s="8">
        <v>84</v>
      </c>
      <c r="C21" s="8">
        <v>80</v>
      </c>
      <c r="D21" s="8">
        <v>44</v>
      </c>
      <c r="E21" s="8">
        <v>14</v>
      </c>
      <c r="F21" s="8">
        <v>1</v>
      </c>
      <c r="G21" s="9">
        <f t="shared" si="0"/>
        <v>223</v>
      </c>
      <c r="H21" s="7">
        <f>MAX(0,IF($G21=0,0,B21/$G21)+'Statewide Votes'!$H$9/100)</f>
        <v>0.33205502022787226</v>
      </c>
      <c r="I21" s="7">
        <f>MAX(0,IF($G21=0,0,C21/$G21)+'Statewide Votes'!$I$9/100)</f>
        <v>0.36614390110866013</v>
      </c>
      <c r="J21" s="7">
        <f>MAX(0,IF($G21=0,0,D21/$G21)+'Statewide Votes'!$J$9/100)</f>
        <v>0.24165737316305433</v>
      </c>
      <c r="K21" s="7">
        <f>MAX(0,IF($G21=0,0,E21/$G21)+'Statewide Votes'!$K$9/100)</f>
        <v>5.3996952360536088E-2</v>
      </c>
      <c r="L21" s="7">
        <f>MAX(0,IF($G21=0,0,F21/$G21)+'Statewide Votes'!$L$9/100)</f>
        <v>6.1467531398772049E-3</v>
      </c>
      <c r="M21" t="str">
        <f>INDEX({"TVK","AIADMK+BJP+PMK+AMMK","DMK+INC+VCK","NTK","NOTA"},MATCH(MAX(H21:L21),H21:L21,0))</f>
        <v>AIADMK+BJP+PMK+AMMK</v>
      </c>
      <c r="N21">
        <f t="shared" si="1"/>
        <v>3.4</v>
      </c>
      <c r="O21">
        <f t="shared" si="2"/>
        <v>-3.4</v>
      </c>
      <c r="P21">
        <f>COUNTIF('AC Results'!$B$5:$B$238,$A21)</f>
        <v>6</v>
      </c>
      <c r="Q21">
        <f>COUNTIFS('AC Results'!$B$5:$B$238,$A21,'AC Results'!$S$5:$S$238,"TVK")</f>
        <v>2</v>
      </c>
      <c r="R21">
        <f>COUNTIFS('AC Results'!$B$5:$B$238,$A21,'AC Results'!$S$5:$S$238,"AIADMK+BJP+PMK+AMMK")</f>
        <v>4</v>
      </c>
      <c r="S21">
        <f>COUNTIFS('AC Results'!$B$5:$B$238,$A21,'AC Results'!$S$5:$S$238,"DMK+INC+VCK")</f>
        <v>0</v>
      </c>
      <c r="T21">
        <f t="shared" si="3"/>
        <v>0</v>
      </c>
    </row>
    <row r="22" spans="1:20" x14ac:dyDescent="0.2">
      <c r="A22" s="3" t="s">
        <v>182</v>
      </c>
      <c r="B22" s="8">
        <v>35</v>
      </c>
      <c r="C22" s="8">
        <v>25</v>
      </c>
      <c r="D22" s="8">
        <v>28</v>
      </c>
      <c r="E22" s="8">
        <v>6</v>
      </c>
      <c r="F22" s="8">
        <v>0</v>
      </c>
      <c r="G22" s="9">
        <f t="shared" si="0"/>
        <v>94</v>
      </c>
      <c r="H22" s="7">
        <f>MAX(0,IF($G22=0,0,B22/$G22)+'Statewide Votes'!$H$9/100)</f>
        <v>0.32771383141001137</v>
      </c>
      <c r="I22" s="7">
        <f>MAX(0,IF($G22=0,0,C22/$G22)+'Statewide Votes'!$I$9/100)</f>
        <v>0.2733569532983367</v>
      </c>
      <c r="J22" s="7">
        <f>MAX(0,IF($G22=0,0,D22/$G22)+'Statewide Votes'!$J$9/100)</f>
        <v>0.3422202965482275</v>
      </c>
      <c r="K22" s="7">
        <f>MAX(0,IF($G22=0,0,E22/$G22)+'Statewide Votes'!$K$9/100)</f>
        <v>5.5046470536282671E-2</v>
      </c>
      <c r="L22" s="7">
        <f>MAX(0,IF($G22=0,0,F22/$G22)+'Statewide Votes'!$L$9/100)</f>
        <v>1.662448207141779E-3</v>
      </c>
      <c r="M22" t="str">
        <f>INDEX({"TVK","AIADMK+BJP+PMK+AMMK","DMK+INC+VCK","NTK","NOTA"},MATCH(MAX(H22:L22),H22:L22,0))</f>
        <v>DMK+INC+VCK</v>
      </c>
      <c r="N22">
        <f t="shared" si="1"/>
        <v>1.5</v>
      </c>
      <c r="O22">
        <f t="shared" si="2"/>
        <v>-1.5</v>
      </c>
      <c r="P22">
        <f>COUNTIF('AC Results'!$B$5:$B$238,$A22)</f>
        <v>2</v>
      </c>
      <c r="Q22">
        <f>COUNTIFS('AC Results'!$B$5:$B$238,$A22,'AC Results'!$S$5:$S$238,"TVK")</f>
        <v>1</v>
      </c>
      <c r="R22">
        <f>COUNTIFS('AC Results'!$B$5:$B$238,$A22,'AC Results'!$S$5:$S$238,"AIADMK+BJP+PMK+AMMK")</f>
        <v>0</v>
      </c>
      <c r="S22">
        <f>COUNTIFS('AC Results'!$B$5:$B$238,$A22,'AC Results'!$S$5:$S$238,"DMK+INC+VCK")</f>
        <v>1</v>
      </c>
      <c r="T22">
        <f t="shared" si="3"/>
        <v>0</v>
      </c>
    </row>
    <row r="23" spans="1:20" x14ac:dyDescent="0.2">
      <c r="A23" s="3" t="s">
        <v>184</v>
      </c>
      <c r="B23" s="8">
        <v>88</v>
      </c>
      <c r="C23" s="8">
        <v>46</v>
      </c>
      <c r="D23" s="8">
        <v>43</v>
      </c>
      <c r="E23" s="8">
        <v>23</v>
      </c>
      <c r="F23" s="8">
        <v>1</v>
      </c>
      <c r="G23" s="9">
        <f t="shared" si="0"/>
        <v>201</v>
      </c>
      <c r="H23" s="7">
        <f>MAX(0,IF($G23=0,0,B23/$G23)+'Statewide Votes'!$H$9/100)</f>
        <v>0.39318435115172834</v>
      </c>
      <c r="I23" s="7">
        <f>MAX(0,IF($G23=0,0,C23/$G23)+'Statewide Votes'!$I$9/100)</f>
        <v>0.23625522788286091</v>
      </c>
      <c r="J23" s="7">
        <f>MAX(0,IF($G23=0,0,D23/$G23)+'Statewide Votes'!$J$9/100)</f>
        <v>0.25827830438140209</v>
      </c>
      <c r="K23" s="7">
        <f>MAX(0,IF($G23=0,0,E23/$G23)+'Statewide Votes'!$K$9/100)</f>
        <v>0.10564454399875754</v>
      </c>
      <c r="L23" s="7">
        <f>MAX(0,IF($G23=0,0,F23/$G23)+'Statewide Votes'!$L$9/100)</f>
        <v>6.6375725852512316E-3</v>
      </c>
      <c r="M23" t="str">
        <f>INDEX({"TVK","AIADMK+BJP+PMK+AMMK","DMK+INC+VCK","NTK","NOTA"},MATCH(MAX(H23:L23),H23:L23,0))</f>
        <v>TVK</v>
      </c>
      <c r="N23">
        <f t="shared" si="1"/>
        <v>13.5</v>
      </c>
      <c r="O23">
        <f t="shared" si="2"/>
        <v>13.5</v>
      </c>
      <c r="P23">
        <f>COUNTIF('AC Results'!$B$5:$B$238,$A23)</f>
        <v>6</v>
      </c>
      <c r="Q23">
        <f>COUNTIFS('AC Results'!$B$5:$B$238,$A23,'AC Results'!$S$5:$S$238,"TVK")</f>
        <v>3</v>
      </c>
      <c r="R23">
        <f>COUNTIFS('AC Results'!$B$5:$B$238,$A23,'AC Results'!$S$5:$S$238,"AIADMK+BJP+PMK+AMMK")</f>
        <v>2</v>
      </c>
      <c r="S23">
        <f>COUNTIFS('AC Results'!$B$5:$B$238,$A23,'AC Results'!$S$5:$S$238,"DMK+INC+VCK")</f>
        <v>1</v>
      </c>
      <c r="T23">
        <f t="shared" si="3"/>
        <v>0</v>
      </c>
    </row>
    <row r="24" spans="1:20" x14ac:dyDescent="0.2">
      <c r="A24" s="3" t="s">
        <v>190</v>
      </c>
      <c r="B24" s="8">
        <v>77</v>
      </c>
      <c r="C24" s="8">
        <v>52</v>
      </c>
      <c r="D24" s="8">
        <v>60</v>
      </c>
      <c r="E24" s="8">
        <v>25</v>
      </c>
      <c r="F24" s="8">
        <v>1</v>
      </c>
      <c r="G24" s="9">
        <f t="shared" si="0"/>
        <v>215</v>
      </c>
      <c r="H24" s="7">
        <f>MAX(0,IF($G24=0,0,B24/$G24)+'Statewide Votes'!$H$9/100)</f>
        <v>0.3135129407618174</v>
      </c>
      <c r="I24" s="7">
        <f>MAX(0,IF($G24=0,0,C24/$G24)+'Statewide Votes'!$I$9/100)</f>
        <v>0.24925997160610514</v>
      </c>
      <c r="J24" s="7">
        <f>MAX(0,IF($G24=0,0,D24/$G24)+'Statewide Votes'!$J$9/100)</f>
        <v>0.32341772356455606</v>
      </c>
      <c r="K24" s="7">
        <f>MAX(0,IF($G24=0,0,E24/$G24)+'Statewide Votes'!$K$9/100)</f>
        <v>0.10749575306968198</v>
      </c>
      <c r="L24" s="7">
        <f>MAX(0,IF($G24=0,0,F24/$G24)+'Statewide Votes'!$L$9/100)</f>
        <v>6.3136109978394533E-3</v>
      </c>
      <c r="M24" t="str">
        <f>INDEX({"TVK","AIADMK+BJP+PMK+AMMK","DMK+INC+VCK","NTK","NOTA"},MATCH(MAX(H24:L24),H24:L24,0))</f>
        <v>DMK+INC+VCK</v>
      </c>
      <c r="N24">
        <f t="shared" si="1"/>
        <v>1</v>
      </c>
      <c r="O24">
        <f t="shared" si="2"/>
        <v>-1</v>
      </c>
      <c r="P24">
        <f>COUNTIF('AC Results'!$B$5:$B$238,$A24)</f>
        <v>4</v>
      </c>
      <c r="Q24">
        <f>COUNTIFS('AC Results'!$B$5:$B$238,$A24,'AC Results'!$S$5:$S$238,"TVK")</f>
        <v>2</v>
      </c>
      <c r="R24">
        <f>COUNTIFS('AC Results'!$B$5:$B$238,$A24,'AC Results'!$S$5:$S$238,"AIADMK+BJP+PMK+AMMK")</f>
        <v>0</v>
      </c>
      <c r="S24">
        <f>COUNTIFS('AC Results'!$B$5:$B$238,$A24,'AC Results'!$S$5:$S$238,"DMK+INC+VCK")</f>
        <v>2</v>
      </c>
      <c r="T24">
        <f t="shared" si="3"/>
        <v>0</v>
      </c>
    </row>
    <row r="25" spans="1:20" x14ac:dyDescent="0.2">
      <c r="A25" s="3" t="s">
        <v>194</v>
      </c>
      <c r="B25" s="8">
        <v>40</v>
      </c>
      <c r="C25" s="8">
        <v>39</v>
      </c>
      <c r="D25" s="8">
        <v>25</v>
      </c>
      <c r="E25" s="8">
        <v>11</v>
      </c>
      <c r="F25" s="8">
        <v>0</v>
      </c>
      <c r="G25" s="9">
        <f t="shared" si="0"/>
        <v>115</v>
      </c>
      <c r="H25" s="7">
        <f>MAX(0,IF($G25=0,0,B25/$G25)+'Statewide Votes'!$H$9/100)</f>
        <v>0.30319949283461822</v>
      </c>
      <c r="I25" s="7">
        <f>MAX(0,IF($G25=0,0,C25/$G25)+'Statewide Votes'!$I$9/100)</f>
        <v>0.34652994127243475</v>
      </c>
      <c r="J25" s="7">
        <f>MAX(0,IF($G25=0,0,D25/$G25)+'Statewide Votes'!$J$9/100)</f>
        <v>0.26173926047052165</v>
      </c>
      <c r="K25" s="7">
        <f>MAX(0,IF($G25=0,0,E25/$G25)+'Statewide Votes'!$K$9/100)</f>
        <v>8.6868857215283604E-2</v>
      </c>
      <c r="L25" s="7">
        <f>MAX(0,IF($G25=0,0,F25/$G25)+'Statewide Votes'!$L$9/100)</f>
        <v>1.662448207141779E-3</v>
      </c>
      <c r="M25" t="str">
        <f>INDEX({"TVK","AIADMK+BJP+PMK+AMMK","DMK+INC+VCK","NTK","NOTA"},MATCH(MAX(H25:L25),H25:L25,0))</f>
        <v>AIADMK+BJP+PMK+AMMK</v>
      </c>
      <c r="N25">
        <f t="shared" si="1"/>
        <v>4.3</v>
      </c>
      <c r="O25">
        <f t="shared" si="2"/>
        <v>-4.3</v>
      </c>
      <c r="P25">
        <f>COUNTIF('AC Results'!$B$5:$B$238,$A25)</f>
        <v>4</v>
      </c>
      <c r="Q25">
        <f>COUNTIFS('AC Results'!$B$5:$B$238,$A25,'AC Results'!$S$5:$S$238,"TVK")</f>
        <v>1</v>
      </c>
      <c r="R25">
        <f>COUNTIFS('AC Results'!$B$5:$B$238,$A25,'AC Results'!$S$5:$S$238,"AIADMK+BJP+PMK+AMMK")</f>
        <v>2</v>
      </c>
      <c r="S25">
        <f>COUNTIFS('AC Results'!$B$5:$B$238,$A25,'AC Results'!$S$5:$S$238,"DMK+INC+VCK")</f>
        <v>1</v>
      </c>
      <c r="T25">
        <f t="shared" si="3"/>
        <v>0</v>
      </c>
    </row>
    <row r="26" spans="1:20" x14ac:dyDescent="0.2">
      <c r="A26" s="3" t="s">
        <v>198</v>
      </c>
      <c r="B26" s="8">
        <v>209</v>
      </c>
      <c r="C26" s="8">
        <v>153</v>
      </c>
      <c r="D26" s="8">
        <v>108</v>
      </c>
      <c r="E26" s="8">
        <v>45</v>
      </c>
      <c r="F26" s="8">
        <v>0</v>
      </c>
      <c r="G26" s="9">
        <f t="shared" si="0"/>
        <v>515</v>
      </c>
      <c r="H26" s="7">
        <f>MAX(0,IF($G26=0,0,B26/$G26)+'Statewide Votes'!$H$9/100)</f>
        <v>0.3611986485965431</v>
      </c>
      <c r="I26" s="7">
        <f>MAX(0,IF($G26=0,0,C26/$G26)+'Statewide Votes'!$I$9/100)</f>
        <v>0.30448688513060279</v>
      </c>
      <c r="J26" s="7">
        <f>MAX(0,IF($G26=0,0,D26/$G26)+'Statewide Votes'!$J$9/100)</f>
        <v>0.25405669398677327</v>
      </c>
      <c r="K26" s="7">
        <f>MAX(0,IF($G26=0,0,E26/$G26)+'Statewide Votes'!$K$9/100)</f>
        <v>7.8595324078939155E-2</v>
      </c>
      <c r="L26" s="7">
        <f>MAX(0,IF($G26=0,0,F26/$G26)+'Statewide Votes'!$L$9/100)</f>
        <v>1.662448207141779E-3</v>
      </c>
      <c r="M26" t="str">
        <f>INDEX({"TVK","AIADMK+BJP+PMK+AMMK","DMK+INC+VCK","NTK","NOTA"},MATCH(MAX(H26:L26),H26:L26,0))</f>
        <v>TVK</v>
      </c>
      <c r="N26">
        <f t="shared" si="1"/>
        <v>5.7</v>
      </c>
      <c r="O26">
        <f t="shared" si="2"/>
        <v>5.7</v>
      </c>
      <c r="P26">
        <f>COUNTIF('AC Results'!$B$5:$B$238,$A26)</f>
        <v>11</v>
      </c>
      <c r="Q26">
        <f>COUNTIFS('AC Results'!$B$5:$B$238,$A26,'AC Results'!$S$5:$S$238,"TVK")</f>
        <v>6</v>
      </c>
      <c r="R26">
        <f>COUNTIFS('AC Results'!$B$5:$B$238,$A26,'AC Results'!$S$5:$S$238,"AIADMK+BJP+PMK+AMMK")</f>
        <v>3</v>
      </c>
      <c r="S26">
        <f>COUNTIFS('AC Results'!$B$5:$B$238,$A26,'AC Results'!$S$5:$S$238,"DMK+INC+VCK")</f>
        <v>2</v>
      </c>
      <c r="T26">
        <f t="shared" si="3"/>
        <v>0</v>
      </c>
    </row>
    <row r="27" spans="1:20" x14ac:dyDescent="0.2">
      <c r="A27" s="3" t="s">
        <v>210</v>
      </c>
      <c r="B27" s="8">
        <v>64</v>
      </c>
      <c r="C27" s="8">
        <v>33</v>
      </c>
      <c r="D27" s="8">
        <v>30</v>
      </c>
      <c r="E27" s="8">
        <v>21</v>
      </c>
      <c r="F27" s="8">
        <v>1</v>
      </c>
      <c r="G27" s="9">
        <f t="shared" si="0"/>
        <v>149</v>
      </c>
      <c r="H27" s="7">
        <f>MAX(0,IF($G27=0,0,B27/$G27)+'Statewide Votes'!$H$9/100)</f>
        <v>0.38490360722037836</v>
      </c>
      <c r="I27" s="7">
        <f>MAX(0,IF($G27=0,0,C27/$G27)+'Statewide Votes'!$I$9/100)</f>
        <v>0.22887601655694018</v>
      </c>
      <c r="J27" s="7">
        <f>MAX(0,IF($G27=0,0,D27/$G27)+'Statewide Votes'!$J$9/100)</f>
        <v>0.24569023800189022</v>
      </c>
      <c r="K27" s="7">
        <f>MAX(0,IF($G27=0,0,E27/$G27)+'Statewide Votes'!$K$9/100)</f>
        <v>0.13215628061767637</v>
      </c>
      <c r="L27" s="7">
        <f>MAX(0,IF($G27=0,0,F27/$G27)+'Statewide Votes'!$L$9/100)</f>
        <v>8.3738576031149332E-3</v>
      </c>
      <c r="M27" t="str">
        <f>INDEX({"TVK","AIADMK+BJP+PMK+AMMK","DMK+INC+VCK","NTK","NOTA"},MATCH(MAX(H27:L27),H27:L27,0))</f>
        <v>TVK</v>
      </c>
      <c r="N27">
        <f t="shared" si="1"/>
        <v>13.9</v>
      </c>
      <c r="O27">
        <f t="shared" si="2"/>
        <v>13.9</v>
      </c>
      <c r="P27">
        <f>COUNTIF('AC Results'!$B$5:$B$238,$A27)</f>
        <v>4</v>
      </c>
      <c r="Q27">
        <f>COUNTIFS('AC Results'!$B$5:$B$238,$A27,'AC Results'!$S$5:$S$238,"TVK")</f>
        <v>4</v>
      </c>
      <c r="R27">
        <f>COUNTIFS('AC Results'!$B$5:$B$238,$A27,'AC Results'!$S$5:$S$238,"AIADMK+BJP+PMK+AMMK")</f>
        <v>0</v>
      </c>
      <c r="S27">
        <f>COUNTIFS('AC Results'!$B$5:$B$238,$A27,'AC Results'!$S$5:$S$238,"DMK+INC+VCK")</f>
        <v>0</v>
      </c>
      <c r="T27">
        <f t="shared" si="3"/>
        <v>0</v>
      </c>
    </row>
    <row r="28" spans="1:20" x14ac:dyDescent="0.2">
      <c r="A28" s="3" t="s">
        <v>214</v>
      </c>
      <c r="B28" s="8">
        <v>79</v>
      </c>
      <c r="C28" s="8">
        <v>73</v>
      </c>
      <c r="D28" s="8">
        <v>72</v>
      </c>
      <c r="E28" s="8">
        <v>44</v>
      </c>
      <c r="F28" s="8">
        <v>0</v>
      </c>
      <c r="G28" s="9">
        <f t="shared" si="0"/>
        <v>268</v>
      </c>
      <c r="H28" s="7">
        <f>MAX(0,IF($G28=0,0,B28/$G28)+'Statewide Votes'!$H$9/100)</f>
        <v>0.25014952528108159</v>
      </c>
      <c r="I28" s="7">
        <f>MAX(0,IF($G28=0,0,C28/$G28)+'Statewide Votes'!$I$9/100)</f>
        <v>0.27978756619131862</v>
      </c>
      <c r="J28" s="7">
        <f>MAX(0,IF($G28=0,0,D28/$G28)+'Statewide Votes'!$J$9/100)</f>
        <v>0.31300467254060604</v>
      </c>
      <c r="K28" s="7">
        <f>MAX(0,IF($G28=0,0,E28/$G28)+'Statewide Votes'!$K$9/100)</f>
        <v>0.15539578777985208</v>
      </c>
      <c r="L28" s="7">
        <f>MAX(0,IF($G28=0,0,F28/$G28)+'Statewide Votes'!$L$9/100)</f>
        <v>1.662448207141779E-3</v>
      </c>
      <c r="M28" t="str">
        <f>INDEX({"TVK","AIADMK+BJP+PMK+AMMK","DMK+INC+VCK","NTK","NOTA"},MATCH(MAX(H28:L28),H28:L28,0))</f>
        <v>DMK+INC+VCK</v>
      </c>
      <c r="N28">
        <f t="shared" si="1"/>
        <v>3.3</v>
      </c>
      <c r="O28">
        <f t="shared" si="2"/>
        <v>-6.3</v>
      </c>
      <c r="P28">
        <f>COUNTIF('AC Results'!$B$5:$B$238,$A28)</f>
        <v>5</v>
      </c>
      <c r="Q28">
        <f>COUNTIFS('AC Results'!$B$5:$B$238,$A28,'AC Results'!$S$5:$S$238,"TVK")</f>
        <v>0</v>
      </c>
      <c r="R28">
        <f>COUNTIFS('AC Results'!$B$5:$B$238,$A28,'AC Results'!$S$5:$S$238,"AIADMK+BJP+PMK+AMMK")</f>
        <v>2</v>
      </c>
      <c r="S28">
        <f>COUNTIFS('AC Results'!$B$5:$B$238,$A28,'AC Results'!$S$5:$S$238,"DMK+INC+VCK")</f>
        <v>3</v>
      </c>
      <c r="T28">
        <f t="shared" si="3"/>
        <v>0</v>
      </c>
    </row>
    <row r="29" spans="1:20" x14ac:dyDescent="0.2">
      <c r="A29" s="3" t="s">
        <v>219</v>
      </c>
      <c r="B29" s="8">
        <v>139</v>
      </c>
      <c r="C29" s="8">
        <v>94</v>
      </c>
      <c r="D29" s="8">
        <v>104</v>
      </c>
      <c r="E29" s="8">
        <v>46</v>
      </c>
      <c r="F29" s="8">
        <v>3</v>
      </c>
      <c r="G29" s="9">
        <f t="shared" si="0"/>
        <v>386</v>
      </c>
      <c r="H29" s="7">
        <f>MAX(0,IF($G29=0,0,B29/$G29)+'Statewide Votes'!$H$9/100)</f>
        <v>0.31547703282110168</v>
      </c>
      <c r="I29" s="7">
        <f>MAX(0,IF($G29=0,0,C29/$G29)+'Statewide Votes'!$I$9/100)</f>
        <v>0.25092282255200227</v>
      </c>
      <c r="J29" s="7">
        <f>MAX(0,IF($G29=0,0,D29/$G29)+'Statewide Votes'!$J$9/100)</f>
        <v>0.31377800793616711</v>
      </c>
      <c r="K29" s="7">
        <f>MAX(0,IF($G29=0,0,E29/$G29)+'Statewide Votes'!$K$9/100)</f>
        <v>0.11038766775819867</v>
      </c>
      <c r="L29" s="7">
        <f>MAX(0,IF($G29=0,0,F29/$G29)+'Statewide Votes'!$L$9/100)</f>
        <v>9.4344689325303807E-3</v>
      </c>
      <c r="M29" t="str">
        <f>INDEX({"TVK","AIADMK+BJP+PMK+AMMK","DMK+INC+VCK","NTK","NOTA"},MATCH(MAX(H29:L29),H29:L29,0))</f>
        <v>TVK</v>
      </c>
      <c r="N29">
        <f t="shared" si="1"/>
        <v>0.2</v>
      </c>
      <c r="O29">
        <f t="shared" si="2"/>
        <v>0.2</v>
      </c>
      <c r="P29">
        <f>COUNTIF('AC Results'!$B$5:$B$238,$A29)</f>
        <v>8</v>
      </c>
      <c r="Q29">
        <f>COUNTIFS('AC Results'!$B$5:$B$238,$A29,'AC Results'!$S$5:$S$238,"TVK")</f>
        <v>4</v>
      </c>
      <c r="R29">
        <f>COUNTIFS('AC Results'!$B$5:$B$238,$A29,'AC Results'!$S$5:$S$238,"AIADMK+BJP+PMK+AMMK")</f>
        <v>2</v>
      </c>
      <c r="S29">
        <f>COUNTIFS('AC Results'!$B$5:$B$238,$A29,'AC Results'!$S$5:$S$238,"DMK+INC+VCK")</f>
        <v>1</v>
      </c>
      <c r="T29">
        <f t="shared" si="3"/>
        <v>1</v>
      </c>
    </row>
    <row r="30" spans="1:20" x14ac:dyDescent="0.2">
      <c r="A30" s="3" t="s">
        <v>227</v>
      </c>
      <c r="B30" s="8">
        <v>40</v>
      </c>
      <c r="C30" s="8">
        <v>23</v>
      </c>
      <c r="D30" s="8">
        <v>18</v>
      </c>
      <c r="E30" s="8">
        <v>13</v>
      </c>
      <c r="F30" s="8">
        <v>1</v>
      </c>
      <c r="G30" s="9">
        <f t="shared" si="0"/>
        <v>95</v>
      </c>
      <c r="H30" s="7">
        <f>MAX(0,IF($G30=0,0,B30/$G30)+'Statewide Votes'!$H$9/100)</f>
        <v>0.37642603745704384</v>
      </c>
      <c r="I30" s="7">
        <f>MAX(0,IF($G30=0,0,C30/$G30)+'Statewide Votes'!$I$9/100)</f>
        <v>0.24950476964772081</v>
      </c>
      <c r="J30" s="7">
        <f>MAX(0,IF($G30=0,0,D30/$G30)+'Statewide Votes'!$J$9/100)</f>
        <v>0.23382164033322192</v>
      </c>
      <c r="K30" s="7">
        <f>MAX(0,IF($G30=0,0,E30/$G30)+'Statewide Votes'!$K$9/100)</f>
        <v>0.12805878856539804</v>
      </c>
      <c r="L30" s="7">
        <f>MAX(0,IF($G30=0,0,F30/$G30)+'Statewide Votes'!$L$9/100)</f>
        <v>1.2188763996615462E-2</v>
      </c>
      <c r="M30" t="str">
        <f>INDEX({"TVK","AIADMK+BJP+PMK+AMMK","DMK+INC+VCK","NTK","NOTA"},MATCH(MAX(H30:L30),H30:L30,0))</f>
        <v>TVK</v>
      </c>
      <c r="N30">
        <f t="shared" si="1"/>
        <v>12.7</v>
      </c>
      <c r="O30">
        <f t="shared" si="2"/>
        <v>12.7</v>
      </c>
      <c r="P30">
        <f>COUNTIF('AC Results'!$B$5:$B$238,$A30)</f>
        <v>3</v>
      </c>
      <c r="Q30">
        <f>COUNTIFS('AC Results'!$B$5:$B$238,$A30,'AC Results'!$S$5:$S$238,"TVK")</f>
        <v>2</v>
      </c>
      <c r="R30">
        <f>COUNTIFS('AC Results'!$B$5:$B$238,$A30,'AC Results'!$S$5:$S$238,"AIADMK+BJP+PMK+AMMK")</f>
        <v>0</v>
      </c>
      <c r="S30">
        <f>COUNTIFS('AC Results'!$B$5:$B$238,$A30,'AC Results'!$S$5:$S$238,"DMK+INC+VCK")</f>
        <v>1</v>
      </c>
      <c r="T30">
        <f t="shared" si="3"/>
        <v>0</v>
      </c>
    </row>
    <row r="31" spans="1:20" x14ac:dyDescent="0.2">
      <c r="A31" s="3" t="s">
        <v>231</v>
      </c>
      <c r="B31" s="8">
        <v>80</v>
      </c>
      <c r="C31" s="8">
        <v>39</v>
      </c>
      <c r="D31" s="8">
        <v>61</v>
      </c>
      <c r="E31" s="8">
        <v>18</v>
      </c>
      <c r="F31" s="8">
        <v>0</v>
      </c>
      <c r="G31" s="9">
        <f t="shared" si="0"/>
        <v>198</v>
      </c>
      <c r="H31" s="7">
        <f>MAX(0,IF($G31=0,0,B31/$G31)+'Statewide Votes'!$H$9/100)</f>
        <v>0.35941380991850053</v>
      </c>
      <c r="I31" s="7">
        <f>MAX(0,IF($G31=0,0,C31/$G31)+'Statewide Votes'!$I$9/100)</f>
        <v>0.20436920345952303</v>
      </c>
      <c r="J31" s="7">
        <f>MAX(0,IF($G31=0,0,D31/$G31)+'Statewide Votes'!$J$9/100)</f>
        <v>0.35242876420350366</v>
      </c>
      <c r="K31" s="7">
        <f>MAX(0,IF($G31=0,0,E31/$G31)+'Statewide Votes'!$K$9/100)</f>
        <v>8.2125774211331035E-2</v>
      </c>
      <c r="L31" s="7">
        <f>MAX(0,IF($G31=0,0,F31/$G31)+'Statewide Votes'!$L$9/100)</f>
        <v>1.662448207141779E-3</v>
      </c>
      <c r="M31" t="str">
        <f>INDEX({"TVK","AIADMK+BJP+PMK+AMMK","DMK+INC+VCK","NTK","NOTA"},MATCH(MAX(H31:L31),H31:L31,0))</f>
        <v>TVK</v>
      </c>
      <c r="N31">
        <f t="shared" si="1"/>
        <v>0.7</v>
      </c>
      <c r="O31">
        <f t="shared" si="2"/>
        <v>0.7</v>
      </c>
      <c r="P31">
        <f>COUNTIF('AC Results'!$B$5:$B$238,$A31)</f>
        <v>4</v>
      </c>
      <c r="Q31">
        <f>COUNTIFS('AC Results'!$B$5:$B$238,$A31,'AC Results'!$S$5:$S$238,"TVK")</f>
        <v>1</v>
      </c>
      <c r="R31">
        <f>COUNTIFS('AC Results'!$B$5:$B$238,$A31,'AC Results'!$S$5:$S$238,"AIADMK+BJP+PMK+AMMK")</f>
        <v>1</v>
      </c>
      <c r="S31">
        <f>COUNTIFS('AC Results'!$B$5:$B$238,$A31,'AC Results'!$S$5:$S$238,"DMK+INC+VCK")</f>
        <v>2</v>
      </c>
      <c r="T31">
        <f t="shared" si="3"/>
        <v>0</v>
      </c>
    </row>
    <row r="32" spans="1:20" x14ac:dyDescent="0.2">
      <c r="A32" s="3" t="s">
        <v>236</v>
      </c>
      <c r="B32" s="8">
        <v>366</v>
      </c>
      <c r="C32" s="8">
        <v>180</v>
      </c>
      <c r="D32" s="8">
        <v>220</v>
      </c>
      <c r="E32" s="8">
        <v>51</v>
      </c>
      <c r="F32" s="8">
        <v>13</v>
      </c>
      <c r="G32" s="9">
        <f t="shared" si="0"/>
        <v>830</v>
      </c>
      <c r="H32" s="7">
        <f>MAX(0,IF($G32=0,0,B32/$G32)+'Statewide Votes'!$H$9/100)</f>
        <v>0.39633726129978325</v>
      </c>
      <c r="I32" s="7">
        <f>MAX(0,IF($G32=0,0,C32/$G32)+'Statewide Votes'!$I$9/100)</f>
        <v>0.22426697636934415</v>
      </c>
      <c r="J32" s="7">
        <f>MAX(0,IF($G32=0,0,D32/$G32)+'Statewide Votes'!$J$9/100)</f>
        <v>0.30940819708655104</v>
      </c>
      <c r="K32" s="7">
        <f>MAX(0,IF($G32=0,0,E32/$G32)+'Statewide Votes'!$K$9/100)</f>
        <v>5.2662466434770246E-2</v>
      </c>
      <c r="L32" s="7">
        <f>MAX(0,IF($G32=0,0,F32/$G32)+'Statewide Votes'!$L$9/100)</f>
        <v>1.732509880955142E-2</v>
      </c>
      <c r="M32" t="str">
        <f>INDEX({"TVK","AIADMK+BJP+PMK+AMMK","DMK+INC+VCK","NTK","NOTA"},MATCH(MAX(H32:L32),H32:L32,0))</f>
        <v>TVK</v>
      </c>
      <c r="N32">
        <f t="shared" si="1"/>
        <v>8.6999999999999993</v>
      </c>
      <c r="O32">
        <f t="shared" si="2"/>
        <v>8.6999999999999993</v>
      </c>
      <c r="P32">
        <f>COUNTIF('AC Results'!$B$5:$B$238,$A32)</f>
        <v>10</v>
      </c>
      <c r="Q32">
        <f>COUNTIFS('AC Results'!$B$5:$B$238,$A32,'AC Results'!$S$5:$S$238,"TVK")</f>
        <v>8</v>
      </c>
      <c r="R32">
        <f>COUNTIFS('AC Results'!$B$5:$B$238,$A32,'AC Results'!$S$5:$S$238,"AIADMK+BJP+PMK+AMMK")</f>
        <v>0</v>
      </c>
      <c r="S32">
        <f>COUNTIFS('AC Results'!$B$5:$B$238,$A32,'AC Results'!$S$5:$S$238,"DMK+INC+VCK")</f>
        <v>2</v>
      </c>
      <c r="T32">
        <f t="shared" si="3"/>
        <v>0</v>
      </c>
    </row>
    <row r="33" spans="1:20" x14ac:dyDescent="0.2">
      <c r="A33" s="3" t="s">
        <v>246</v>
      </c>
      <c r="B33" s="8">
        <v>132</v>
      </c>
      <c r="C33" s="8">
        <v>82</v>
      </c>
      <c r="D33" s="8">
        <v>92</v>
      </c>
      <c r="E33" s="8">
        <v>37</v>
      </c>
      <c r="F33" s="8">
        <v>1</v>
      </c>
      <c r="G33" s="9">
        <f t="shared" si="0"/>
        <v>344</v>
      </c>
      <c r="H33" s="7">
        <f>MAX(0,IF($G33=0,0,B33/$G33)+'Statewide Votes'!$H$9/100)</f>
        <v>0.33909433611065465</v>
      </c>
      <c r="I33" s="7">
        <f>MAX(0,IF($G33=0,0,C33/$G33)+'Statewide Votes'!$I$9/100)</f>
        <v>0.24577159951308189</v>
      </c>
      <c r="J33" s="7">
        <f>MAX(0,IF($G33=0,0,D33/$G33)+'Statewide Votes'!$J$9/100)</f>
        <v>0.31178981658781185</v>
      </c>
      <c r="K33" s="7">
        <f>MAX(0,IF($G33=0,0,E33/$G33)+'Statewide Votes'!$K$9/100)</f>
        <v>9.8774822837123841E-2</v>
      </c>
      <c r="L33" s="7">
        <f>MAX(0,IF($G33=0,0,F33/$G33)+'Statewide Votes'!$L$9/100)</f>
        <v>4.5694249513278254E-3</v>
      </c>
      <c r="M33" t="str">
        <f>INDEX({"TVK","AIADMK+BJP+PMK+AMMK","DMK+INC+VCK","NTK","NOTA"},MATCH(MAX(H33:L33),H33:L33,0))</f>
        <v>TVK</v>
      </c>
      <c r="N33">
        <f t="shared" si="1"/>
        <v>2.7</v>
      </c>
      <c r="O33">
        <f t="shared" si="2"/>
        <v>2.7</v>
      </c>
      <c r="P33">
        <f>COUNTIF('AC Results'!$B$5:$B$238,$A33)</f>
        <v>6</v>
      </c>
      <c r="Q33">
        <f>COUNTIFS('AC Results'!$B$5:$B$238,$A33,'AC Results'!$S$5:$S$238,"TVK")</f>
        <v>2</v>
      </c>
      <c r="R33">
        <f>COUNTIFS('AC Results'!$B$5:$B$238,$A33,'AC Results'!$S$5:$S$238,"AIADMK+BJP+PMK+AMMK")</f>
        <v>1</v>
      </c>
      <c r="S33">
        <f>COUNTIFS('AC Results'!$B$5:$B$238,$A33,'AC Results'!$S$5:$S$238,"DMK+INC+VCK")</f>
        <v>3</v>
      </c>
      <c r="T33">
        <f t="shared" si="3"/>
        <v>0</v>
      </c>
    </row>
    <row r="34" spans="1:20" x14ac:dyDescent="0.2">
      <c r="A34" s="3" t="s">
        <v>253</v>
      </c>
      <c r="B34" s="8">
        <v>194</v>
      </c>
      <c r="C34" s="8">
        <v>146</v>
      </c>
      <c r="D34" s="8">
        <v>130</v>
      </c>
      <c r="E34" s="8">
        <v>38</v>
      </c>
      <c r="F34" s="8">
        <v>5</v>
      </c>
      <c r="G34" s="9">
        <f t="shared" si="0"/>
        <v>513</v>
      </c>
      <c r="H34" s="7">
        <f>MAX(0,IF($G34=0,0,B34/$G34)+'Statewide Votes'!$H$9/100)</f>
        <v>0.33354104720363253</v>
      </c>
      <c r="I34" s="7">
        <f>MAX(0,IF($G34=0,0,C34/$G34)+'Statewide Votes'!$I$9/100)</f>
        <v>0.29199989635337381</v>
      </c>
      <c r="J34" s="7">
        <f>MAX(0,IF($G34=0,0,D34/$G34)+'Statewide Votes'!$J$9/100)</f>
        <v>0.29775926216558057</v>
      </c>
      <c r="K34" s="7">
        <f>MAX(0,IF($G34=0,0,E34/$G34)+'Statewide Votes'!$K$9/100)</f>
        <v>6.5290757376314193E-2</v>
      </c>
      <c r="L34" s="7">
        <f>MAX(0,IF($G34=0,0,F34/$G34)+'Statewide Votes'!$L$9/100)</f>
        <v>1.1409036901098894E-2</v>
      </c>
      <c r="M34" t="str">
        <f>INDEX({"TVK","AIADMK+BJP+PMK+AMMK","DMK+INC+VCK","NTK","NOTA"},MATCH(MAX(H34:L34),H34:L34,0))</f>
        <v>TVK</v>
      </c>
      <c r="N34">
        <f t="shared" si="1"/>
        <v>3.6</v>
      </c>
      <c r="O34">
        <f t="shared" si="2"/>
        <v>3.6</v>
      </c>
      <c r="P34">
        <f>COUNTIF('AC Results'!$B$5:$B$238,$A34)</f>
        <v>9</v>
      </c>
      <c r="Q34">
        <f>COUNTIFS('AC Results'!$B$5:$B$238,$A34,'AC Results'!$S$5:$S$238,"TVK")</f>
        <v>4</v>
      </c>
      <c r="R34">
        <f>COUNTIFS('AC Results'!$B$5:$B$238,$A34,'AC Results'!$S$5:$S$238,"AIADMK+BJP+PMK+AMMK")</f>
        <v>2</v>
      </c>
      <c r="S34">
        <f>COUNTIFS('AC Results'!$B$5:$B$238,$A34,'AC Results'!$S$5:$S$238,"DMK+INC+VCK")</f>
        <v>3</v>
      </c>
      <c r="T34">
        <f t="shared" si="3"/>
        <v>0</v>
      </c>
    </row>
    <row r="35" spans="1:20" x14ac:dyDescent="0.2">
      <c r="A35" s="3" t="s">
        <v>263</v>
      </c>
      <c r="B35" s="8">
        <v>110</v>
      </c>
      <c r="C35" s="8">
        <v>63</v>
      </c>
      <c r="D35" s="8">
        <v>91</v>
      </c>
      <c r="E35" s="8">
        <v>35</v>
      </c>
      <c r="F35" s="8">
        <v>4</v>
      </c>
      <c r="G35" s="9">
        <f t="shared" si="0"/>
        <v>303</v>
      </c>
      <c r="H35" s="7">
        <f>MAX(0,IF($G35=0,0,B35/$G35)+'Statewide Votes'!$H$9/100)</f>
        <v>0.31840970950845954</v>
      </c>
      <c r="I35" s="7">
        <f>MAX(0,IF($G35=0,0,C35/$G35)+'Statewide Votes'!$I$9/100)</f>
        <v>0.21532029856903398</v>
      </c>
      <c r="J35" s="7">
        <f>MAX(0,IF($G35=0,0,D35/$G35)+'Statewide Votes'!$J$9/100)</f>
        <v>0.34467798912599595</v>
      </c>
      <c r="K35" s="7">
        <f>MAX(0,IF($G35=0,0,E35/$G35)+'Statewide Votes'!$K$9/100)</f>
        <v>0.10672823445735563</v>
      </c>
      <c r="L35" s="7">
        <f>MAX(0,IF($G35=0,0,F35/$G35)+'Statewide Votes'!$L$9/100)</f>
        <v>1.4863768339154981E-2</v>
      </c>
      <c r="M35" t="str">
        <f>INDEX({"TVK","AIADMK+BJP+PMK+AMMK","DMK+INC+VCK","NTK","NOTA"},MATCH(MAX(H35:L35),H35:L35,0))</f>
        <v>DMK+INC+VCK</v>
      </c>
      <c r="N35">
        <f t="shared" si="1"/>
        <v>2.6</v>
      </c>
      <c r="O35">
        <f t="shared" si="2"/>
        <v>-2.6</v>
      </c>
      <c r="P35">
        <f>COUNTIF('AC Results'!$B$5:$B$238,$A35)</f>
        <v>5</v>
      </c>
      <c r="Q35">
        <f>COUNTIFS('AC Results'!$B$5:$B$238,$A35,'AC Results'!$S$5:$S$238,"TVK")</f>
        <v>2</v>
      </c>
      <c r="R35">
        <f>COUNTIFS('AC Results'!$B$5:$B$238,$A35,'AC Results'!$S$5:$S$238,"AIADMK+BJP+PMK+AMMK")</f>
        <v>1</v>
      </c>
      <c r="S35">
        <f>COUNTIFS('AC Results'!$B$5:$B$238,$A35,'AC Results'!$S$5:$S$238,"DMK+INC+VCK")</f>
        <v>2</v>
      </c>
      <c r="T35">
        <f t="shared" si="3"/>
        <v>0</v>
      </c>
    </row>
    <row r="36" spans="1:20" x14ac:dyDescent="0.2">
      <c r="A36" s="3" t="s">
        <v>268</v>
      </c>
      <c r="B36" s="8">
        <v>58</v>
      </c>
      <c r="C36" s="8">
        <v>27</v>
      </c>
      <c r="D36" s="8">
        <v>44</v>
      </c>
      <c r="E36" s="8">
        <v>4</v>
      </c>
      <c r="F36" s="8">
        <v>0</v>
      </c>
      <c r="G36" s="9">
        <f t="shared" si="0"/>
        <v>133</v>
      </c>
      <c r="H36" s="7">
        <f>MAX(0,IF($G36=0,0,B36/$G36)+'Statewide Votes'!$H$9/100)</f>
        <v>0.39146363144200624</v>
      </c>
      <c r="I36" s="7">
        <f>MAX(0,IF($G36=0,0,C36/$G36)+'Statewide Votes'!$I$9/100)</f>
        <v>0.21040702528681854</v>
      </c>
      <c r="J36" s="7">
        <f>MAX(0,IF($G36=0,0,D36/$G36)+'Statewide Votes'!$J$9/100)</f>
        <v>0.37517502379186851</v>
      </c>
      <c r="K36" s="7">
        <f>MAX(0,IF($G36=0,0,E36/$G36)+'Statewide Votes'!$K$9/100)</f>
        <v>2.1291871272164933E-2</v>
      </c>
      <c r="L36" s="7">
        <f>MAX(0,IF($G36=0,0,F36/$G36)+'Statewide Votes'!$L$9/100)</f>
        <v>1.662448207141779E-3</v>
      </c>
      <c r="M36" t="str">
        <f>INDEX({"TVK","AIADMK+BJP+PMK+AMMK","DMK+INC+VCK","NTK","NOTA"},MATCH(MAX(H36:L36),H36:L36,0))</f>
        <v>TVK</v>
      </c>
      <c r="N36">
        <f t="shared" si="1"/>
        <v>1.6</v>
      </c>
      <c r="O36">
        <f t="shared" si="2"/>
        <v>1.6</v>
      </c>
      <c r="P36">
        <f>COUNTIF('AC Results'!$B$5:$B$238,$A36)</f>
        <v>4</v>
      </c>
      <c r="Q36">
        <f>COUNTIFS('AC Results'!$B$5:$B$238,$A36,'AC Results'!$S$5:$S$238,"TVK")</f>
        <v>2</v>
      </c>
      <c r="R36">
        <f>COUNTIFS('AC Results'!$B$5:$B$238,$A36,'AC Results'!$S$5:$S$238,"AIADMK+BJP+PMK+AMMK")</f>
        <v>0</v>
      </c>
      <c r="S36">
        <f>COUNTIFS('AC Results'!$B$5:$B$238,$A36,'AC Results'!$S$5:$S$238,"DMK+INC+VCK")</f>
        <v>2</v>
      </c>
      <c r="T36">
        <f t="shared" si="3"/>
        <v>0</v>
      </c>
    </row>
    <row r="37" spans="1:20" x14ac:dyDescent="0.2">
      <c r="A37" s="3" t="s">
        <v>272</v>
      </c>
      <c r="B37" s="8">
        <v>178</v>
      </c>
      <c r="C37" s="8">
        <v>115</v>
      </c>
      <c r="D37" s="8">
        <v>79</v>
      </c>
      <c r="E37" s="8">
        <v>28</v>
      </c>
      <c r="F37" s="8">
        <v>2</v>
      </c>
      <c r="G37" s="9">
        <f t="shared" si="0"/>
        <v>402</v>
      </c>
      <c r="H37" s="7">
        <f>MAX(0,IF($G37=0,0,B37/$G37)+'Statewide Votes'!$H$9/100)</f>
        <v>0.39815947552983777</v>
      </c>
      <c r="I37" s="7">
        <f>MAX(0,IF($G37=0,0,C37/$G37)+'Statewide Votes'!$I$9/100)</f>
        <v>0.29346915823111958</v>
      </c>
      <c r="J37" s="7">
        <f>MAX(0,IF($G37=0,0,D37/$G37)+'Statewide Votes'!$J$9/100)</f>
        <v>0.24086536905801897</v>
      </c>
      <c r="K37" s="7">
        <f>MAX(0,IF($G37=0,0,E37/$G37)+'Statewide Votes'!$K$9/100)</f>
        <v>6.0868424595772463E-2</v>
      </c>
      <c r="L37" s="7">
        <f>MAX(0,IF($G37=0,0,F37/$G37)+'Statewide Votes'!$L$9/100)</f>
        <v>6.6375725852512316E-3</v>
      </c>
      <c r="M37" t="str">
        <f>INDEX({"TVK","AIADMK+BJP+PMK+AMMK","DMK+INC+VCK","NTK","NOTA"},MATCH(MAX(H37:L37),H37:L37,0))</f>
        <v>TVK</v>
      </c>
      <c r="N37">
        <f t="shared" si="1"/>
        <v>10.5</v>
      </c>
      <c r="O37">
        <f t="shared" si="2"/>
        <v>10.5</v>
      </c>
      <c r="P37">
        <f>COUNTIF('AC Results'!$B$5:$B$238,$A37)</f>
        <v>8</v>
      </c>
      <c r="Q37">
        <f>COUNTIFS('AC Results'!$B$5:$B$238,$A37,'AC Results'!$S$5:$S$238,"TVK")</f>
        <v>5</v>
      </c>
      <c r="R37">
        <f>COUNTIFS('AC Results'!$B$5:$B$238,$A37,'AC Results'!$S$5:$S$238,"AIADMK+BJP+PMK+AMMK")</f>
        <v>2</v>
      </c>
      <c r="S37">
        <f>COUNTIFS('AC Results'!$B$5:$B$238,$A37,'AC Results'!$S$5:$S$238,"DMK+INC+VCK")</f>
        <v>1</v>
      </c>
      <c r="T37">
        <f t="shared" si="3"/>
        <v>0</v>
      </c>
    </row>
    <row r="38" spans="1:20" x14ac:dyDescent="0.2">
      <c r="A38" s="3" t="s">
        <v>281</v>
      </c>
      <c r="B38" s="8">
        <v>86</v>
      </c>
      <c r="C38" s="8">
        <v>59</v>
      </c>
      <c r="D38" s="8">
        <v>36</v>
      </c>
      <c r="E38" s="8">
        <v>6</v>
      </c>
      <c r="F38" s="8">
        <v>2</v>
      </c>
      <c r="G38" s="9">
        <f t="shared" si="0"/>
        <v>189</v>
      </c>
      <c r="H38" s="7">
        <f>MAX(0,IF($G38=0,0,B38/$G38)+'Statewide Votes'!$H$9/100)</f>
        <v>0.41039986090455149</v>
      </c>
      <c r="I38" s="7">
        <f>MAX(0,IF($G38=0,0,C38/$G38)+'Statewide Votes'!$I$9/100)</f>
        <v>0.31956881865913822</v>
      </c>
      <c r="J38" s="7">
        <f>MAX(0,IF($G38=0,0,D38/$G38)+'Statewide Votes'!$J$9/100)</f>
        <v>0.23482414659888606</v>
      </c>
      <c r="K38" s="7">
        <f>MAX(0,IF($G38=0,0,E38/$G38)+'Statewide Votes'!$K$9/100)</f>
        <v>2.2962715048271867E-2</v>
      </c>
      <c r="L38" s="7">
        <f>MAX(0,IF($G38=0,0,F38/$G38)+'Statewide Votes'!$L$9/100)</f>
        <v>1.2244458789152361E-2</v>
      </c>
      <c r="M38" t="str">
        <f>INDEX({"TVK","AIADMK+BJP+PMK+AMMK","DMK+INC+VCK","NTK","NOTA"},MATCH(MAX(H38:L38),H38:L38,0))</f>
        <v>TVK</v>
      </c>
      <c r="N38">
        <f t="shared" si="1"/>
        <v>9.1</v>
      </c>
      <c r="O38">
        <f t="shared" si="2"/>
        <v>9.1</v>
      </c>
      <c r="P38">
        <f>COUNTIF('AC Results'!$B$5:$B$238,$A38)</f>
        <v>8</v>
      </c>
      <c r="Q38">
        <f>COUNTIFS('AC Results'!$B$5:$B$238,$A38,'AC Results'!$S$5:$S$238,"TVK")</f>
        <v>6</v>
      </c>
      <c r="R38">
        <f>COUNTIFS('AC Results'!$B$5:$B$238,$A38,'AC Results'!$S$5:$S$238,"AIADMK+BJP+PMK+AMMK")</f>
        <v>1</v>
      </c>
      <c r="S38">
        <f>COUNTIFS('AC Results'!$B$5:$B$238,$A38,'AC Results'!$S$5:$S$238,"DMK+INC+VCK")</f>
        <v>1</v>
      </c>
      <c r="T38">
        <f t="shared" si="3"/>
        <v>0</v>
      </c>
    </row>
    <row r="39" spans="1:20" x14ac:dyDescent="0.2">
      <c r="A39" s="3" t="s">
        <v>289</v>
      </c>
      <c r="B39" s="8">
        <v>56</v>
      </c>
      <c r="C39" s="8">
        <v>47</v>
      </c>
      <c r="D39" s="8">
        <v>61</v>
      </c>
      <c r="E39" s="8">
        <v>23</v>
      </c>
      <c r="F39" s="8">
        <v>1</v>
      </c>
      <c r="G39" s="9">
        <f t="shared" si="0"/>
        <v>188</v>
      </c>
      <c r="H39" s="7">
        <f>MAX(0,IF($G39=0,0,B39/$G39)+'Statewide Votes'!$H$9/100)</f>
        <v>0.25324574630362839</v>
      </c>
      <c r="I39" s="7">
        <f>MAX(0,IF($G39=0,0,C39/$G39)+'Statewide Votes'!$I$9/100)</f>
        <v>0.25739950648982607</v>
      </c>
      <c r="J39" s="7">
        <f>MAX(0,IF($G39=0,0,D39/$G39)+'Statewide Votes'!$J$9/100)</f>
        <v>0.36881604122907857</v>
      </c>
      <c r="K39" s="7">
        <f>MAX(0,IF($G39=0,0,E39/$G39)+'Statewide Votes'!$K$9/100)</f>
        <v>0.11355710883415501</v>
      </c>
      <c r="L39" s="7">
        <f>MAX(0,IF($G39=0,0,F39/$G39)+'Statewide Votes'!$L$9/100)</f>
        <v>6.9815971433119916E-3</v>
      </c>
      <c r="M39" t="str">
        <f>INDEX({"TVK","AIADMK+BJP+PMK+AMMK","DMK+INC+VCK","NTK","NOTA"},MATCH(MAX(H39:L39),H39:L39,0))</f>
        <v>DMK+INC+VCK</v>
      </c>
      <c r="N39">
        <f t="shared" si="1"/>
        <v>11.1</v>
      </c>
      <c r="O39">
        <f t="shared" si="2"/>
        <v>-11.6</v>
      </c>
      <c r="P39">
        <f>COUNTIF('AC Results'!$B$5:$B$238,$A39)</f>
        <v>4</v>
      </c>
      <c r="Q39">
        <f>COUNTIFS('AC Results'!$B$5:$B$238,$A39,'AC Results'!$S$5:$S$238,"TVK")</f>
        <v>1</v>
      </c>
      <c r="R39">
        <f>COUNTIFS('AC Results'!$B$5:$B$238,$A39,'AC Results'!$S$5:$S$238,"AIADMK+BJP+PMK+AMMK")</f>
        <v>0</v>
      </c>
      <c r="S39">
        <f>COUNTIFS('AC Results'!$B$5:$B$238,$A39,'AC Results'!$S$5:$S$238,"DMK+INC+VCK")</f>
        <v>3</v>
      </c>
      <c r="T39">
        <f t="shared" si="3"/>
        <v>0</v>
      </c>
    </row>
    <row r="40" spans="1:20" x14ac:dyDescent="0.2">
      <c r="A40" s="3" t="s">
        <v>294</v>
      </c>
      <c r="B40" s="8">
        <v>78</v>
      </c>
      <c r="C40" s="8">
        <v>61</v>
      </c>
      <c r="D40" s="8">
        <v>53</v>
      </c>
      <c r="E40" s="8">
        <v>10</v>
      </c>
      <c r="F40" s="8">
        <v>0</v>
      </c>
      <c r="G40" s="9">
        <f t="shared" si="0"/>
        <v>202</v>
      </c>
      <c r="H40" s="7">
        <f>MAX(0,IF($G40=0,0,B40/$G40)+'Statewide Votes'!$H$9/100)</f>
        <v>0.34151201973948264</v>
      </c>
      <c r="I40" s="7">
        <f>MAX(0,IF($G40=0,0,C40/$G40)+'Statewide Votes'!$I$9/100)</f>
        <v>0.30937970450962804</v>
      </c>
      <c r="J40" s="7">
        <f>MAX(0,IF($G40=0,0,D40/$G40)+'Statewide Votes'!$J$9/100)</f>
        <v>0.30672419374645798</v>
      </c>
      <c r="K40" s="7">
        <f>MAX(0,IF($G40=0,0,E40/$G40)+'Statewide Votes'!$K$9/100)</f>
        <v>4.072163379728963E-2</v>
      </c>
      <c r="L40" s="7">
        <f>MAX(0,IF($G40=0,0,F40/$G40)+'Statewide Votes'!$L$9/100)</f>
        <v>1.662448207141779E-3</v>
      </c>
      <c r="M40" t="str">
        <f>INDEX({"TVK","AIADMK+BJP+PMK+AMMK","DMK+INC+VCK","NTK","NOTA"},MATCH(MAX(H40:L40),H40:L40,0))</f>
        <v>TVK</v>
      </c>
      <c r="N40">
        <f t="shared" si="1"/>
        <v>3.2</v>
      </c>
      <c r="O40">
        <f t="shared" si="2"/>
        <v>3.2</v>
      </c>
      <c r="P40">
        <f>COUNTIF('AC Results'!$B$5:$B$238,$A40)</f>
        <v>5</v>
      </c>
      <c r="Q40">
        <f>COUNTIFS('AC Results'!$B$5:$B$238,$A40,'AC Results'!$S$5:$S$238,"TVK")</f>
        <v>3</v>
      </c>
      <c r="R40">
        <f>COUNTIFS('AC Results'!$B$5:$B$238,$A40,'AC Results'!$S$5:$S$238,"AIADMK+BJP+PMK+AMMK")</f>
        <v>1</v>
      </c>
      <c r="S40">
        <f>COUNTIFS('AC Results'!$B$5:$B$238,$A40,'AC Results'!$S$5:$S$238,"DMK+INC+VCK")</f>
        <v>1</v>
      </c>
      <c r="T40">
        <f t="shared" si="3"/>
        <v>0</v>
      </c>
    </row>
    <row r="41" spans="1:20" x14ac:dyDescent="0.2">
      <c r="A41" s="3" t="s">
        <v>299</v>
      </c>
      <c r="B41" s="8">
        <v>58</v>
      </c>
      <c r="C41" s="8">
        <v>67</v>
      </c>
      <c r="D41" s="8">
        <v>51</v>
      </c>
      <c r="E41" s="8">
        <v>13</v>
      </c>
      <c r="F41" s="8">
        <v>1</v>
      </c>
      <c r="G41" s="9">
        <f t="shared" si="0"/>
        <v>190</v>
      </c>
      <c r="H41" s="7">
        <f>MAX(0,IF($G41=0,0,B41/$G41)+'Statewide Votes'!$H$9/100)</f>
        <v>0.26063656377283334</v>
      </c>
      <c r="I41" s="7">
        <f>MAX(0,IF($G41=0,0,C41/$G41)+'Statewide Votes'!$I$9/100)</f>
        <v>0.36003108543719448</v>
      </c>
      <c r="J41" s="7">
        <f>MAX(0,IF($G41=0,0,D41/$G41)+'Statewide Votes'!$J$9/100)</f>
        <v>0.31276900875427455</v>
      </c>
      <c r="K41" s="7">
        <f>MAX(0,IF($G41=0,0,E41/$G41)+'Statewide Votes'!$K$9/100)</f>
        <v>5.9637735933819075E-2</v>
      </c>
      <c r="L41" s="7">
        <f>MAX(0,IF($G41=0,0,F41/$G41)+'Statewide Votes'!$L$9/100)</f>
        <v>6.9256061018786209E-3</v>
      </c>
      <c r="M41" t="str">
        <f>INDEX({"TVK","AIADMK+BJP+PMK+AMMK","DMK+INC+VCK","NTK","NOTA"},MATCH(MAX(H41:L41),H41:L41,0))</f>
        <v>AIADMK+BJP+PMK+AMMK</v>
      </c>
      <c r="N41">
        <f t="shared" si="1"/>
        <v>4.7</v>
      </c>
      <c r="O41">
        <f t="shared" si="2"/>
        <v>-9.9</v>
      </c>
      <c r="P41">
        <f>COUNTIF('AC Results'!$B$5:$B$238,$A41)</f>
        <v>7</v>
      </c>
      <c r="Q41">
        <f>COUNTIFS('AC Results'!$B$5:$B$238,$A41,'AC Results'!$S$5:$S$238,"TVK")</f>
        <v>0</v>
      </c>
      <c r="R41">
        <f>COUNTIFS('AC Results'!$B$5:$B$238,$A41,'AC Results'!$S$5:$S$238,"AIADMK+BJP+PMK+AMMK")</f>
        <v>6</v>
      </c>
      <c r="S41">
        <f>COUNTIFS('AC Results'!$B$5:$B$238,$A41,'AC Results'!$S$5:$S$238,"DMK+INC+VCK")</f>
        <v>1</v>
      </c>
      <c r="T41">
        <f t="shared" si="3"/>
        <v>0</v>
      </c>
    </row>
    <row r="42" spans="1:20" x14ac:dyDescent="0.2">
      <c r="A42" s="3" t="s">
        <v>306</v>
      </c>
      <c r="B42" s="8">
        <v>143</v>
      </c>
      <c r="C42" s="8">
        <v>97</v>
      </c>
      <c r="D42" s="8">
        <v>71</v>
      </c>
      <c r="E42" s="8">
        <v>27</v>
      </c>
      <c r="F42" s="8">
        <v>1</v>
      </c>
      <c r="G42" s="9">
        <f t="shared" si="0"/>
        <v>339</v>
      </c>
      <c r="H42" s="7">
        <f>MAX(0,IF($G42=0,0,B42/$G42)+'Statewide Votes'!$H$9/100)</f>
        <v>0.37720231443266877</v>
      </c>
      <c r="I42" s="7">
        <f>MAX(0,IF($G42=0,0,C42/$G42)+'Statewide Votes'!$I$9/100)</f>
        <v>0.29353519970516528</v>
      </c>
      <c r="J42" s="7">
        <f>MAX(0,IF($G42=0,0,D42/$G42)+'Statewide Votes'!$J$9/100)</f>
        <v>0.25378748414629443</v>
      </c>
      <c r="K42" s="7">
        <f>MAX(0,IF($G42=0,0,E42/$G42)+'Statewide Votes'!$K$9/100)</f>
        <v>7.0862701001355166E-2</v>
      </c>
      <c r="L42" s="7">
        <f>MAX(0,IF($G42=0,0,F42/$G42)+'Statewide Votes'!$L$9/100)</f>
        <v>4.6123007145164102E-3</v>
      </c>
      <c r="M42" t="str">
        <f>INDEX({"TVK","AIADMK+BJP+PMK+AMMK","DMK+INC+VCK","NTK","NOTA"},MATCH(MAX(H42:L42),H42:L42,0))</f>
        <v>TVK</v>
      </c>
      <c r="N42">
        <f t="shared" si="1"/>
        <v>8.4</v>
      </c>
      <c r="O42">
        <f t="shared" si="2"/>
        <v>8.4</v>
      </c>
      <c r="P42">
        <f>COUNTIF('AC Results'!$B$5:$B$238,$A42)</f>
        <v>7</v>
      </c>
      <c r="Q42">
        <f>COUNTIFS('AC Results'!$B$5:$B$238,$A42,'AC Results'!$S$5:$S$238,"TVK")</f>
        <v>6</v>
      </c>
      <c r="R42">
        <f>COUNTIFS('AC Results'!$B$5:$B$238,$A42,'AC Results'!$S$5:$S$238,"AIADMK+BJP+PMK+AMMK")</f>
        <v>1</v>
      </c>
      <c r="S42">
        <f>COUNTIFS('AC Results'!$B$5:$B$238,$A42,'AC Results'!$S$5:$S$238,"DMK+INC+VCK")</f>
        <v>0</v>
      </c>
      <c r="T42">
        <f t="shared" si="3"/>
        <v>0</v>
      </c>
    </row>
    <row r="43" spans="1:20" x14ac:dyDescent="0.2">
      <c r="A43" s="3" t="s">
        <v>331</v>
      </c>
      <c r="B43" s="4">
        <f t="shared" ref="B43:G43" si="4">SUM(B5:B42)</f>
        <v>4493</v>
      </c>
      <c r="C43" s="4">
        <f t="shared" si="4"/>
        <v>3153</v>
      </c>
      <c r="D43" s="4">
        <f t="shared" si="4"/>
        <v>2836</v>
      </c>
      <c r="E43" s="4">
        <f t="shared" si="4"/>
        <v>895</v>
      </c>
      <c r="F43" s="4">
        <f t="shared" si="4"/>
        <v>72</v>
      </c>
      <c r="G43" s="4">
        <f t="shared" si="4"/>
        <v>11449</v>
      </c>
      <c r="P43" s="4">
        <f>SUM(P5:P42)</f>
        <v>234</v>
      </c>
      <c r="Q43" s="4">
        <f>SUM(Q5:Q42)</f>
        <v>115</v>
      </c>
      <c r="R43" s="4">
        <f>SUM(R5:R42)</f>
        <v>60</v>
      </c>
      <c r="S43" s="4">
        <f>SUM(S5:S42)</f>
        <v>56</v>
      </c>
      <c r="T43" s="4">
        <f>SUM(T5:T42)</f>
        <v>3</v>
      </c>
    </row>
  </sheetData>
  <conditionalFormatting sqref="M5:M42">
    <cfRule type="cellIs" dxfId="2" priority="2" operator="equal">
      <formula>"TVK"</formula>
    </cfRule>
    <cfRule type="cellIs" dxfId="1" priority="3" operator="equal">
      <formula>"AIADMK+BJP+PMK+AMMK"</formula>
    </cfRule>
    <cfRule type="cellIs" dxfId="0" priority="4" operator="equal">
      <formula>"DMK+INC+VCK"</formula>
    </cfRule>
  </conditionalFormatting>
  <conditionalFormatting sqref="O5:O42">
    <cfRule type="colorScale" priority="5">
      <colorScale>
        <cfvo type="num" val="-20"/>
        <cfvo type="num" val="0"/>
        <cfvo type="num" val="20"/>
        <color rgb="FFF8696B"/>
        <color rgb="FFFFFFFF"/>
        <color rgb="FFFFD96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3"/>
  <sheetViews>
    <sheetView zoomScaleNormal="100" workbookViewId="0"/>
  </sheetViews>
  <sheetFormatPr baseColWidth="10" defaultColWidth="8.6640625" defaultRowHeight="15" x14ac:dyDescent="0.2"/>
  <cols>
    <col min="1" max="1" width="13" customWidth="1"/>
    <col min="2" max="2" width="28" customWidth="1"/>
    <col min="3" max="13" width="10" customWidth="1"/>
  </cols>
  <sheetData>
    <row r="1" spans="1:13" ht="18" x14ac:dyDescent="0.2">
      <c r="A1" s="1" t="s">
        <v>409</v>
      </c>
    </row>
    <row r="2" spans="1:13" x14ac:dyDescent="0.2">
      <c r="A2" s="2" t="s">
        <v>410</v>
      </c>
    </row>
    <row r="4" spans="1:13" ht="36" customHeight="1" x14ac:dyDescent="0.2">
      <c r="A4" s="6" t="s">
        <v>411</v>
      </c>
      <c r="B4" s="6" t="s">
        <v>412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413</v>
      </c>
      <c r="I4" s="6" t="s">
        <v>414</v>
      </c>
      <c r="J4" s="6" t="s">
        <v>415</v>
      </c>
      <c r="K4" s="6" t="s">
        <v>416</v>
      </c>
      <c r="L4" s="6" t="s">
        <v>417</v>
      </c>
      <c r="M4" s="6" t="s">
        <v>418</v>
      </c>
    </row>
    <row r="5" spans="1:13" x14ac:dyDescent="0.2">
      <c r="A5" t="s">
        <v>419</v>
      </c>
      <c r="B5" s="3" t="s">
        <v>420</v>
      </c>
      <c r="C5" s="8">
        <v>509</v>
      </c>
      <c r="D5" s="8">
        <v>137</v>
      </c>
      <c r="E5" s="8">
        <v>105</v>
      </c>
      <c r="F5" s="8">
        <v>81</v>
      </c>
      <c r="G5" s="8">
        <v>8</v>
      </c>
      <c r="H5" s="9">
        <f t="shared" ref="H5:H10" si="0">SUM(C5:G5)</f>
        <v>840</v>
      </c>
      <c r="I5" s="7">
        <f t="shared" ref="I5:M10" si="1">IF($H5=0,0,C5/$H5)</f>
        <v>0.60595238095238091</v>
      </c>
      <c r="J5" s="7">
        <f t="shared" si="1"/>
        <v>0.1630952380952381</v>
      </c>
      <c r="K5" s="7">
        <f t="shared" si="1"/>
        <v>0.125</v>
      </c>
      <c r="L5" s="7">
        <f t="shared" si="1"/>
        <v>9.6428571428571433E-2</v>
      </c>
      <c r="M5" s="7">
        <f t="shared" si="1"/>
        <v>9.5238095238095247E-3</v>
      </c>
    </row>
    <row r="6" spans="1:13" x14ac:dyDescent="0.2">
      <c r="A6" t="s">
        <v>419</v>
      </c>
      <c r="B6" s="3" t="s">
        <v>421</v>
      </c>
      <c r="C6" s="8">
        <v>705</v>
      </c>
      <c r="D6" s="8">
        <v>195</v>
      </c>
      <c r="E6" s="8">
        <v>184</v>
      </c>
      <c r="F6" s="8">
        <v>117</v>
      </c>
      <c r="G6" s="8">
        <v>3</v>
      </c>
      <c r="H6" s="9">
        <f t="shared" si="0"/>
        <v>1204</v>
      </c>
      <c r="I6" s="7">
        <f t="shared" si="1"/>
        <v>0.58554817275747506</v>
      </c>
      <c r="J6" s="7">
        <f t="shared" si="1"/>
        <v>0.16196013289036545</v>
      </c>
      <c r="K6" s="7">
        <f t="shared" si="1"/>
        <v>0.15282392026578073</v>
      </c>
      <c r="L6" s="7">
        <f t="shared" si="1"/>
        <v>9.7176079734219267E-2</v>
      </c>
      <c r="M6" s="7">
        <f t="shared" si="1"/>
        <v>2.4916943521594683E-3</v>
      </c>
    </row>
    <row r="7" spans="1:13" x14ac:dyDescent="0.2">
      <c r="A7" t="s">
        <v>419</v>
      </c>
      <c r="B7" s="3" t="s">
        <v>422</v>
      </c>
      <c r="C7" s="8">
        <v>228</v>
      </c>
      <c r="D7" s="8">
        <v>156</v>
      </c>
      <c r="E7" s="8">
        <v>152</v>
      </c>
      <c r="F7" s="8">
        <v>25</v>
      </c>
      <c r="G7" s="8">
        <v>6</v>
      </c>
      <c r="H7" s="9">
        <f t="shared" si="0"/>
        <v>567</v>
      </c>
      <c r="I7" s="7">
        <f t="shared" si="1"/>
        <v>0.40211640211640209</v>
      </c>
      <c r="J7" s="7">
        <f t="shared" si="1"/>
        <v>0.27513227513227512</v>
      </c>
      <c r="K7" s="7">
        <f t="shared" si="1"/>
        <v>0.26807760141093473</v>
      </c>
      <c r="L7" s="7">
        <f t="shared" si="1"/>
        <v>4.4091710758377423E-2</v>
      </c>
      <c r="M7" s="7">
        <f t="shared" si="1"/>
        <v>1.0582010582010581E-2</v>
      </c>
    </row>
    <row r="8" spans="1:13" x14ac:dyDescent="0.2">
      <c r="A8" t="s">
        <v>419</v>
      </c>
      <c r="B8" s="3" t="s">
        <v>423</v>
      </c>
      <c r="C8" s="8">
        <v>99</v>
      </c>
      <c r="D8" s="8">
        <v>158</v>
      </c>
      <c r="E8" s="8">
        <v>186</v>
      </c>
      <c r="F8" s="8">
        <v>12</v>
      </c>
      <c r="G8" s="8">
        <v>5</v>
      </c>
      <c r="H8" s="9">
        <f t="shared" si="0"/>
        <v>460</v>
      </c>
      <c r="I8" s="7">
        <f t="shared" si="1"/>
        <v>0.21521739130434783</v>
      </c>
      <c r="J8" s="7">
        <f t="shared" si="1"/>
        <v>0.34347826086956523</v>
      </c>
      <c r="K8" s="7">
        <f t="shared" si="1"/>
        <v>0.40434782608695652</v>
      </c>
      <c r="L8" s="7">
        <f t="shared" si="1"/>
        <v>2.6086956521739129E-2</v>
      </c>
      <c r="M8" s="7">
        <f t="shared" si="1"/>
        <v>1.0869565217391304E-2</v>
      </c>
    </row>
    <row r="9" spans="1:13" x14ac:dyDescent="0.2">
      <c r="A9" t="s">
        <v>419</v>
      </c>
      <c r="B9" s="3" t="s">
        <v>424</v>
      </c>
      <c r="C9" s="8">
        <v>46</v>
      </c>
      <c r="D9" s="8">
        <v>197</v>
      </c>
      <c r="E9" s="8">
        <v>226</v>
      </c>
      <c r="F9" s="8">
        <v>19</v>
      </c>
      <c r="G9" s="8">
        <v>9</v>
      </c>
      <c r="H9" s="9">
        <f t="shared" si="0"/>
        <v>497</v>
      </c>
      <c r="I9" s="7">
        <f t="shared" si="1"/>
        <v>9.2555331991951706E-2</v>
      </c>
      <c r="J9" s="7">
        <f t="shared" si="1"/>
        <v>0.39637826961770622</v>
      </c>
      <c r="K9" s="7">
        <f t="shared" si="1"/>
        <v>0.45472837022132795</v>
      </c>
      <c r="L9" s="7">
        <f t="shared" si="1"/>
        <v>3.8229376257545272E-2</v>
      </c>
      <c r="M9" s="7">
        <f t="shared" si="1"/>
        <v>1.8108651911468814E-2</v>
      </c>
    </row>
    <row r="10" spans="1:13" x14ac:dyDescent="0.2">
      <c r="A10" t="s">
        <v>419</v>
      </c>
      <c r="B10" s="3" t="s">
        <v>425</v>
      </c>
      <c r="C10" s="8">
        <v>35</v>
      </c>
      <c r="D10" s="8">
        <v>119</v>
      </c>
      <c r="E10" s="8">
        <v>191</v>
      </c>
      <c r="F10" s="8">
        <v>15</v>
      </c>
      <c r="G10" s="8">
        <v>5</v>
      </c>
      <c r="H10" s="9">
        <f t="shared" si="0"/>
        <v>365</v>
      </c>
      <c r="I10" s="7">
        <f t="shared" si="1"/>
        <v>9.5890410958904104E-2</v>
      </c>
      <c r="J10" s="7">
        <f t="shared" si="1"/>
        <v>0.32602739726027397</v>
      </c>
      <c r="K10" s="7">
        <f t="shared" si="1"/>
        <v>0.52328767123287667</v>
      </c>
      <c r="L10" s="7">
        <f t="shared" si="1"/>
        <v>4.1095890410958902E-2</v>
      </c>
      <c r="M10" s="7">
        <f t="shared" si="1"/>
        <v>1.3698630136986301E-2</v>
      </c>
    </row>
    <row r="12" spans="1:13" x14ac:dyDescent="0.2">
      <c r="A12" t="s">
        <v>426</v>
      </c>
      <c r="B12" s="3" t="s">
        <v>427</v>
      </c>
      <c r="C12" s="8">
        <v>1240</v>
      </c>
      <c r="D12" s="8">
        <v>857</v>
      </c>
      <c r="E12" s="8">
        <v>717</v>
      </c>
      <c r="F12" s="8">
        <v>212</v>
      </c>
      <c r="G12" s="8">
        <v>26</v>
      </c>
      <c r="H12" s="9">
        <f>SUM(C12:G12)</f>
        <v>3052</v>
      </c>
      <c r="I12" s="7">
        <f t="shared" ref="I12:M15" si="2">IF($H12=0,0,C12/$H12)</f>
        <v>0.40629095674967236</v>
      </c>
      <c r="J12" s="7">
        <f t="shared" si="2"/>
        <v>0.2807994757536042</v>
      </c>
      <c r="K12" s="7">
        <f t="shared" si="2"/>
        <v>0.23492791612057667</v>
      </c>
      <c r="L12" s="7">
        <f t="shared" si="2"/>
        <v>6.9462647444298822E-2</v>
      </c>
      <c r="M12" s="7">
        <f t="shared" si="2"/>
        <v>8.5190039318479693E-3</v>
      </c>
    </row>
    <row r="13" spans="1:13" x14ac:dyDescent="0.2">
      <c r="A13" t="s">
        <v>426</v>
      </c>
      <c r="B13" s="3" t="s">
        <v>428</v>
      </c>
      <c r="C13" s="8">
        <v>167</v>
      </c>
      <c r="D13" s="8">
        <v>19</v>
      </c>
      <c r="E13" s="8">
        <v>122</v>
      </c>
      <c r="F13" s="8">
        <v>26</v>
      </c>
      <c r="G13" s="8">
        <v>2</v>
      </c>
      <c r="H13" s="9">
        <f>SUM(C13:G13)</f>
        <v>336</v>
      </c>
      <c r="I13" s="7">
        <f t="shared" si="2"/>
        <v>0.49702380952380953</v>
      </c>
      <c r="J13" s="7">
        <f t="shared" si="2"/>
        <v>5.6547619047619048E-2</v>
      </c>
      <c r="K13" s="7">
        <f t="shared" si="2"/>
        <v>0.36309523809523808</v>
      </c>
      <c r="L13" s="7">
        <f t="shared" si="2"/>
        <v>7.7380952380952384E-2</v>
      </c>
      <c r="M13" s="7">
        <f t="shared" si="2"/>
        <v>5.9523809523809521E-3</v>
      </c>
    </row>
    <row r="14" spans="1:13" x14ac:dyDescent="0.2">
      <c r="A14" t="s">
        <v>426</v>
      </c>
      <c r="B14" s="3" t="s">
        <v>429</v>
      </c>
      <c r="C14" s="8">
        <v>97</v>
      </c>
      <c r="D14" s="8">
        <v>18</v>
      </c>
      <c r="E14" s="8">
        <v>116</v>
      </c>
      <c r="F14" s="8">
        <v>8</v>
      </c>
      <c r="G14" s="8">
        <v>3</v>
      </c>
      <c r="H14" s="9">
        <f>SUM(C14:G14)</f>
        <v>242</v>
      </c>
      <c r="I14" s="7">
        <f t="shared" si="2"/>
        <v>0.40082644628099173</v>
      </c>
      <c r="J14" s="7">
        <f t="shared" si="2"/>
        <v>7.43801652892562E-2</v>
      </c>
      <c r="K14" s="7">
        <f t="shared" si="2"/>
        <v>0.47933884297520662</v>
      </c>
      <c r="L14" s="7">
        <f t="shared" si="2"/>
        <v>3.3057851239669422E-2</v>
      </c>
      <c r="M14" s="7">
        <f t="shared" si="2"/>
        <v>1.2396694214876033E-2</v>
      </c>
    </row>
    <row r="15" spans="1:13" x14ac:dyDescent="0.2">
      <c r="A15" t="s">
        <v>426</v>
      </c>
      <c r="B15" s="3" t="s">
        <v>430</v>
      </c>
      <c r="C15" s="8">
        <v>36</v>
      </c>
      <c r="D15" s="8">
        <v>8</v>
      </c>
      <c r="E15" s="8">
        <v>22</v>
      </c>
      <c r="F15" s="8">
        <v>11</v>
      </c>
      <c r="G15" s="8">
        <v>2</v>
      </c>
      <c r="H15" s="9">
        <f>SUM(C15:G15)</f>
        <v>79</v>
      </c>
      <c r="I15" s="7">
        <f t="shared" si="2"/>
        <v>0.45569620253164556</v>
      </c>
      <c r="J15" s="7">
        <f t="shared" si="2"/>
        <v>0.10126582278481013</v>
      </c>
      <c r="K15" s="7">
        <f t="shared" si="2"/>
        <v>0.27848101265822783</v>
      </c>
      <c r="L15" s="7">
        <f t="shared" si="2"/>
        <v>0.13924050632911392</v>
      </c>
      <c r="M15" s="7">
        <f t="shared" si="2"/>
        <v>2.5316455696202531E-2</v>
      </c>
    </row>
    <row r="17" spans="1:13" x14ac:dyDescent="0.2">
      <c r="A17" t="s">
        <v>431</v>
      </c>
      <c r="B17" s="3" t="s">
        <v>432</v>
      </c>
      <c r="C17" s="8">
        <v>2785</v>
      </c>
      <c r="D17" s="8">
        <v>2345</v>
      </c>
      <c r="E17" s="8">
        <v>2507</v>
      </c>
      <c r="F17" s="8">
        <v>538</v>
      </c>
      <c r="G17" s="8">
        <v>64</v>
      </c>
      <c r="H17" s="9">
        <f t="shared" ref="H17:H23" si="3">SUM(C17:G17)</f>
        <v>8239</v>
      </c>
      <c r="I17" s="7">
        <f t="shared" ref="I17:M23" si="4">IF($H17=0,0,C17/$H17)</f>
        <v>0.33802645952178662</v>
      </c>
      <c r="J17" s="7">
        <f t="shared" si="4"/>
        <v>0.28462192013593884</v>
      </c>
      <c r="K17" s="7">
        <f t="shared" si="4"/>
        <v>0.30428450054618278</v>
      </c>
      <c r="L17" s="7">
        <f t="shared" si="4"/>
        <v>6.5299186794513894E-2</v>
      </c>
      <c r="M17" s="7">
        <f t="shared" si="4"/>
        <v>7.7679330015778614E-3</v>
      </c>
    </row>
    <row r="18" spans="1:13" x14ac:dyDescent="0.2">
      <c r="A18" t="s">
        <v>431</v>
      </c>
      <c r="B18" s="3" t="s">
        <v>433</v>
      </c>
      <c r="C18" s="8">
        <v>1976</v>
      </c>
      <c r="D18" s="8">
        <v>1538</v>
      </c>
      <c r="E18" s="8">
        <v>1668</v>
      </c>
      <c r="F18" s="8">
        <v>417</v>
      </c>
      <c r="G18" s="8">
        <v>53</v>
      </c>
      <c r="H18" s="9">
        <f t="shared" si="3"/>
        <v>5652</v>
      </c>
      <c r="I18" s="7">
        <f t="shared" si="4"/>
        <v>0.34961075725406937</v>
      </c>
      <c r="J18" s="7">
        <f t="shared" si="4"/>
        <v>0.27211606510969566</v>
      </c>
      <c r="K18" s="7">
        <f t="shared" si="4"/>
        <v>0.29511677282377918</v>
      </c>
      <c r="L18" s="7">
        <f t="shared" si="4"/>
        <v>7.3779193205944796E-2</v>
      </c>
      <c r="M18" s="7">
        <f t="shared" si="4"/>
        <v>9.3772116065109698E-3</v>
      </c>
    </row>
    <row r="19" spans="1:13" x14ac:dyDescent="0.2">
      <c r="A19" t="s">
        <v>431</v>
      </c>
      <c r="B19" s="3" t="s">
        <v>434</v>
      </c>
      <c r="C19" s="8">
        <v>1837</v>
      </c>
      <c r="D19" s="8">
        <v>1633</v>
      </c>
      <c r="E19" s="8">
        <v>1650</v>
      </c>
      <c r="F19" s="8">
        <v>444</v>
      </c>
      <c r="G19" s="8">
        <v>42</v>
      </c>
      <c r="H19" s="9">
        <f t="shared" si="3"/>
        <v>5606</v>
      </c>
      <c r="I19" s="7">
        <f t="shared" si="4"/>
        <v>0.32768462361755263</v>
      </c>
      <c r="J19" s="7">
        <f t="shared" si="4"/>
        <v>0.29129504102747056</v>
      </c>
      <c r="K19" s="7">
        <f t="shared" si="4"/>
        <v>0.29432750624331072</v>
      </c>
      <c r="L19" s="7">
        <f t="shared" si="4"/>
        <v>7.920085622547271E-2</v>
      </c>
      <c r="M19" s="7">
        <f t="shared" si="4"/>
        <v>7.4919728861933639E-3</v>
      </c>
    </row>
    <row r="20" spans="1:13" x14ac:dyDescent="0.2">
      <c r="A20" t="s">
        <v>431</v>
      </c>
      <c r="B20" s="3" t="s">
        <v>435</v>
      </c>
      <c r="C20" s="8">
        <v>1749</v>
      </c>
      <c r="D20" s="8">
        <v>1686</v>
      </c>
      <c r="E20" s="8">
        <v>1423</v>
      </c>
      <c r="F20" s="8">
        <v>352</v>
      </c>
      <c r="G20" s="8">
        <v>41</v>
      </c>
      <c r="H20" s="9">
        <f t="shared" si="3"/>
        <v>5251</v>
      </c>
      <c r="I20" s="7">
        <f t="shared" si="4"/>
        <v>0.33307941344505809</v>
      </c>
      <c r="J20" s="7">
        <f t="shared" si="4"/>
        <v>0.32108169872405257</v>
      </c>
      <c r="K20" s="7">
        <f t="shared" si="4"/>
        <v>0.27099600076175967</v>
      </c>
      <c r="L20" s="7">
        <f t="shared" si="4"/>
        <v>6.7034850504665774E-2</v>
      </c>
      <c r="M20" s="7">
        <f t="shared" si="4"/>
        <v>7.8080365644639113E-3</v>
      </c>
    </row>
    <row r="21" spans="1:13" x14ac:dyDescent="0.2">
      <c r="A21" t="s">
        <v>431</v>
      </c>
      <c r="B21" s="3" t="s">
        <v>436</v>
      </c>
      <c r="C21" s="8">
        <v>1391</v>
      </c>
      <c r="D21" s="8">
        <v>804</v>
      </c>
      <c r="E21" s="8">
        <v>819</v>
      </c>
      <c r="F21" s="8">
        <v>193</v>
      </c>
      <c r="G21" s="8">
        <v>19</v>
      </c>
      <c r="H21" s="9">
        <f t="shared" si="3"/>
        <v>3226</v>
      </c>
      <c r="I21" s="7">
        <f t="shared" si="4"/>
        <v>0.43118412895226288</v>
      </c>
      <c r="J21" s="7">
        <f t="shared" si="4"/>
        <v>0.24922504649721017</v>
      </c>
      <c r="K21" s="7">
        <f t="shared" si="4"/>
        <v>0.25387476751394916</v>
      </c>
      <c r="L21" s="7">
        <f t="shared" si="4"/>
        <v>5.9826410415375078E-2</v>
      </c>
      <c r="M21" s="7">
        <f t="shared" si="4"/>
        <v>5.8896466212027283E-3</v>
      </c>
    </row>
    <row r="22" spans="1:13" x14ac:dyDescent="0.2">
      <c r="A22" t="s">
        <v>431</v>
      </c>
      <c r="B22" s="3" t="s">
        <v>437</v>
      </c>
      <c r="C22" s="8">
        <v>691</v>
      </c>
      <c r="D22" s="8">
        <v>573</v>
      </c>
      <c r="E22" s="8">
        <v>691</v>
      </c>
      <c r="F22" s="8">
        <v>131</v>
      </c>
      <c r="G22" s="8">
        <v>17</v>
      </c>
      <c r="H22" s="9">
        <f t="shared" si="3"/>
        <v>2103</v>
      </c>
      <c r="I22" s="7">
        <f t="shared" si="4"/>
        <v>0.32857822158820732</v>
      </c>
      <c r="J22" s="7">
        <f t="shared" si="4"/>
        <v>0.27246790299572038</v>
      </c>
      <c r="K22" s="7">
        <f t="shared" si="4"/>
        <v>0.32857822158820732</v>
      </c>
      <c r="L22" s="7">
        <f t="shared" si="4"/>
        <v>6.229196386115074E-2</v>
      </c>
      <c r="M22" s="7">
        <f t="shared" si="4"/>
        <v>8.0836899667142172E-3</v>
      </c>
    </row>
    <row r="23" spans="1:13" x14ac:dyDescent="0.2">
      <c r="A23" t="s">
        <v>431</v>
      </c>
      <c r="B23" s="3" t="s">
        <v>438</v>
      </c>
      <c r="C23" s="8">
        <v>463</v>
      </c>
      <c r="D23" s="8">
        <v>277</v>
      </c>
      <c r="E23" s="8">
        <v>388</v>
      </c>
      <c r="F23" s="8">
        <v>98</v>
      </c>
      <c r="G23" s="8">
        <v>13</v>
      </c>
      <c r="H23" s="9">
        <f t="shared" si="3"/>
        <v>1239</v>
      </c>
      <c r="I23" s="7">
        <f t="shared" si="4"/>
        <v>0.37368845843422116</v>
      </c>
      <c r="J23" s="7">
        <f t="shared" si="4"/>
        <v>0.22356739305891848</v>
      </c>
      <c r="K23" s="7">
        <f t="shared" si="4"/>
        <v>0.31315577078288942</v>
      </c>
      <c r="L23" s="7">
        <f t="shared" si="4"/>
        <v>7.909604519774012E-2</v>
      </c>
      <c r="M23" s="7">
        <f t="shared" si="4"/>
        <v>1.0492332526230832E-2</v>
      </c>
    </row>
  </sheetData>
  <conditionalFormatting sqref="I5:M25">
    <cfRule type="colorScale" priority="2">
      <colorScale>
        <cfvo type="num" val="0"/>
        <cfvo type="num" val="0.65"/>
        <color rgb="FFFFFFFF"/>
        <color rgb="FF5B9BD5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28" customWidth="1"/>
    <col min="3" max="13" width="10" customWidth="1"/>
  </cols>
  <sheetData>
    <row r="1" spans="1:13" ht="18" x14ac:dyDescent="0.2">
      <c r="A1" s="1" t="s">
        <v>439</v>
      </c>
    </row>
    <row r="2" spans="1:13" x14ac:dyDescent="0.2">
      <c r="A2" s="2" t="s">
        <v>440</v>
      </c>
    </row>
    <row r="4" spans="1:13" ht="36" customHeight="1" x14ac:dyDescent="0.2">
      <c r="A4" s="6" t="s">
        <v>441</v>
      </c>
      <c r="B4" s="6" t="s">
        <v>442</v>
      </c>
      <c r="C4" s="6" t="s">
        <v>413</v>
      </c>
      <c r="D4" s="6" t="s">
        <v>443</v>
      </c>
      <c r="E4" s="6" t="s">
        <v>444</v>
      </c>
      <c r="F4" s="6" t="s">
        <v>445</v>
      </c>
      <c r="G4" s="6" t="s">
        <v>446</v>
      </c>
      <c r="H4" s="6" t="s">
        <v>447</v>
      </c>
      <c r="I4" s="6" t="s">
        <v>448</v>
      </c>
      <c r="J4" s="6" t="s">
        <v>449</v>
      </c>
      <c r="K4" s="6" t="s">
        <v>450</v>
      </c>
      <c r="L4" s="6" t="s">
        <v>451</v>
      </c>
      <c r="M4" s="6" t="s">
        <v>452</v>
      </c>
    </row>
    <row r="5" spans="1:13" x14ac:dyDescent="0.2">
      <c r="A5" s="12" t="s">
        <v>453</v>
      </c>
      <c r="B5" s="12" t="s">
        <v>454</v>
      </c>
      <c r="C5" s="11">
        <v>31067</v>
      </c>
      <c r="D5" s="11">
        <v>35.1</v>
      </c>
      <c r="E5" s="11">
        <v>0</v>
      </c>
      <c r="F5" s="11">
        <v>35.1</v>
      </c>
      <c r="G5" s="11">
        <v>35.1</v>
      </c>
      <c r="H5" s="11">
        <v>25</v>
      </c>
      <c r="I5" s="11">
        <v>13</v>
      </c>
      <c r="J5" s="11">
        <v>1.2709999999999999</v>
      </c>
      <c r="K5" s="11">
        <v>0.5</v>
      </c>
      <c r="L5" s="11">
        <v>0.04</v>
      </c>
      <c r="M5" s="12"/>
    </row>
    <row r="6" spans="1:13" x14ac:dyDescent="0.2">
      <c r="A6" s="12" t="s">
        <v>453</v>
      </c>
      <c r="B6" s="12" t="s">
        <v>455</v>
      </c>
      <c r="C6" s="11">
        <v>31067</v>
      </c>
      <c r="D6" s="11">
        <v>49.4</v>
      </c>
      <c r="E6" s="11">
        <v>0.5</v>
      </c>
      <c r="F6" s="11">
        <v>49.7</v>
      </c>
      <c r="G6" s="11">
        <v>49.4</v>
      </c>
      <c r="H6" s="11">
        <v>38.6</v>
      </c>
      <c r="I6" s="11">
        <v>36.6</v>
      </c>
      <c r="J6" s="11">
        <v>1.137</v>
      </c>
      <c r="K6" s="11">
        <v>0.68600000000000005</v>
      </c>
      <c r="L6" s="11">
        <v>0.28000000000000003</v>
      </c>
      <c r="M6" s="12"/>
    </row>
    <row r="7" spans="1:13" x14ac:dyDescent="0.2">
      <c r="A7" s="12" t="s">
        <v>453</v>
      </c>
      <c r="B7" s="12" t="s">
        <v>456</v>
      </c>
      <c r="C7" s="11">
        <v>31067</v>
      </c>
      <c r="D7" s="11">
        <v>49</v>
      </c>
      <c r="E7" s="11">
        <v>0.4</v>
      </c>
      <c r="F7" s="11">
        <v>49.3</v>
      </c>
      <c r="G7" s="11">
        <v>48.7</v>
      </c>
      <c r="H7" s="11">
        <v>37.9</v>
      </c>
      <c r="I7" s="11">
        <v>35.6</v>
      </c>
      <c r="J7" s="11">
        <v>1.28</v>
      </c>
      <c r="K7" s="11">
        <v>0.67800000000000005</v>
      </c>
      <c r="L7" s="11">
        <v>4.72</v>
      </c>
      <c r="M7" s="12"/>
    </row>
    <row r="8" spans="1:13" x14ac:dyDescent="0.2">
      <c r="A8" s="12" t="s">
        <v>453</v>
      </c>
      <c r="B8" s="12" t="s">
        <v>457</v>
      </c>
      <c r="C8" s="11">
        <v>31067</v>
      </c>
      <c r="D8" s="11">
        <v>49.2</v>
      </c>
      <c r="E8" s="11">
        <v>0.5</v>
      </c>
      <c r="F8" s="11">
        <v>49.9</v>
      </c>
      <c r="G8" s="11">
        <v>49.6</v>
      </c>
      <c r="H8" s="11">
        <v>38.799999999999997</v>
      </c>
      <c r="I8" s="11">
        <v>36.9</v>
      </c>
      <c r="J8" s="11">
        <v>1.163</v>
      </c>
      <c r="K8" s="11">
        <v>0.67500000000000004</v>
      </c>
      <c r="L8" s="11">
        <v>0.4</v>
      </c>
      <c r="M8" s="12"/>
    </row>
    <row r="9" spans="1:13" x14ac:dyDescent="0.2">
      <c r="A9" s="12" t="s">
        <v>453</v>
      </c>
      <c r="B9" s="12" t="s">
        <v>458</v>
      </c>
      <c r="C9" s="11">
        <v>31067</v>
      </c>
      <c r="D9" s="11">
        <v>49.7</v>
      </c>
      <c r="E9" s="11">
        <v>0.4</v>
      </c>
      <c r="F9" s="11">
        <v>54.8</v>
      </c>
      <c r="G9" s="11">
        <v>49.5</v>
      </c>
      <c r="H9" s="11">
        <v>38.700000000000003</v>
      </c>
      <c r="I9" s="11">
        <v>36.799999999999997</v>
      </c>
      <c r="J9" s="11">
        <v>1.1319999999999999</v>
      </c>
      <c r="K9" s="11">
        <v>0.68899999999999995</v>
      </c>
      <c r="L9" s="11">
        <v>0.56000000000000005</v>
      </c>
      <c r="M9" s="12" t="s">
        <v>459</v>
      </c>
    </row>
    <row r="10" spans="1:13" x14ac:dyDescent="0.2">
      <c r="A10" s="12" t="s">
        <v>453</v>
      </c>
      <c r="B10" s="12" t="s">
        <v>460</v>
      </c>
      <c r="C10" s="11">
        <v>31067</v>
      </c>
      <c r="D10" s="11">
        <v>49.4</v>
      </c>
      <c r="E10" s="11">
        <v>0.6</v>
      </c>
      <c r="F10" s="11">
        <v>52.2</v>
      </c>
      <c r="G10" s="11">
        <v>49.5</v>
      </c>
      <c r="H10" s="11">
        <v>38.700000000000003</v>
      </c>
      <c r="I10" s="11">
        <v>36.799999999999997</v>
      </c>
      <c r="J10" s="11">
        <v>1.1319999999999999</v>
      </c>
      <c r="K10" s="11">
        <v>0.69</v>
      </c>
      <c r="L10" s="11">
        <v>0.36</v>
      </c>
      <c r="M10" s="12"/>
    </row>
    <row r="11" spans="1:13" x14ac:dyDescent="0.2">
      <c r="A11" s="12" t="s">
        <v>461</v>
      </c>
      <c r="B11" s="12" t="s">
        <v>454</v>
      </c>
      <c r="C11" s="11">
        <v>11377</v>
      </c>
      <c r="D11" s="11">
        <v>39.5</v>
      </c>
      <c r="E11" s="11">
        <v>0</v>
      </c>
      <c r="F11" s="11">
        <v>39.5</v>
      </c>
      <c r="G11" s="11">
        <v>39.5</v>
      </c>
      <c r="H11" s="11">
        <v>25</v>
      </c>
      <c r="I11" s="11">
        <v>14.2</v>
      </c>
      <c r="J11" s="11">
        <v>1.2689999999999999</v>
      </c>
      <c r="K11" s="11">
        <v>0.5</v>
      </c>
      <c r="L11" s="11">
        <v>0.04</v>
      </c>
      <c r="M11" s="12"/>
    </row>
    <row r="12" spans="1:13" x14ac:dyDescent="0.2">
      <c r="A12" s="12" t="s">
        <v>461</v>
      </c>
      <c r="B12" s="12" t="s">
        <v>455</v>
      </c>
      <c r="C12" s="11">
        <v>11377</v>
      </c>
      <c r="D12" s="11">
        <v>52.2</v>
      </c>
      <c r="E12" s="11">
        <v>0.7</v>
      </c>
      <c r="F12" s="11">
        <v>53.3</v>
      </c>
      <c r="G12" s="11">
        <v>50.9</v>
      </c>
      <c r="H12" s="11">
        <v>38.4</v>
      </c>
      <c r="I12" s="11">
        <v>36.700000000000003</v>
      </c>
      <c r="J12" s="11">
        <v>1.1519999999999999</v>
      </c>
      <c r="K12" s="11">
        <v>0.67700000000000005</v>
      </c>
      <c r="L12" s="11">
        <v>0.62</v>
      </c>
      <c r="M12" s="12"/>
    </row>
    <row r="13" spans="1:13" x14ac:dyDescent="0.2">
      <c r="A13" s="12" t="s">
        <v>461</v>
      </c>
      <c r="B13" s="12" t="s">
        <v>456</v>
      </c>
      <c r="C13" s="11">
        <v>11377</v>
      </c>
      <c r="D13" s="11">
        <v>50.5</v>
      </c>
      <c r="E13" s="11">
        <v>0.3</v>
      </c>
      <c r="F13" s="11">
        <v>51.9</v>
      </c>
      <c r="G13" s="11">
        <v>49</v>
      </c>
      <c r="H13" s="11">
        <v>37.9</v>
      </c>
      <c r="I13" s="11">
        <v>36.9</v>
      </c>
      <c r="J13" s="11">
        <v>1.3660000000000001</v>
      </c>
      <c r="K13" s="11">
        <v>0.67700000000000005</v>
      </c>
      <c r="L13" s="11">
        <v>7.27</v>
      </c>
      <c r="M13" s="12"/>
    </row>
    <row r="14" spans="1:13" x14ac:dyDescent="0.2">
      <c r="A14" s="12" t="s">
        <v>461</v>
      </c>
      <c r="B14" s="12" t="s">
        <v>457</v>
      </c>
      <c r="C14" s="11">
        <v>11377</v>
      </c>
      <c r="D14" s="11">
        <v>50.7</v>
      </c>
      <c r="E14" s="11">
        <v>0.5</v>
      </c>
      <c r="F14" s="11">
        <v>53.3</v>
      </c>
      <c r="G14" s="11">
        <v>50</v>
      </c>
      <c r="H14" s="11">
        <v>37.6</v>
      </c>
      <c r="I14" s="11">
        <v>35.799999999999997</v>
      </c>
      <c r="J14" s="11">
        <v>1.2150000000000001</v>
      </c>
      <c r="K14" s="11">
        <v>0.65400000000000003</v>
      </c>
      <c r="L14" s="11">
        <v>0.79</v>
      </c>
      <c r="M14" s="12"/>
    </row>
    <row r="15" spans="1:13" x14ac:dyDescent="0.2">
      <c r="A15" s="12" t="s">
        <v>461</v>
      </c>
      <c r="B15" s="12" t="s">
        <v>458</v>
      </c>
      <c r="C15" s="11">
        <v>11377</v>
      </c>
      <c r="D15" s="11">
        <v>53</v>
      </c>
      <c r="E15" s="11">
        <v>0.8</v>
      </c>
      <c r="F15" s="11">
        <v>58.6</v>
      </c>
      <c r="G15" s="11">
        <v>50.7</v>
      </c>
      <c r="H15" s="11">
        <v>38</v>
      </c>
      <c r="I15" s="11">
        <v>36.1</v>
      </c>
      <c r="J15" s="11">
        <v>1.1379999999999999</v>
      </c>
      <c r="K15" s="11">
        <v>0.68799999999999994</v>
      </c>
      <c r="L15" s="11">
        <v>1.08</v>
      </c>
      <c r="M15" s="12" t="s">
        <v>459</v>
      </c>
    </row>
    <row r="16" spans="1:13" x14ac:dyDescent="0.2">
      <c r="A16" s="12" t="s">
        <v>461</v>
      </c>
      <c r="B16" s="12" t="s">
        <v>460</v>
      </c>
      <c r="C16" s="11">
        <v>11377</v>
      </c>
      <c r="D16" s="11">
        <v>53.3</v>
      </c>
      <c r="E16" s="11">
        <v>1.3</v>
      </c>
      <c r="F16" s="11">
        <v>58.8</v>
      </c>
      <c r="G16" s="11">
        <v>50.9</v>
      </c>
      <c r="H16" s="11">
        <v>38.4</v>
      </c>
      <c r="I16" s="11">
        <v>36.799999999999997</v>
      </c>
      <c r="J16" s="11">
        <v>1.1419999999999999</v>
      </c>
      <c r="K16" s="11">
        <v>0.68600000000000005</v>
      </c>
      <c r="L16" s="11">
        <v>0.94</v>
      </c>
      <c r="M16" s="12"/>
    </row>
    <row r="17" spans="1:13" x14ac:dyDescent="0.2">
      <c r="A17" s="12" t="s">
        <v>462</v>
      </c>
      <c r="B17" s="12" t="s">
        <v>454</v>
      </c>
      <c r="C17" s="11">
        <v>3660</v>
      </c>
      <c r="D17" s="11">
        <v>42</v>
      </c>
      <c r="E17" s="11">
        <v>0.1</v>
      </c>
      <c r="F17" s="11">
        <v>42</v>
      </c>
      <c r="G17" s="11">
        <v>41.9</v>
      </c>
      <c r="H17" s="11">
        <v>25</v>
      </c>
      <c r="I17" s="11">
        <v>14.8</v>
      </c>
      <c r="J17" s="11">
        <v>1.2470000000000001</v>
      </c>
      <c r="K17" s="11">
        <v>0.5</v>
      </c>
      <c r="L17" s="11">
        <v>0.32</v>
      </c>
      <c r="M17" s="12"/>
    </row>
    <row r="18" spans="1:13" x14ac:dyDescent="0.2">
      <c r="A18" s="12" t="s">
        <v>462</v>
      </c>
      <c r="B18" s="12" t="s">
        <v>455</v>
      </c>
      <c r="C18" s="11">
        <v>3660</v>
      </c>
      <c r="D18" s="11">
        <v>56.1</v>
      </c>
      <c r="E18" s="11">
        <v>1</v>
      </c>
      <c r="F18" s="11">
        <v>58.3</v>
      </c>
      <c r="G18" s="11">
        <v>54</v>
      </c>
      <c r="H18" s="11">
        <v>39.700000000000003</v>
      </c>
      <c r="I18" s="11">
        <v>38.200000000000003</v>
      </c>
      <c r="J18" s="11">
        <v>1.0840000000000001</v>
      </c>
      <c r="K18" s="11">
        <v>0.71</v>
      </c>
      <c r="L18" s="11">
        <v>1.33</v>
      </c>
      <c r="M18" s="12"/>
    </row>
    <row r="19" spans="1:13" x14ac:dyDescent="0.2">
      <c r="A19" s="12" t="s">
        <v>462</v>
      </c>
      <c r="B19" s="12" t="s">
        <v>456</v>
      </c>
      <c r="C19" s="11">
        <v>3660</v>
      </c>
      <c r="D19" s="11">
        <v>54.8</v>
      </c>
      <c r="E19" s="11">
        <v>0.5</v>
      </c>
      <c r="F19" s="11">
        <v>56</v>
      </c>
      <c r="G19" s="11">
        <v>54</v>
      </c>
      <c r="H19" s="11">
        <v>40.200000000000003</v>
      </c>
      <c r="I19" s="11">
        <v>38.700000000000003</v>
      </c>
      <c r="J19" s="11">
        <v>1.4450000000000001</v>
      </c>
      <c r="K19" s="11">
        <v>0.69299999999999995</v>
      </c>
      <c r="L19" s="11">
        <v>5.0199999999999996</v>
      </c>
      <c r="M19" s="12"/>
    </row>
    <row r="20" spans="1:13" x14ac:dyDescent="0.2">
      <c r="A20" s="12" t="s">
        <v>462</v>
      </c>
      <c r="B20" s="12" t="s">
        <v>457</v>
      </c>
      <c r="C20" s="11">
        <v>3660</v>
      </c>
      <c r="D20" s="11">
        <v>55.7</v>
      </c>
      <c r="E20" s="11">
        <v>1.8</v>
      </c>
      <c r="F20" s="11">
        <v>58.3</v>
      </c>
      <c r="G20" s="11">
        <v>52.3</v>
      </c>
      <c r="H20" s="11">
        <v>38</v>
      </c>
      <c r="I20" s="11">
        <v>36.4</v>
      </c>
      <c r="J20" s="11">
        <v>1.1060000000000001</v>
      </c>
      <c r="K20" s="11">
        <v>0.69299999999999995</v>
      </c>
      <c r="L20" s="11">
        <v>1.72</v>
      </c>
      <c r="M20" s="12"/>
    </row>
    <row r="21" spans="1:13" x14ac:dyDescent="0.2">
      <c r="A21" s="12" t="s">
        <v>462</v>
      </c>
      <c r="B21" s="12" t="s">
        <v>458</v>
      </c>
      <c r="C21" s="11">
        <v>3660</v>
      </c>
      <c r="D21" s="11">
        <v>56.7</v>
      </c>
      <c r="E21" s="11">
        <v>1.4</v>
      </c>
      <c r="F21" s="11">
        <v>61.8</v>
      </c>
      <c r="G21" s="11">
        <v>53.4</v>
      </c>
      <c r="H21" s="11">
        <v>38.9</v>
      </c>
      <c r="I21" s="11">
        <v>37.1</v>
      </c>
      <c r="J21" s="11">
        <v>1.0669999999999999</v>
      </c>
      <c r="K21" s="11">
        <v>0.72399999999999998</v>
      </c>
      <c r="L21" s="11">
        <v>0.81</v>
      </c>
      <c r="M21" s="12" t="s">
        <v>459</v>
      </c>
    </row>
    <row r="22" spans="1:13" x14ac:dyDescent="0.2">
      <c r="A22" s="12" t="s">
        <v>462</v>
      </c>
      <c r="B22" s="12" t="s">
        <v>460</v>
      </c>
      <c r="C22" s="11">
        <v>3660</v>
      </c>
      <c r="D22" s="11">
        <v>56.8</v>
      </c>
      <c r="E22" s="11">
        <v>1.3</v>
      </c>
      <c r="F22" s="11">
        <v>68.900000000000006</v>
      </c>
      <c r="G22" s="11">
        <v>55.3</v>
      </c>
      <c r="H22" s="11">
        <v>40.799999999999997</v>
      </c>
      <c r="I22" s="11">
        <v>39.4</v>
      </c>
      <c r="J22" s="11">
        <v>1.093</v>
      </c>
      <c r="K22" s="11">
        <v>0.70899999999999996</v>
      </c>
      <c r="L22" s="11">
        <v>2.9</v>
      </c>
      <c r="M22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zoomScaleNormal="100" workbookViewId="0"/>
  </sheetViews>
  <sheetFormatPr baseColWidth="10" defaultColWidth="8.6640625" defaultRowHeight="15" x14ac:dyDescent="0.2"/>
  <cols>
    <col min="1" max="1" width="13" customWidth="1"/>
    <col min="2" max="3" width="16" customWidth="1"/>
    <col min="4" max="4" width="17" customWidth="1"/>
    <col min="5" max="5" width="8" customWidth="1"/>
    <col min="6" max="8" width="10" customWidth="1"/>
    <col min="9" max="9" width="20" customWidth="1"/>
  </cols>
  <sheetData>
    <row r="1" spans="1:9" ht="18" x14ac:dyDescent="0.2">
      <c r="A1" s="1" t="s">
        <v>463</v>
      </c>
    </row>
    <row r="3" spans="1:9" ht="36" customHeight="1" x14ac:dyDescent="0.2">
      <c r="A3" s="6" t="s">
        <v>464</v>
      </c>
      <c r="B3" s="6" t="s">
        <v>412</v>
      </c>
      <c r="C3" s="6" t="s">
        <v>465</v>
      </c>
      <c r="D3" s="6" t="s">
        <v>466</v>
      </c>
      <c r="E3" s="6" t="s">
        <v>467</v>
      </c>
      <c r="F3" s="6" t="s">
        <v>468</v>
      </c>
      <c r="G3" s="6" t="s">
        <v>469</v>
      </c>
      <c r="H3" s="6" t="s">
        <v>470</v>
      </c>
      <c r="I3" s="6" t="s">
        <v>471</v>
      </c>
    </row>
    <row r="4" spans="1:9" x14ac:dyDescent="0.2">
      <c r="A4" s="12" t="s">
        <v>419</v>
      </c>
      <c r="B4" s="12" t="s">
        <v>423</v>
      </c>
      <c r="C4" s="12" t="s">
        <v>420</v>
      </c>
      <c r="D4" s="12" t="s">
        <v>472</v>
      </c>
      <c r="E4" s="11">
        <v>2.27</v>
      </c>
      <c r="F4" s="11">
        <v>1.55</v>
      </c>
      <c r="G4" s="11">
        <v>3.33</v>
      </c>
      <c r="H4" s="21">
        <v>0</v>
      </c>
      <c r="I4" t="str">
        <f t="shared" ref="I4:I25" si="0">IF(E4&gt;1,"More likely than TVK","Less likely than TVK")</f>
        <v>More likely than TVK</v>
      </c>
    </row>
    <row r="5" spans="1:9" x14ac:dyDescent="0.2">
      <c r="A5" s="12" t="s">
        <v>419</v>
      </c>
      <c r="B5" s="12" t="s">
        <v>424</v>
      </c>
      <c r="C5" s="12" t="s">
        <v>420</v>
      </c>
      <c r="D5" s="12" t="s">
        <v>472</v>
      </c>
      <c r="E5" s="11">
        <v>6.35</v>
      </c>
      <c r="F5" s="11">
        <v>4.09</v>
      </c>
      <c r="G5" s="11">
        <v>9.85</v>
      </c>
      <c r="H5" s="21">
        <v>0</v>
      </c>
      <c r="I5" t="str">
        <f t="shared" si="0"/>
        <v>More likely than TVK</v>
      </c>
    </row>
    <row r="6" spans="1:9" x14ac:dyDescent="0.2">
      <c r="A6" s="12" t="s">
        <v>419</v>
      </c>
      <c r="B6" s="12" t="s">
        <v>425</v>
      </c>
      <c r="C6" s="12" t="s">
        <v>420</v>
      </c>
      <c r="D6" s="12" t="s">
        <v>472</v>
      </c>
      <c r="E6" s="11">
        <v>3.91</v>
      </c>
      <c r="F6" s="11">
        <v>2.3199999999999998</v>
      </c>
      <c r="G6" s="11">
        <v>6.58</v>
      </c>
      <c r="H6" s="21">
        <v>0</v>
      </c>
      <c r="I6" t="str">
        <f t="shared" si="0"/>
        <v>More likely than TVK</v>
      </c>
    </row>
    <row r="7" spans="1:9" x14ac:dyDescent="0.2">
      <c r="A7" s="12" t="s">
        <v>426</v>
      </c>
      <c r="B7" s="12" t="s">
        <v>428</v>
      </c>
      <c r="C7" s="12" t="s">
        <v>427</v>
      </c>
      <c r="D7" s="12" t="s">
        <v>472</v>
      </c>
      <c r="E7" s="11">
        <v>0.16</v>
      </c>
      <c r="F7" s="11">
        <v>0.09</v>
      </c>
      <c r="G7" s="11">
        <v>0.28000000000000003</v>
      </c>
      <c r="H7" s="21">
        <v>0</v>
      </c>
      <c r="I7" t="str">
        <f t="shared" si="0"/>
        <v>Less likely than TVK</v>
      </c>
    </row>
    <row r="8" spans="1:9" x14ac:dyDescent="0.2">
      <c r="A8" s="12" t="s">
        <v>426</v>
      </c>
      <c r="B8" s="12" t="s">
        <v>429</v>
      </c>
      <c r="C8" s="12" t="s">
        <v>427</v>
      </c>
      <c r="D8" s="12" t="s">
        <v>472</v>
      </c>
      <c r="E8" s="11">
        <v>0.33</v>
      </c>
      <c r="F8" s="11">
        <v>0.19</v>
      </c>
      <c r="G8" s="11">
        <v>0.56000000000000005</v>
      </c>
      <c r="H8" s="21">
        <v>1E-4</v>
      </c>
      <c r="I8" t="str">
        <f t="shared" si="0"/>
        <v>Less likely than TVK</v>
      </c>
    </row>
    <row r="9" spans="1:9" x14ac:dyDescent="0.2">
      <c r="A9" s="12" t="s">
        <v>426</v>
      </c>
      <c r="B9" s="12" t="s">
        <v>430</v>
      </c>
      <c r="C9" s="12" t="s">
        <v>427</v>
      </c>
      <c r="D9" s="12" t="s">
        <v>472</v>
      </c>
      <c r="E9" s="11">
        <v>0.28999999999999998</v>
      </c>
      <c r="F9" s="11">
        <v>0.11</v>
      </c>
      <c r="G9" s="11">
        <v>0.73</v>
      </c>
      <c r="H9" s="21">
        <v>8.6E-3</v>
      </c>
      <c r="I9" t="str">
        <f t="shared" si="0"/>
        <v>Less likely than TVK</v>
      </c>
    </row>
    <row r="10" spans="1:9" x14ac:dyDescent="0.2">
      <c r="A10" s="12" t="s">
        <v>473</v>
      </c>
      <c r="B10" s="12" t="s">
        <v>474</v>
      </c>
      <c r="C10" s="12" t="s">
        <v>475</v>
      </c>
      <c r="D10" s="12" t="s">
        <v>472</v>
      </c>
      <c r="E10" s="11">
        <v>4.8099999999999996</v>
      </c>
      <c r="F10" s="11">
        <v>3.77</v>
      </c>
      <c r="G10" s="11">
        <v>6.13</v>
      </c>
      <c r="H10" s="21">
        <v>0</v>
      </c>
      <c r="I10" t="str">
        <f t="shared" si="0"/>
        <v>More likely than TVK</v>
      </c>
    </row>
    <row r="11" spans="1:9" x14ac:dyDescent="0.2">
      <c r="A11" s="12" t="s">
        <v>476</v>
      </c>
      <c r="B11" s="12" t="s">
        <v>477</v>
      </c>
      <c r="C11" s="12" t="s">
        <v>478</v>
      </c>
      <c r="D11" s="12" t="s">
        <v>472</v>
      </c>
      <c r="E11" s="11">
        <v>1.52</v>
      </c>
      <c r="F11" s="11">
        <v>1.08</v>
      </c>
      <c r="G11" s="11">
        <v>2.15</v>
      </c>
      <c r="H11" s="21">
        <v>1.6899999999999998E-2</v>
      </c>
      <c r="I11" t="str">
        <f t="shared" si="0"/>
        <v>More likely than TVK</v>
      </c>
    </row>
    <row r="12" spans="1:9" x14ac:dyDescent="0.2">
      <c r="A12" s="12" t="s">
        <v>476</v>
      </c>
      <c r="B12" s="12" t="s">
        <v>479</v>
      </c>
      <c r="C12" s="12" t="s">
        <v>478</v>
      </c>
      <c r="D12" s="12" t="s">
        <v>472</v>
      </c>
      <c r="E12" s="11">
        <v>2.2000000000000002</v>
      </c>
      <c r="F12" s="11">
        <v>1.59</v>
      </c>
      <c r="G12" s="11">
        <v>3.02</v>
      </c>
      <c r="H12" s="21">
        <v>0</v>
      </c>
      <c r="I12" t="str">
        <f t="shared" si="0"/>
        <v>More likely than TVK</v>
      </c>
    </row>
    <row r="13" spans="1:9" x14ac:dyDescent="0.2">
      <c r="A13" s="12" t="s">
        <v>476</v>
      </c>
      <c r="B13" s="12" t="s">
        <v>480</v>
      </c>
      <c r="C13" s="12" t="s">
        <v>478</v>
      </c>
      <c r="D13" s="12" t="s">
        <v>472</v>
      </c>
      <c r="E13" s="11">
        <v>1.63</v>
      </c>
      <c r="F13" s="11">
        <v>1.21</v>
      </c>
      <c r="G13" s="11">
        <v>2.2000000000000002</v>
      </c>
      <c r="H13" s="21">
        <v>1.1999999999999999E-3</v>
      </c>
      <c r="I13" t="str">
        <f t="shared" si="0"/>
        <v>More likely than TVK</v>
      </c>
    </row>
    <row r="14" spans="1:9" x14ac:dyDescent="0.2">
      <c r="A14" s="12" t="s">
        <v>476</v>
      </c>
      <c r="B14" s="12" t="s">
        <v>481</v>
      </c>
      <c r="C14" s="12" t="s">
        <v>478</v>
      </c>
      <c r="D14" s="12" t="s">
        <v>472</v>
      </c>
      <c r="E14" s="11">
        <v>1.41</v>
      </c>
      <c r="F14" s="11">
        <v>1.04</v>
      </c>
      <c r="G14" s="11">
        <v>1.91</v>
      </c>
      <c r="H14" s="21">
        <v>2.53E-2</v>
      </c>
      <c r="I14" t="str">
        <f t="shared" si="0"/>
        <v>More likely than TVK</v>
      </c>
    </row>
    <row r="15" spans="1:9" x14ac:dyDescent="0.2">
      <c r="A15" s="12" t="s">
        <v>419</v>
      </c>
      <c r="B15" s="12" t="s">
        <v>422</v>
      </c>
      <c r="C15" s="12" t="s">
        <v>420</v>
      </c>
      <c r="D15" s="12" t="s">
        <v>482</v>
      </c>
      <c r="E15" s="11">
        <v>1.66</v>
      </c>
      <c r="F15" s="11">
        <v>1.17</v>
      </c>
      <c r="G15" s="11">
        <v>2.35</v>
      </c>
      <c r="H15" s="21">
        <v>4.5999999999999999E-3</v>
      </c>
      <c r="I15" t="str">
        <f t="shared" si="0"/>
        <v>More likely than TVK</v>
      </c>
    </row>
    <row r="16" spans="1:9" x14ac:dyDescent="0.2">
      <c r="A16" s="12" t="s">
        <v>419</v>
      </c>
      <c r="B16" s="12" t="s">
        <v>423</v>
      </c>
      <c r="C16" s="12" t="s">
        <v>420</v>
      </c>
      <c r="D16" s="12" t="s">
        <v>482</v>
      </c>
      <c r="E16" s="11">
        <v>3.45</v>
      </c>
      <c r="F16" s="11">
        <v>2.33</v>
      </c>
      <c r="G16" s="11">
        <v>5.0999999999999996</v>
      </c>
      <c r="H16" s="21">
        <v>0</v>
      </c>
      <c r="I16" t="str">
        <f t="shared" si="0"/>
        <v>More likely than TVK</v>
      </c>
    </row>
    <row r="17" spans="1:9" x14ac:dyDescent="0.2">
      <c r="A17" s="12" t="s">
        <v>419</v>
      </c>
      <c r="B17" s="12" t="s">
        <v>424</v>
      </c>
      <c r="C17" s="12" t="s">
        <v>420</v>
      </c>
      <c r="D17" s="12" t="s">
        <v>482</v>
      </c>
      <c r="E17" s="11">
        <v>9.4499999999999993</v>
      </c>
      <c r="F17" s="11">
        <v>6.03</v>
      </c>
      <c r="G17" s="11">
        <v>14.81</v>
      </c>
      <c r="H17" s="21">
        <v>0</v>
      </c>
      <c r="I17" t="str">
        <f t="shared" si="0"/>
        <v>More likely than TVK</v>
      </c>
    </row>
    <row r="18" spans="1:9" x14ac:dyDescent="0.2">
      <c r="A18" s="12" t="s">
        <v>419</v>
      </c>
      <c r="B18" s="12" t="s">
        <v>425</v>
      </c>
      <c r="C18" s="12" t="s">
        <v>420</v>
      </c>
      <c r="D18" s="12" t="s">
        <v>482</v>
      </c>
      <c r="E18" s="11">
        <v>8.61</v>
      </c>
      <c r="F18" s="11">
        <v>5.18</v>
      </c>
      <c r="G18" s="11">
        <v>14.31</v>
      </c>
      <c r="H18" s="21">
        <v>0</v>
      </c>
      <c r="I18" t="str">
        <f t="shared" si="0"/>
        <v>More likely than TVK</v>
      </c>
    </row>
    <row r="19" spans="1:9" x14ac:dyDescent="0.2">
      <c r="A19" s="12" t="s">
        <v>426</v>
      </c>
      <c r="B19" s="12" t="s">
        <v>429</v>
      </c>
      <c r="C19" s="12" t="s">
        <v>427</v>
      </c>
      <c r="D19" s="12" t="s">
        <v>482</v>
      </c>
      <c r="E19" s="11">
        <v>2.5499999999999998</v>
      </c>
      <c r="F19" s="11">
        <v>1.8</v>
      </c>
      <c r="G19" s="11">
        <v>3.63</v>
      </c>
      <c r="H19" s="21">
        <v>0</v>
      </c>
      <c r="I19" t="str">
        <f t="shared" si="0"/>
        <v>More likely than TVK</v>
      </c>
    </row>
    <row r="20" spans="1:9" x14ac:dyDescent="0.2">
      <c r="A20" s="12" t="s">
        <v>473</v>
      </c>
      <c r="B20" s="12" t="s">
        <v>474</v>
      </c>
      <c r="C20" s="12" t="s">
        <v>475</v>
      </c>
      <c r="D20" s="12" t="s">
        <v>482</v>
      </c>
      <c r="E20" s="11">
        <v>5.91</v>
      </c>
      <c r="F20" s="11">
        <v>4.6399999999999997</v>
      </c>
      <c r="G20" s="11">
        <v>7.51</v>
      </c>
      <c r="H20" s="21">
        <v>0</v>
      </c>
      <c r="I20" t="str">
        <f t="shared" si="0"/>
        <v>More likely than TVK</v>
      </c>
    </row>
    <row r="21" spans="1:9" x14ac:dyDescent="0.2">
      <c r="A21" s="12" t="s">
        <v>476</v>
      </c>
      <c r="B21" s="12" t="s">
        <v>479</v>
      </c>
      <c r="C21" s="12" t="s">
        <v>478</v>
      </c>
      <c r="D21" s="12" t="s">
        <v>482</v>
      </c>
      <c r="E21" s="11">
        <v>1.38</v>
      </c>
      <c r="F21" s="11">
        <v>1</v>
      </c>
      <c r="G21" s="11">
        <v>1.91</v>
      </c>
      <c r="H21" s="21">
        <v>4.6899999999999997E-2</v>
      </c>
      <c r="I21" t="str">
        <f t="shared" si="0"/>
        <v>More likely than TVK</v>
      </c>
    </row>
    <row r="22" spans="1:9" x14ac:dyDescent="0.2">
      <c r="A22" s="12" t="s">
        <v>473</v>
      </c>
      <c r="B22" s="12" t="s">
        <v>474</v>
      </c>
      <c r="C22" s="12" t="s">
        <v>475</v>
      </c>
      <c r="D22" s="12" t="s">
        <v>13</v>
      </c>
      <c r="E22" s="11">
        <v>1.73</v>
      </c>
      <c r="F22" s="11">
        <v>1.1599999999999999</v>
      </c>
      <c r="G22" s="11">
        <v>2.57</v>
      </c>
      <c r="H22" s="21">
        <v>7.3000000000000001E-3</v>
      </c>
      <c r="I22" t="str">
        <f t="shared" si="0"/>
        <v>More likely than TVK</v>
      </c>
    </row>
    <row r="23" spans="1:9" x14ac:dyDescent="0.2">
      <c r="A23" s="12" t="s">
        <v>476</v>
      </c>
      <c r="B23" s="12" t="s">
        <v>477</v>
      </c>
      <c r="C23" s="12" t="s">
        <v>478</v>
      </c>
      <c r="D23" s="12" t="s">
        <v>13</v>
      </c>
      <c r="E23" s="11">
        <v>2.5299999999999998</v>
      </c>
      <c r="F23" s="11">
        <v>1.51</v>
      </c>
      <c r="G23" s="11">
        <v>4.24</v>
      </c>
      <c r="H23" s="21">
        <v>4.0000000000000002E-4</v>
      </c>
      <c r="I23" t="str">
        <f t="shared" si="0"/>
        <v>More likely than TVK</v>
      </c>
    </row>
    <row r="24" spans="1:9" x14ac:dyDescent="0.2">
      <c r="A24" s="12" t="s">
        <v>476</v>
      </c>
      <c r="B24" s="12" t="s">
        <v>480</v>
      </c>
      <c r="C24" s="12" t="s">
        <v>478</v>
      </c>
      <c r="D24" s="12" t="s">
        <v>13</v>
      </c>
      <c r="E24" s="11">
        <v>2.87</v>
      </c>
      <c r="F24" s="11">
        <v>1.83</v>
      </c>
      <c r="G24" s="11">
        <v>4.51</v>
      </c>
      <c r="H24" s="21">
        <v>0</v>
      </c>
      <c r="I24" t="str">
        <f t="shared" si="0"/>
        <v>More likely than TVK</v>
      </c>
    </row>
    <row r="25" spans="1:9" x14ac:dyDescent="0.2">
      <c r="A25" s="12" t="s">
        <v>476</v>
      </c>
      <c r="B25" s="12" t="s">
        <v>481</v>
      </c>
      <c r="C25" s="12" t="s">
        <v>478</v>
      </c>
      <c r="D25" s="12" t="s">
        <v>13</v>
      </c>
      <c r="E25" s="11">
        <v>1.8</v>
      </c>
      <c r="F25" s="11">
        <v>1.1100000000000001</v>
      </c>
      <c r="G25" s="11">
        <v>2.92</v>
      </c>
      <c r="H25" s="21">
        <v>1.7999999999999999E-2</v>
      </c>
      <c r="I25" t="str">
        <f t="shared" si="0"/>
        <v>More likely than TVK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Statewide Votes</vt:lpstr>
      <vt:lpstr>AC Results</vt:lpstr>
      <vt:lpstr>District vs Actual 2026</vt:lpstr>
      <vt:lpstr>AC vs Actual 2026</vt:lpstr>
      <vt:lpstr>District Results</vt:lpstr>
      <vt:lpstr>Who Voted How</vt:lpstr>
      <vt:lpstr>Model Validation</vt:lpstr>
      <vt:lpstr>Significant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Reachout Analytics</cp:lastModifiedBy>
  <cp:revision>0</cp:revision>
  <dcterms:created xsi:type="dcterms:W3CDTF">2026-10-25T10:04:15Z</dcterms:created>
  <dcterms:modified xsi:type="dcterms:W3CDTF">2026-10-25T10:35:04Z</dcterms:modified>
  <dc:language>en-US</dc:language>
</cp:coreProperties>
</file>